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me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ocuments\Excel\Table Manager Writeup\"/>
    </mc:Choice>
  </mc:AlternateContent>
  <bookViews>
    <workbookView xWindow="0" yWindow="0" windowWidth="25200" windowHeight="11760"/>
  </bookViews>
  <sheets>
    <sheet name="Employees" sheetId="1" r:id="rId1"/>
    <sheet name="Departments" sheetId="2" r:id="rId2"/>
    <sheet name="Parameters" sheetId="3" r:id="rId3"/>
  </sheets>
  <calcPr calcId="162913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2" i="1"/>
</calcChain>
</file>

<file path=xl/sharedStrings.xml><?xml version="1.0" encoding="utf-8"?>
<sst xmlns="http://schemas.openxmlformats.org/spreadsheetml/2006/main" count="407" uniqueCount="225">
  <si>
    <t>Date of Birth</t>
  </si>
  <si>
    <t>Gender</t>
  </si>
  <si>
    <t>Department</t>
  </si>
  <si>
    <t>Female</t>
  </si>
  <si>
    <t>Accounting</t>
  </si>
  <si>
    <t>Legal</t>
  </si>
  <si>
    <t>Product Management</t>
  </si>
  <si>
    <t>Male</t>
  </si>
  <si>
    <t>Marketing</t>
  </si>
  <si>
    <t>Research and Development</t>
  </si>
  <si>
    <t>Services</t>
  </si>
  <si>
    <t>Training</t>
  </si>
  <si>
    <t>Engineering</t>
  </si>
  <si>
    <t>Sales</t>
  </si>
  <si>
    <t>Business Development</t>
  </si>
  <si>
    <t>Human Resources</t>
  </si>
  <si>
    <t>Support</t>
  </si>
  <si>
    <t>Employee Number</t>
  </si>
  <si>
    <t>First Name</t>
  </si>
  <si>
    <t>Last Name</t>
  </si>
  <si>
    <t>Number On Team</t>
  </si>
  <si>
    <t>Age</t>
  </si>
  <si>
    <t>19-8266251</t>
  </si>
  <si>
    <t>Noak</t>
  </si>
  <si>
    <t>FitzGilbert</t>
  </si>
  <si>
    <t>74-2822339</t>
  </si>
  <si>
    <t>Tamas</t>
  </si>
  <si>
    <t>Robardley</t>
  </si>
  <si>
    <t>20-5361222</t>
  </si>
  <si>
    <t>Hurley</t>
  </si>
  <si>
    <t>Grindley</t>
  </si>
  <si>
    <t>57-0481144</t>
  </si>
  <si>
    <t>Gregorius</t>
  </si>
  <si>
    <t>Pratton</t>
  </si>
  <si>
    <t>87-9696387</t>
  </si>
  <si>
    <t>Wolf</t>
  </si>
  <si>
    <t>Caves</t>
  </si>
  <si>
    <t>32-5222852</t>
  </si>
  <si>
    <t>Ritchie</t>
  </si>
  <si>
    <t>Deignan</t>
  </si>
  <si>
    <t>47-6612781</t>
  </si>
  <si>
    <t>Annecorinne</t>
  </si>
  <si>
    <t>Vasiljevic</t>
  </si>
  <si>
    <t>42-0379454</t>
  </si>
  <si>
    <t>Rasla</t>
  </si>
  <si>
    <t>Westlake</t>
  </si>
  <si>
    <t>18-1769623</t>
  </si>
  <si>
    <t>Devin</t>
  </si>
  <si>
    <t>Redrup</t>
  </si>
  <si>
    <t>13-5800726</t>
  </si>
  <si>
    <t>Jock</t>
  </si>
  <si>
    <t>Cawse</t>
  </si>
  <si>
    <t>94-0052283</t>
  </si>
  <si>
    <t>Emlen</t>
  </si>
  <si>
    <t>Staggs</t>
  </si>
  <si>
    <t>76-4172950</t>
  </si>
  <si>
    <t>Sherlock</t>
  </si>
  <si>
    <t>Weigh</t>
  </si>
  <si>
    <t>72-5251666</t>
  </si>
  <si>
    <t>Ross</t>
  </si>
  <si>
    <t>Krysztowczyk</t>
  </si>
  <si>
    <t>36-1606615</t>
  </si>
  <si>
    <t>Margarita</t>
  </si>
  <si>
    <t>Wren</t>
  </si>
  <si>
    <t>33-0743405</t>
  </si>
  <si>
    <t>Alyda</t>
  </si>
  <si>
    <t>Kovelmann</t>
  </si>
  <si>
    <t>69-9498903</t>
  </si>
  <si>
    <t>Dick</t>
  </si>
  <si>
    <t>Haye</t>
  </si>
  <si>
    <t>36-9579063</t>
  </si>
  <si>
    <t>Antonia</t>
  </si>
  <si>
    <t>Thebes</t>
  </si>
  <si>
    <t>48-2715570</t>
  </si>
  <si>
    <t>Dulci</t>
  </si>
  <si>
    <t>Aggott</t>
  </si>
  <si>
    <t>14-6349478</t>
  </si>
  <si>
    <t>Andris</t>
  </si>
  <si>
    <t>Andryszczak</t>
  </si>
  <si>
    <t>34-8937210</t>
  </si>
  <si>
    <t>Melessa</t>
  </si>
  <si>
    <t>Ibbetson</t>
  </si>
  <si>
    <t>21-1928819</t>
  </si>
  <si>
    <t>Tessy</t>
  </si>
  <si>
    <t>Dikle</t>
  </si>
  <si>
    <t>42-7995630</t>
  </si>
  <si>
    <t>Ginny</t>
  </si>
  <si>
    <t>Maciaszek</t>
  </si>
  <si>
    <t>15-3451072</t>
  </si>
  <si>
    <t>Addi</t>
  </si>
  <si>
    <t>Bowler</t>
  </si>
  <si>
    <t>47-8577104</t>
  </si>
  <si>
    <t>Rubin</t>
  </si>
  <si>
    <t>Feldberg</t>
  </si>
  <si>
    <t>65-7505664</t>
  </si>
  <si>
    <t>Dede</t>
  </si>
  <si>
    <t>Whordley</t>
  </si>
  <si>
    <t>30-2126603</t>
  </si>
  <si>
    <t>Kennett</t>
  </si>
  <si>
    <t>Petrol</t>
  </si>
  <si>
    <t>56-4617749</t>
  </si>
  <si>
    <t>Paolo</t>
  </si>
  <si>
    <t>Quinby</t>
  </si>
  <si>
    <t>73-6499468</t>
  </si>
  <si>
    <t>Phoebe</t>
  </si>
  <si>
    <t>Hyde-Chambers</t>
  </si>
  <si>
    <t>40-3018266</t>
  </si>
  <si>
    <t>Timotheus</t>
  </si>
  <si>
    <t>Leif</t>
  </si>
  <si>
    <t>77-8651288</t>
  </si>
  <si>
    <t>Bernadette</t>
  </si>
  <si>
    <t>Philipsson</t>
  </si>
  <si>
    <t>59-4944105</t>
  </si>
  <si>
    <t>Quill</t>
  </si>
  <si>
    <t>Truggian</t>
  </si>
  <si>
    <t>54-6226198</t>
  </si>
  <si>
    <t>Jasmin</t>
  </si>
  <si>
    <t>Perigoe</t>
  </si>
  <si>
    <t>91-0171120</t>
  </si>
  <si>
    <t>Peg</t>
  </si>
  <si>
    <t>Fergyson</t>
  </si>
  <si>
    <t>81-7808312</t>
  </si>
  <si>
    <t>Olivette</t>
  </si>
  <si>
    <t>Conechie</t>
  </si>
  <si>
    <t>13-9944024</t>
  </si>
  <si>
    <t>Querida</t>
  </si>
  <si>
    <t>Bagot</t>
  </si>
  <si>
    <t>97-6176071</t>
  </si>
  <si>
    <t>Vincents</t>
  </si>
  <si>
    <t>Nowakowska</t>
  </si>
  <si>
    <t>61-8626491</t>
  </si>
  <si>
    <t>Lanny</t>
  </si>
  <si>
    <t>Goodley</t>
  </si>
  <si>
    <t>69-9911426</t>
  </si>
  <si>
    <t>Sena</t>
  </si>
  <si>
    <t>Scotchmore</t>
  </si>
  <si>
    <t>91-7484039</t>
  </si>
  <si>
    <t>Heddie</t>
  </si>
  <si>
    <t>Skechley</t>
  </si>
  <si>
    <t>36-9812904</t>
  </si>
  <si>
    <t>Larisa</t>
  </si>
  <si>
    <t>Andreacci</t>
  </si>
  <si>
    <t>24-3605155</t>
  </si>
  <si>
    <t>Jackqueline</t>
  </si>
  <si>
    <t>McCraine</t>
  </si>
  <si>
    <t>58-8456062</t>
  </si>
  <si>
    <t>Niccolo</t>
  </si>
  <si>
    <t>Tinkler</t>
  </si>
  <si>
    <t>46-5650363</t>
  </si>
  <si>
    <t>Mureil</t>
  </si>
  <si>
    <t>Kaliszewski</t>
  </si>
  <si>
    <t>59-7631027</t>
  </si>
  <si>
    <t>Ilyse</t>
  </si>
  <si>
    <t>Pull</t>
  </si>
  <si>
    <t>92-4926763</t>
  </si>
  <si>
    <t>Cathi</t>
  </si>
  <si>
    <t>Diche</t>
  </si>
  <si>
    <t>96-5001597</t>
  </si>
  <si>
    <t>Jaimie</t>
  </si>
  <si>
    <t>Matterson</t>
  </si>
  <si>
    <t>18-4523568</t>
  </si>
  <si>
    <t>Kerk</t>
  </si>
  <si>
    <t>Baike</t>
  </si>
  <si>
    <t>16-8666253</t>
  </si>
  <si>
    <t>Jon</t>
  </si>
  <si>
    <t>Sisse</t>
  </si>
  <si>
    <t>33-0358282</t>
  </si>
  <si>
    <t>Alexandra</t>
  </si>
  <si>
    <t>Orringe</t>
  </si>
  <si>
    <t>01-1166365</t>
  </si>
  <si>
    <t>Oliy</t>
  </si>
  <si>
    <t>Fugere</t>
  </si>
  <si>
    <t>Table Name</t>
  </si>
  <si>
    <t>Cell Header Text</t>
  </si>
  <si>
    <t>Key</t>
  </si>
  <si>
    <t>Cell Name</t>
  </si>
  <si>
    <t>Cell Type</t>
  </si>
  <si>
    <t>Operator</t>
  </si>
  <si>
    <t>Alert Style</t>
  </si>
  <si>
    <t>Formula 1</t>
  </si>
  <si>
    <t>Formula 2</t>
  </si>
  <si>
    <t>Ignore Blanks</t>
  </si>
  <si>
    <t>Show Input Message</t>
  </si>
  <si>
    <t>Input Title</t>
  </si>
  <si>
    <t>Input Message</t>
  </si>
  <si>
    <t>Show Error Message</t>
  </si>
  <si>
    <t>Error Title</t>
  </si>
  <si>
    <t>Error Message</t>
  </si>
  <si>
    <t>EmployeeTable</t>
  </si>
  <si>
    <t>EmployeeNumber</t>
  </si>
  <si>
    <t>xlValidateCustom</t>
  </si>
  <si>
    <t>xlValidAlertInformation</t>
  </si>
  <si>
    <t>'=AND(LEN(A2)=10,MID(A2,3,1)="-")</t>
  </si>
  <si>
    <t>FirstName</t>
  </si>
  <si>
    <t>xlValidateInputOnly</t>
  </si>
  <si>
    <t>LastName</t>
  </si>
  <si>
    <t>DateofBirth</t>
  </si>
  <si>
    <t>xlValidateDate</t>
  </si>
  <si>
    <t>xlLessEqual</t>
  </si>
  <si>
    <t>'=DATE(1960,1,1)</t>
  </si>
  <si>
    <t>xlValidateList</t>
  </si>
  <si>
    <t>'=INDIRECT("DeptTable[Department]")</t>
  </si>
  <si>
    <t>NumberOnTeam</t>
  </si>
  <si>
    <t>xlValidateWholeNumber</t>
  </si>
  <si>
    <t>xlNotBetween</t>
  </si>
  <si>
    <t>DeptTable</t>
  </si>
  <si>
    <t>ParameterTable</t>
  </si>
  <si>
    <t>TableName</t>
  </si>
  <si>
    <t>CellHeaderText</t>
  </si>
  <si>
    <t>Yes,No</t>
  </si>
  <si>
    <t>CellName</t>
  </si>
  <si>
    <t>CellType</t>
  </si>
  <si>
    <t>xlValidateList,xlValidateInputOnly,xlValidateWholeNumber,xlValidateDecimal,xlValidateList,xlValidateDate,xlValidateTime,xlValidateTextLength,xlValidateCustom</t>
  </si>
  <si>
    <t>xlBetween,xlNotBetween,xlEqual,xlNotEqual,xlGreater,xlLess,xlGreaterEqual,xlLessEqual</t>
  </si>
  <si>
    <t>AlertStyle</t>
  </si>
  <si>
    <t>xlValidAlertStop,xlValidAlertWarning,xlValidAlertInformation</t>
  </si>
  <si>
    <t>Formula1</t>
  </si>
  <si>
    <t>Formula2</t>
  </si>
  <si>
    <t>IgnoreBlanks</t>
  </si>
  <si>
    <t>True,False</t>
  </si>
  <si>
    <t>ShowInputMessage</t>
  </si>
  <si>
    <t>InputTitle</t>
  </si>
  <si>
    <t>InputMessage</t>
  </si>
  <si>
    <t>ShowErrorMessage</t>
  </si>
  <si>
    <t>ErrorTitle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</si>
</sst>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name val="Arial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Protection="1">
      <protection locked="0"/>
    </xf>
    <xf numFmtId="1" fontId="0" fillId="0" borderId="0" xfId="0" applyNumberFormat="1" applyProtection="1"/>
    <xf numFmtId="14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0" xfId="0" quotePrefix="1" applyAlignment="1" applyProtection="1">
      <alignment wrapText="1"/>
      <protection locked="0"/>
    </xf>
    <xf numFmtId="0" fontId="0" fillId="0" borderId="0" xfId="0" quotePrefix="1" applyAlignment="1">
      <alignment wrapText="1"/>
    </xf>
  </cellXfs>
  <cellStyles count="1">
    <cellStyle name="Normal" xfId="0" builtinId="0"/>
  </cellStyles>
  <dxfs count="18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numFmt numFmtId="19" formatCode="m/d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EmployeeTable" displayName="EmployeeTable" ref="A1:H51" totalsRowShown="0" dataDxfId="17">
  <autoFilter ref="A1:H51"/>
  <tableColumns count="8">
    <tableColumn id="1" name="Employee Number" dataDxfId="16"/>
    <tableColumn id="2" name="First Name" dataDxfId="15"/>
    <tableColumn id="3" name="Last Name" dataDxfId="14"/>
    <tableColumn id="4" name="Date of Birth" dataDxfId="13"/>
    <tableColumn id="8" name="Age" dataDxfId="12">
      <calculatedColumnFormula>(TODAY()-EmployeeTable[[#This Row],[Date of Birth]])/365.25</calculatedColumnFormula>
    </tableColumn>
    <tableColumn id="5" name="Gender" dataDxfId="11"/>
    <tableColumn id="6" name="Department" dataDxfId="10"/>
    <tableColumn id="7" name="Number On Team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DeptTable" displayName="DeptTable" ref="A1:A13" totalsRowShown="0" dataDxfId="8">
  <autoFilter ref="A1:A13"/>
  <tableColumns count="1">
    <tableColumn id="1" name="Department" dataDxfId="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9" name="ParameterTable" displayName="ParameterTable" ref="C1:R25" totalsRowShown="0">
  <autoFilter ref="C1:R25"/>
  <tableColumns count="16">
    <tableColumn id="1" name="Table Name"/>
    <tableColumn id="2" name="Cell Header Text"/>
    <tableColumn id="3" name="Key"/>
    <tableColumn id="4" name="Cell Name"/>
    <tableColumn id="5" name="Cell Type" dataDxfId="6"/>
    <tableColumn id="6" name="Operator" dataDxfId="5"/>
    <tableColumn id="7" name="Alert Style" dataDxfId="4"/>
    <tableColumn id="8" name="Formula 1" dataDxfId="3"/>
    <tableColumn id="9" name="Formula 2" dataDxfId="2"/>
    <tableColumn id="10" name="Ignore Blanks"/>
    <tableColumn id="11" name="Show Input Message"/>
    <tableColumn id="12" name="Input Title"/>
    <tableColumn id="13" name="Input Message" dataDxfId="1"/>
    <tableColumn id="14" name="Show Error Message"/>
    <tableColumn id="15" name="Error Title"/>
    <tableColumn id="16" name="Error Messag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1"/>
  <sheetViews>
    <sheetView tabSelected="1" showOutlineSymbols="0" showWhiteSpace="0" workbookViewId="0">
      <pane ySplit="1" topLeftCell="A15" activePane="bottomLeft" state="frozen"/>
      <selection pane="bottomLeft" activeCell="G34" sqref="G34"/>
    </sheetView>
  </sheetViews>
  <sheetFormatPr defaultRowHeight="14.25" x14ac:dyDescent="0.2"/>
  <cols>
    <col min="1" max="1" width="19.25" bestFit="1" customWidth="1"/>
    <col min="2" max="2" width="12.375" bestFit="1" customWidth="1"/>
    <col min="3" max="3" width="12.125" bestFit="1" customWidth="1"/>
    <col min="4" max="4" width="14.125" bestFit="1" customWidth="1"/>
    <col min="5" max="5" width="6.25" bestFit="1" customWidth="1"/>
    <col min="6" max="6" width="9.625" bestFit="1" customWidth="1"/>
    <col min="7" max="7" width="24" bestFit="1" customWidth="1"/>
    <col min="8" max="8" width="18.5" bestFit="1" customWidth="1"/>
  </cols>
  <sheetData>
    <row r="1" spans="1:8" x14ac:dyDescent="0.2">
      <c r="A1" t="s">
        <v>17</v>
      </c>
      <c r="B1" t="s">
        <v>18</v>
      </c>
      <c r="C1" t="s">
        <v>19</v>
      </c>
      <c r="D1" t="s">
        <v>0</v>
      </c>
      <c r="E1" t="s">
        <v>21</v>
      </c>
      <c r="F1" t="s">
        <v>1</v>
      </c>
      <c r="G1" t="s">
        <v>2</v>
      </c>
      <c r="H1" t="s">
        <v>20</v>
      </c>
    </row>
    <row r="2" spans="1:8" x14ac:dyDescent="0.2">
      <c r="A2" s="1" t="s">
        <v>22</v>
      </c>
      <c r="B2" s="1" t="s">
        <v>23</v>
      </c>
      <c r="C2" s="1" t="s">
        <v>24</v>
      </c>
      <c r="D2" s="3">
        <v>31409</v>
      </c>
      <c r="E2" s="2">
        <f ca="1">(TODAY()-EmployeeTable[[#This Row],[Date of Birth]])/365.25</f>
        <v>32.008213552361397</v>
      </c>
      <c r="F2" s="1" t="s">
        <v>7</v>
      </c>
      <c r="G2" s="1" t="s">
        <v>9</v>
      </c>
      <c r="H2" s="1">
        <v>0</v>
      </c>
    </row>
    <row r="3" spans="1:8" x14ac:dyDescent="0.2">
      <c r="A3" s="1" t="s">
        <v>25</v>
      </c>
      <c r="B3" s="1" t="s">
        <v>26</v>
      </c>
      <c r="C3" s="1" t="s">
        <v>27</v>
      </c>
      <c r="D3" s="3">
        <v>31124</v>
      </c>
      <c r="E3" s="2">
        <f ca="1">(TODAY()-EmployeeTable[[#This Row],[Date of Birth]])/365.25</f>
        <v>32.788501026694043</v>
      </c>
      <c r="F3" s="1" t="s">
        <v>7</v>
      </c>
      <c r="G3" s="1" t="s">
        <v>13</v>
      </c>
      <c r="H3" s="1">
        <v>6</v>
      </c>
    </row>
    <row r="4" spans="1:8" x14ac:dyDescent="0.2">
      <c r="A4" s="1" t="s">
        <v>28</v>
      </c>
      <c r="B4" s="1" t="s">
        <v>29</v>
      </c>
      <c r="C4" s="1" t="s">
        <v>30</v>
      </c>
      <c r="D4" s="3">
        <v>25557</v>
      </c>
      <c r="E4" s="2">
        <f ca="1">(TODAY()-EmployeeTable[[#This Row],[Date of Birth]])/365.25</f>
        <v>48.030116358658454</v>
      </c>
      <c r="F4" s="1" t="s">
        <v>7</v>
      </c>
      <c r="G4" s="1" t="s">
        <v>10</v>
      </c>
      <c r="H4" s="1">
        <v>11</v>
      </c>
    </row>
    <row r="5" spans="1:8" x14ac:dyDescent="0.2">
      <c r="A5" s="1" t="s">
        <v>31</v>
      </c>
      <c r="B5" s="1" t="s">
        <v>32</v>
      </c>
      <c r="C5" s="1" t="s">
        <v>33</v>
      </c>
      <c r="D5" s="3">
        <v>28677</v>
      </c>
      <c r="E5" s="2">
        <f ca="1">(TODAY()-EmployeeTable[[#This Row],[Date of Birth]])/365.25</f>
        <v>39.488021902806295</v>
      </c>
      <c r="F5" s="1" t="s">
        <v>7</v>
      </c>
      <c r="G5" s="1" t="s">
        <v>8</v>
      </c>
      <c r="H5" s="1">
        <v>17</v>
      </c>
    </row>
    <row r="6" spans="1:8" x14ac:dyDescent="0.2">
      <c r="A6" s="1" t="s">
        <v>34</v>
      </c>
      <c r="B6" s="1" t="s">
        <v>35</v>
      </c>
      <c r="C6" s="1" t="s">
        <v>36</v>
      </c>
      <c r="D6" s="3">
        <v>32147</v>
      </c>
      <c r="E6" s="2">
        <f ca="1">(TODAY()-EmployeeTable[[#This Row],[Date of Birth]])/365.25</f>
        <v>29.987679671457904</v>
      </c>
      <c r="F6" s="1" t="s">
        <v>7</v>
      </c>
      <c r="G6" s="1" t="s">
        <v>15</v>
      </c>
      <c r="H6" s="1">
        <v>3</v>
      </c>
    </row>
    <row r="7" spans="1:8" x14ac:dyDescent="0.2">
      <c r="A7" s="1" t="s">
        <v>37</v>
      </c>
      <c r="B7" s="1" t="s">
        <v>38</v>
      </c>
      <c r="C7" s="1" t="s">
        <v>39</v>
      </c>
      <c r="D7" s="3">
        <v>28663</v>
      </c>
      <c r="E7" s="2">
        <f ca="1">(TODAY()-EmployeeTable[[#This Row],[Date of Birth]])/365.25</f>
        <v>39.526351813826146</v>
      </c>
      <c r="F7" s="1" t="s">
        <v>7</v>
      </c>
      <c r="G7" s="1" t="s">
        <v>8</v>
      </c>
      <c r="H7" s="1">
        <v>5</v>
      </c>
    </row>
    <row r="8" spans="1:8" x14ac:dyDescent="0.2">
      <c r="A8" s="1" t="s">
        <v>40</v>
      </c>
      <c r="B8" s="1" t="s">
        <v>41</v>
      </c>
      <c r="C8" s="1" t="s">
        <v>42</v>
      </c>
      <c r="D8" s="3">
        <v>26647</v>
      </c>
      <c r="E8" s="2">
        <f ca="1">(TODAY()-EmployeeTable[[#This Row],[Date of Birth]])/365.25</f>
        <v>45.045859000684466</v>
      </c>
      <c r="F8" s="1" t="s">
        <v>3</v>
      </c>
      <c r="G8" s="1" t="s">
        <v>11</v>
      </c>
      <c r="H8" s="1">
        <v>8</v>
      </c>
    </row>
    <row r="9" spans="1:8" x14ac:dyDescent="0.2">
      <c r="A9" s="1" t="s">
        <v>43</v>
      </c>
      <c r="B9" s="1" t="s">
        <v>44</v>
      </c>
      <c r="C9" s="1" t="s">
        <v>45</v>
      </c>
      <c r="D9" s="3">
        <v>35395</v>
      </c>
      <c r="E9" s="2">
        <f ca="1">(TODAY()-EmployeeTable[[#This Row],[Date of Birth]])/365.25</f>
        <v>21.095140314852841</v>
      </c>
      <c r="F9" s="1" t="s">
        <v>3</v>
      </c>
      <c r="G9" s="1" t="s">
        <v>12</v>
      </c>
      <c r="H9" s="1">
        <v>17</v>
      </c>
    </row>
    <row r="10" spans="1:8" x14ac:dyDescent="0.2">
      <c r="A10" s="1" t="s">
        <v>46</v>
      </c>
      <c r="B10" s="1" t="s">
        <v>47</v>
      </c>
      <c r="C10" s="1" t="s">
        <v>48</v>
      </c>
      <c r="D10" s="3">
        <v>22862</v>
      </c>
      <c r="E10" s="2">
        <f ca="1">(TODAY()-EmployeeTable[[#This Row],[Date of Birth]])/365.25</f>
        <v>55.408624229979466</v>
      </c>
      <c r="F10" s="1" t="s">
        <v>3</v>
      </c>
      <c r="G10" s="1" t="s">
        <v>5</v>
      </c>
      <c r="H10" s="1">
        <v>13</v>
      </c>
    </row>
    <row r="11" spans="1:8" x14ac:dyDescent="0.2">
      <c r="A11" s="1" t="s">
        <v>49</v>
      </c>
      <c r="B11" s="1" t="s">
        <v>50</v>
      </c>
      <c r="C11" s="1" t="s">
        <v>51</v>
      </c>
      <c r="D11" s="3">
        <v>28037</v>
      </c>
      <c r="E11" s="2">
        <f ca="1">(TODAY()-EmployeeTable[[#This Row],[Date of Birth]])/365.25</f>
        <v>41.24024640657084</v>
      </c>
      <c r="F11" s="1" t="s">
        <v>7</v>
      </c>
      <c r="G11" s="1" t="s">
        <v>4</v>
      </c>
      <c r="H11" s="1">
        <v>9</v>
      </c>
    </row>
    <row r="12" spans="1:8" x14ac:dyDescent="0.2">
      <c r="A12" s="1" t="s">
        <v>52</v>
      </c>
      <c r="B12" s="1" t="s">
        <v>53</v>
      </c>
      <c r="C12" s="1" t="s">
        <v>54</v>
      </c>
      <c r="D12" s="3">
        <v>32078</v>
      </c>
      <c r="E12" s="2">
        <f ca="1">(TODAY()-EmployeeTable[[#This Row],[Date of Birth]])/365.25</f>
        <v>30.17659137577002</v>
      </c>
      <c r="F12" s="1" t="s">
        <v>7</v>
      </c>
      <c r="G12" s="1" t="s">
        <v>8</v>
      </c>
      <c r="H12" s="1">
        <v>12</v>
      </c>
    </row>
    <row r="13" spans="1:8" x14ac:dyDescent="0.2">
      <c r="A13" s="1" t="s">
        <v>55</v>
      </c>
      <c r="B13" s="1" t="s">
        <v>56</v>
      </c>
      <c r="C13" s="1" t="s">
        <v>57</v>
      </c>
      <c r="D13" s="3">
        <v>33137</v>
      </c>
      <c r="E13" s="2">
        <f ca="1">(TODAY()-EmployeeTable[[#This Row],[Date of Birth]])/365.25</f>
        <v>27.277207392197127</v>
      </c>
      <c r="F13" s="1" t="s">
        <v>7</v>
      </c>
      <c r="G13" s="1" t="s">
        <v>10</v>
      </c>
      <c r="H13" s="1">
        <v>19</v>
      </c>
    </row>
    <row r="14" spans="1:8" x14ac:dyDescent="0.2">
      <c r="A14" s="1" t="s">
        <v>58</v>
      </c>
      <c r="B14" s="1" t="s">
        <v>59</v>
      </c>
      <c r="C14" s="1" t="s">
        <v>60</v>
      </c>
      <c r="D14" s="3">
        <v>30574</v>
      </c>
      <c r="E14" s="2">
        <f ca="1">(TODAY()-EmployeeTable[[#This Row],[Date of Birth]])/365.25</f>
        <v>34.294318959616703</v>
      </c>
      <c r="F14" s="1" t="s">
        <v>7</v>
      </c>
      <c r="G14" s="1" t="s">
        <v>11</v>
      </c>
      <c r="H14" s="1">
        <v>13</v>
      </c>
    </row>
    <row r="15" spans="1:8" x14ac:dyDescent="0.2">
      <c r="A15" s="1" t="s">
        <v>61</v>
      </c>
      <c r="B15" s="1" t="s">
        <v>62</v>
      </c>
      <c r="C15" s="1" t="s">
        <v>63</v>
      </c>
      <c r="D15" s="3">
        <v>29701</v>
      </c>
      <c r="E15" s="2">
        <f ca="1">(TODAY()-EmployeeTable[[#This Row],[Date of Birth]])/365.25</f>
        <v>36.684462696783022</v>
      </c>
      <c r="F15" s="1" t="s">
        <v>3</v>
      </c>
      <c r="G15" s="1" t="s">
        <v>15</v>
      </c>
      <c r="H15" s="1">
        <v>9</v>
      </c>
    </row>
    <row r="16" spans="1:8" x14ac:dyDescent="0.2">
      <c r="A16" s="1" t="s">
        <v>64</v>
      </c>
      <c r="B16" s="1" t="s">
        <v>65</v>
      </c>
      <c r="C16" s="1" t="s">
        <v>66</v>
      </c>
      <c r="D16" s="3">
        <v>28092</v>
      </c>
      <c r="E16" s="2">
        <f ca="1">(TODAY()-EmployeeTable[[#This Row],[Date of Birth]])/365.25</f>
        <v>41.089664613278579</v>
      </c>
      <c r="F16" s="1" t="s">
        <v>3</v>
      </c>
      <c r="G16" s="1" t="s">
        <v>9</v>
      </c>
      <c r="H16" s="1">
        <v>0</v>
      </c>
    </row>
    <row r="17" spans="1:8" x14ac:dyDescent="0.2">
      <c r="A17" s="1" t="s">
        <v>67</v>
      </c>
      <c r="B17" s="1" t="s">
        <v>68</v>
      </c>
      <c r="C17" s="1" t="s">
        <v>69</v>
      </c>
      <c r="D17" s="3">
        <v>22851</v>
      </c>
      <c r="E17" s="2">
        <f ca="1">(TODAY()-EmployeeTable[[#This Row],[Date of Birth]])/365.25</f>
        <v>55.43874058863792</v>
      </c>
      <c r="F17" s="1" t="s">
        <v>7</v>
      </c>
      <c r="G17" s="1" t="s">
        <v>8</v>
      </c>
      <c r="H17" s="1">
        <v>1</v>
      </c>
    </row>
    <row r="18" spans="1:8" x14ac:dyDescent="0.2">
      <c r="A18" s="1" t="s">
        <v>70</v>
      </c>
      <c r="B18" s="1" t="s">
        <v>71</v>
      </c>
      <c r="C18" s="1" t="s">
        <v>72</v>
      </c>
      <c r="D18" s="3">
        <v>24459</v>
      </c>
      <c r="E18" s="2">
        <f ca="1">(TODAY()-EmployeeTable[[#This Row],[Date of Birth]])/365.25</f>
        <v>51.036276522929498</v>
      </c>
      <c r="F18" s="1" t="s">
        <v>3</v>
      </c>
      <c r="G18" s="1" t="s">
        <v>13</v>
      </c>
      <c r="H18" s="1">
        <v>6</v>
      </c>
    </row>
    <row r="19" spans="1:8" x14ac:dyDescent="0.2">
      <c r="A19" s="1" t="s">
        <v>73</v>
      </c>
      <c r="B19" s="1" t="s">
        <v>74</v>
      </c>
      <c r="C19" s="1" t="s">
        <v>75</v>
      </c>
      <c r="D19" s="3">
        <v>23028</v>
      </c>
      <c r="E19" s="2">
        <f ca="1">(TODAY()-EmployeeTable[[#This Row],[Date of Birth]])/365.25</f>
        <v>54.954140999315534</v>
      </c>
      <c r="F19" s="1" t="s">
        <v>3</v>
      </c>
      <c r="G19" s="1" t="s">
        <v>5</v>
      </c>
      <c r="H19" s="1">
        <v>17</v>
      </c>
    </row>
    <row r="20" spans="1:8" x14ac:dyDescent="0.2">
      <c r="A20" s="1" t="s">
        <v>76</v>
      </c>
      <c r="B20" s="1" t="s">
        <v>77</v>
      </c>
      <c r="C20" s="1" t="s">
        <v>78</v>
      </c>
      <c r="D20" s="3">
        <v>26111</v>
      </c>
      <c r="E20" s="2">
        <f ca="1">(TODAY()-EmployeeTable[[#This Row],[Date of Birth]])/365.25</f>
        <v>46.513347022587268</v>
      </c>
      <c r="F20" s="1" t="s">
        <v>7</v>
      </c>
      <c r="G20" s="1" t="s">
        <v>10</v>
      </c>
      <c r="H20" s="1">
        <v>9</v>
      </c>
    </row>
    <row r="21" spans="1:8" x14ac:dyDescent="0.2">
      <c r="A21" s="1" t="s">
        <v>79</v>
      </c>
      <c r="B21" s="1" t="s">
        <v>80</v>
      </c>
      <c r="C21" s="1" t="s">
        <v>81</v>
      </c>
      <c r="D21" s="3">
        <v>26742</v>
      </c>
      <c r="E21" s="2">
        <f ca="1">(TODAY()-EmployeeTable[[#This Row],[Date of Birth]])/365.25</f>
        <v>44.785763175906915</v>
      </c>
      <c r="F21" s="1" t="s">
        <v>3</v>
      </c>
      <c r="G21" s="1" t="s">
        <v>4</v>
      </c>
      <c r="H21" s="1">
        <v>0</v>
      </c>
    </row>
    <row r="22" spans="1:8" x14ac:dyDescent="0.2">
      <c r="A22" s="1" t="s">
        <v>82</v>
      </c>
      <c r="B22" s="1" t="s">
        <v>83</v>
      </c>
      <c r="C22" s="1" t="s">
        <v>84</v>
      </c>
      <c r="D22" s="3">
        <v>25384</v>
      </c>
      <c r="E22" s="2">
        <f ca="1">(TODAY()-EmployeeTable[[#This Row],[Date of Birth]])/365.25</f>
        <v>48.503764544832308</v>
      </c>
      <c r="F22" s="1" t="s">
        <v>3</v>
      </c>
      <c r="G22" s="1" t="s">
        <v>4</v>
      </c>
      <c r="H22" s="1">
        <v>7</v>
      </c>
    </row>
    <row r="23" spans="1:8" x14ac:dyDescent="0.2">
      <c r="A23" s="1" t="s">
        <v>85</v>
      </c>
      <c r="B23" s="1" t="s">
        <v>86</v>
      </c>
      <c r="C23" s="1" t="s">
        <v>87</v>
      </c>
      <c r="D23" s="3">
        <v>25537</v>
      </c>
      <c r="E23" s="2">
        <f ca="1">(TODAY()-EmployeeTable[[#This Row],[Date of Birth]])/365.25</f>
        <v>48.084873374401099</v>
      </c>
      <c r="F23" s="1" t="s">
        <v>3</v>
      </c>
      <c r="G23" s="1" t="s">
        <v>4</v>
      </c>
      <c r="H23" s="1">
        <v>20</v>
      </c>
    </row>
    <row r="24" spans="1:8" x14ac:dyDescent="0.2">
      <c r="A24" s="1" t="s">
        <v>88</v>
      </c>
      <c r="B24" s="1" t="s">
        <v>89</v>
      </c>
      <c r="C24" s="1" t="s">
        <v>90</v>
      </c>
      <c r="D24" s="3">
        <v>29533</v>
      </c>
      <c r="E24" s="2">
        <f ca="1">(TODAY()-EmployeeTable[[#This Row],[Date of Birth]])/365.25</f>
        <v>37.144421629021217</v>
      </c>
      <c r="F24" s="1" t="s">
        <v>3</v>
      </c>
      <c r="G24" s="1" t="s">
        <v>10</v>
      </c>
      <c r="H24" s="1">
        <v>17</v>
      </c>
    </row>
    <row r="25" spans="1:8" x14ac:dyDescent="0.2">
      <c r="A25" s="1" t="s">
        <v>91</v>
      </c>
      <c r="B25" s="1" t="s">
        <v>92</v>
      </c>
      <c r="C25" s="1" t="s">
        <v>93</v>
      </c>
      <c r="D25" s="3">
        <v>27801</v>
      </c>
      <c r="E25" s="2">
        <f ca="1">(TODAY()-EmployeeTable[[#This Row],[Date of Birth]])/365.25</f>
        <v>41.886379192334019</v>
      </c>
      <c r="F25" s="1" t="s">
        <v>7</v>
      </c>
      <c r="G25" s="1" t="s">
        <v>12</v>
      </c>
      <c r="H25" s="1">
        <v>13</v>
      </c>
    </row>
    <row r="26" spans="1:8" x14ac:dyDescent="0.2">
      <c r="A26" s="1" t="s">
        <v>94</v>
      </c>
      <c r="B26" s="1" t="s">
        <v>95</v>
      </c>
      <c r="C26" s="1" t="s">
        <v>96</v>
      </c>
      <c r="D26" s="3">
        <v>31427</v>
      </c>
      <c r="E26" s="2">
        <f ca="1">(TODAY()-EmployeeTable[[#This Row],[Date of Birth]])/365.25</f>
        <v>31.958932238193018</v>
      </c>
      <c r="F26" s="1" t="s">
        <v>3</v>
      </c>
      <c r="G26" s="1" t="s">
        <v>15</v>
      </c>
      <c r="H26" s="1">
        <v>20</v>
      </c>
    </row>
    <row r="27" spans="1:8" x14ac:dyDescent="0.2">
      <c r="A27" s="1" t="s">
        <v>97</v>
      </c>
      <c r="B27" s="1" t="s">
        <v>98</v>
      </c>
      <c r="C27" s="1" t="s">
        <v>99</v>
      </c>
      <c r="D27" s="3">
        <v>29258</v>
      </c>
      <c r="E27" s="2">
        <f ca="1">(TODAY()-EmployeeTable[[#This Row],[Date of Birth]])/365.25</f>
        <v>37.897330595482543</v>
      </c>
      <c r="F27" s="1" t="s">
        <v>7</v>
      </c>
      <c r="G27" s="1" t="s">
        <v>14</v>
      </c>
      <c r="H27" s="1">
        <v>8</v>
      </c>
    </row>
    <row r="28" spans="1:8" x14ac:dyDescent="0.2">
      <c r="A28" s="1" t="s">
        <v>100</v>
      </c>
      <c r="B28" s="1" t="s">
        <v>101</v>
      </c>
      <c r="C28" s="1" t="s">
        <v>102</v>
      </c>
      <c r="D28" s="3">
        <v>24124</v>
      </c>
      <c r="E28" s="2">
        <f ca="1">(TODAY()-EmployeeTable[[#This Row],[Date of Birth]])/365.25</f>
        <v>51.953456536618752</v>
      </c>
      <c r="F28" s="1" t="s">
        <v>7</v>
      </c>
      <c r="G28" s="1" t="s">
        <v>10</v>
      </c>
      <c r="H28" s="1">
        <v>2</v>
      </c>
    </row>
    <row r="29" spans="1:8" x14ac:dyDescent="0.2">
      <c r="A29" s="1" t="s">
        <v>103</v>
      </c>
      <c r="B29" s="1" t="s">
        <v>104</v>
      </c>
      <c r="C29" s="1" t="s">
        <v>105</v>
      </c>
      <c r="D29" s="3">
        <v>28981</v>
      </c>
      <c r="E29" s="2">
        <f ca="1">(TODAY()-EmployeeTable[[#This Row],[Date of Birth]])/365.25</f>
        <v>38.65571526351814</v>
      </c>
      <c r="F29" s="1" t="s">
        <v>3</v>
      </c>
      <c r="G29" s="1" t="s">
        <v>5</v>
      </c>
      <c r="H29" s="1">
        <v>13</v>
      </c>
    </row>
    <row r="30" spans="1:8" x14ac:dyDescent="0.2">
      <c r="A30" s="1" t="s">
        <v>106</v>
      </c>
      <c r="B30" s="1" t="s">
        <v>107</v>
      </c>
      <c r="C30" s="1" t="s">
        <v>108</v>
      </c>
      <c r="D30" s="3">
        <v>34686</v>
      </c>
      <c r="E30" s="2">
        <f ca="1">(TODAY()-EmployeeTable[[#This Row],[Date of Birth]])/365.25</f>
        <v>23.036276522929501</v>
      </c>
      <c r="F30" s="1" t="s">
        <v>7</v>
      </c>
      <c r="G30" s="1" t="s">
        <v>13</v>
      </c>
      <c r="H30" s="1">
        <v>9</v>
      </c>
    </row>
    <row r="31" spans="1:8" x14ac:dyDescent="0.2">
      <c r="A31" s="1" t="s">
        <v>109</v>
      </c>
      <c r="B31" s="1" t="s">
        <v>110</v>
      </c>
      <c r="C31" s="1" t="s">
        <v>111</v>
      </c>
      <c r="D31" s="3">
        <v>28425</v>
      </c>
      <c r="E31" s="2">
        <f ca="1">(TODAY()-EmployeeTable[[#This Row],[Date of Birth]])/365.25</f>
        <v>40.177960301163587</v>
      </c>
      <c r="F31" s="1" t="s">
        <v>3</v>
      </c>
      <c r="G31" s="1" t="s">
        <v>13</v>
      </c>
      <c r="H31" s="1">
        <v>13</v>
      </c>
    </row>
    <row r="32" spans="1:8" x14ac:dyDescent="0.2">
      <c r="A32" s="1" t="s">
        <v>112</v>
      </c>
      <c r="B32" s="1" t="s">
        <v>113</v>
      </c>
      <c r="C32" s="1" t="s">
        <v>114</v>
      </c>
      <c r="D32" s="3">
        <v>22306</v>
      </c>
      <c r="E32" s="2">
        <f ca="1">(TODAY()-EmployeeTable[[#This Row],[Date of Birth]])/365.25</f>
        <v>56.930869267624914</v>
      </c>
      <c r="F32" s="1" t="s">
        <v>7</v>
      </c>
      <c r="G32" s="1" t="s">
        <v>6</v>
      </c>
      <c r="H32" s="1">
        <v>13</v>
      </c>
    </row>
    <row r="33" spans="1:8" x14ac:dyDescent="0.2">
      <c r="A33" s="1" t="s">
        <v>115</v>
      </c>
      <c r="B33" s="1" t="s">
        <v>116</v>
      </c>
      <c r="C33" s="1" t="s">
        <v>117</v>
      </c>
      <c r="D33" s="3">
        <v>32326</v>
      </c>
      <c r="E33" s="2">
        <f ca="1">(TODAY()-EmployeeTable[[#This Row],[Date of Birth]])/365.25</f>
        <v>29.49760438056126</v>
      </c>
      <c r="F33" s="1" t="s">
        <v>3</v>
      </c>
      <c r="G33" s="1" t="s">
        <v>8</v>
      </c>
      <c r="H33" s="1">
        <v>17</v>
      </c>
    </row>
    <row r="34" spans="1:8" x14ac:dyDescent="0.2">
      <c r="A34" s="1" t="s">
        <v>118</v>
      </c>
      <c r="B34" s="1" t="s">
        <v>119</v>
      </c>
      <c r="C34" s="1" t="s">
        <v>120</v>
      </c>
      <c r="D34" s="3">
        <v>27606</v>
      </c>
      <c r="E34" s="2">
        <f ca="1">(TODAY()-EmployeeTable[[#This Row],[Date of Birth]])/365.25</f>
        <v>42.42026009582478</v>
      </c>
      <c r="F34" s="1" t="s">
        <v>3</v>
      </c>
      <c r="G34" s="1" t="s">
        <v>9</v>
      </c>
      <c r="H34" s="1">
        <v>2</v>
      </c>
    </row>
    <row r="35" spans="1:8" x14ac:dyDescent="0.2">
      <c r="A35" s="1" t="s">
        <v>121</v>
      </c>
      <c r="B35" s="1" t="s">
        <v>122</v>
      </c>
      <c r="C35" s="1" t="s">
        <v>123</v>
      </c>
      <c r="D35" s="3">
        <v>34094</v>
      </c>
      <c r="E35" s="2">
        <f ca="1">(TODAY()-EmployeeTable[[#This Row],[Date of Birth]])/365.25</f>
        <v>24.657084188911703</v>
      </c>
      <c r="F35" s="1" t="s">
        <v>3</v>
      </c>
      <c r="G35" s="1" t="s">
        <v>4</v>
      </c>
      <c r="H35" s="1">
        <v>7</v>
      </c>
    </row>
    <row r="36" spans="1:8" x14ac:dyDescent="0.2">
      <c r="A36" s="1" t="s">
        <v>124</v>
      </c>
      <c r="B36" s="1" t="s">
        <v>125</v>
      </c>
      <c r="C36" s="1" t="s">
        <v>126</v>
      </c>
      <c r="D36" s="3">
        <v>35050</v>
      </c>
      <c r="E36" s="2">
        <f ca="1">(TODAY()-EmployeeTable[[#This Row],[Date of Birth]])/365.25</f>
        <v>22.039698836413415</v>
      </c>
      <c r="F36" s="1" t="s">
        <v>3</v>
      </c>
      <c r="G36" s="1" t="s">
        <v>5</v>
      </c>
      <c r="H36" s="1">
        <v>2</v>
      </c>
    </row>
    <row r="37" spans="1:8" x14ac:dyDescent="0.2">
      <c r="A37" s="1" t="s">
        <v>127</v>
      </c>
      <c r="B37" s="1" t="s">
        <v>128</v>
      </c>
      <c r="C37" s="1" t="s">
        <v>129</v>
      </c>
      <c r="D37" s="3">
        <v>31625</v>
      </c>
      <c r="E37" s="2">
        <f ca="1">(TODAY()-EmployeeTable[[#This Row],[Date of Birth]])/365.25</f>
        <v>31.416837782340863</v>
      </c>
      <c r="F37" s="1" t="s">
        <v>7</v>
      </c>
      <c r="G37" s="1" t="s">
        <v>12</v>
      </c>
      <c r="H37" s="1">
        <v>16</v>
      </c>
    </row>
    <row r="38" spans="1:8" x14ac:dyDescent="0.2">
      <c r="A38" s="1" t="s">
        <v>130</v>
      </c>
      <c r="B38" s="1" t="s">
        <v>131</v>
      </c>
      <c r="C38" s="1" t="s">
        <v>132</v>
      </c>
      <c r="D38" s="3">
        <v>27213</v>
      </c>
      <c r="E38" s="2">
        <f ca="1">(TODAY()-EmployeeTable[[#This Row],[Date of Birth]])/365.25</f>
        <v>43.496235455167692</v>
      </c>
      <c r="F38" s="1" t="s">
        <v>7</v>
      </c>
      <c r="G38" s="1" t="s">
        <v>8</v>
      </c>
      <c r="H38" s="1">
        <v>1</v>
      </c>
    </row>
    <row r="39" spans="1:8" x14ac:dyDescent="0.2">
      <c r="A39" s="1" t="s">
        <v>133</v>
      </c>
      <c r="B39" s="1" t="s">
        <v>134</v>
      </c>
      <c r="C39" s="1" t="s">
        <v>135</v>
      </c>
      <c r="D39" s="3">
        <v>23136</v>
      </c>
      <c r="E39" s="2">
        <f ca="1">(TODAY()-EmployeeTable[[#This Row],[Date of Birth]])/365.25</f>
        <v>54.658453114305267</v>
      </c>
      <c r="F39" s="1" t="s">
        <v>3</v>
      </c>
      <c r="G39" s="1" t="s">
        <v>4</v>
      </c>
      <c r="H39" s="1">
        <v>20</v>
      </c>
    </row>
    <row r="40" spans="1:8" x14ac:dyDescent="0.2">
      <c r="A40" s="1" t="s">
        <v>136</v>
      </c>
      <c r="B40" s="1" t="s">
        <v>137</v>
      </c>
      <c r="C40" s="1" t="s">
        <v>138</v>
      </c>
      <c r="D40" s="3">
        <v>32601</v>
      </c>
      <c r="E40" s="2">
        <f ca="1">(TODAY()-EmployeeTable[[#This Row],[Date of Birth]])/365.25</f>
        <v>28.744695414099933</v>
      </c>
      <c r="F40" s="1" t="s">
        <v>3</v>
      </c>
      <c r="G40" s="1" t="s">
        <v>14</v>
      </c>
      <c r="H40" s="1">
        <v>13</v>
      </c>
    </row>
    <row r="41" spans="1:8" x14ac:dyDescent="0.2">
      <c r="A41" s="1" t="s">
        <v>139</v>
      </c>
      <c r="B41" s="1" t="s">
        <v>140</v>
      </c>
      <c r="C41" s="1" t="s">
        <v>141</v>
      </c>
      <c r="D41" s="3">
        <v>24277</v>
      </c>
      <c r="E41" s="2">
        <f ca="1">(TODAY()-EmployeeTable[[#This Row],[Date of Birth]])/365.25</f>
        <v>51.534565366187543</v>
      </c>
      <c r="F41" s="1" t="s">
        <v>3</v>
      </c>
      <c r="G41" s="1" t="s">
        <v>5</v>
      </c>
      <c r="H41" s="1">
        <v>2</v>
      </c>
    </row>
    <row r="42" spans="1:8" x14ac:dyDescent="0.2">
      <c r="A42" s="1" t="s">
        <v>142</v>
      </c>
      <c r="B42" s="1" t="s">
        <v>143</v>
      </c>
      <c r="C42" s="1" t="s">
        <v>144</v>
      </c>
      <c r="D42" s="3">
        <v>30178</v>
      </c>
      <c r="E42" s="2">
        <f ca="1">(TODAY()-EmployeeTable[[#This Row],[Date of Birth]])/365.25</f>
        <v>35.378507871321013</v>
      </c>
      <c r="F42" s="1" t="s">
        <v>3</v>
      </c>
      <c r="G42" s="1" t="s">
        <v>9</v>
      </c>
      <c r="H42" s="1">
        <v>18</v>
      </c>
    </row>
    <row r="43" spans="1:8" x14ac:dyDescent="0.2">
      <c r="A43" s="1" t="s">
        <v>145</v>
      </c>
      <c r="B43" s="1" t="s">
        <v>146</v>
      </c>
      <c r="C43" s="1" t="s">
        <v>147</v>
      </c>
      <c r="D43" s="3">
        <v>22848</v>
      </c>
      <c r="E43" s="2">
        <f ca="1">(TODAY()-EmployeeTable[[#This Row],[Date of Birth]])/365.25</f>
        <v>55.446954140999317</v>
      </c>
      <c r="F43" s="1" t="s">
        <v>7</v>
      </c>
      <c r="G43" s="1" t="s">
        <v>8</v>
      </c>
      <c r="H43" s="1">
        <v>16</v>
      </c>
    </row>
    <row r="44" spans="1:8" x14ac:dyDescent="0.2">
      <c r="A44" s="1" t="s">
        <v>148</v>
      </c>
      <c r="B44" s="1" t="s">
        <v>149</v>
      </c>
      <c r="C44" s="1" t="s">
        <v>150</v>
      </c>
      <c r="D44" s="3">
        <v>24279</v>
      </c>
      <c r="E44" s="2">
        <f ca="1">(TODAY()-EmployeeTable[[#This Row],[Date of Birth]])/365.25</f>
        <v>51.529089664613281</v>
      </c>
      <c r="F44" s="1" t="s">
        <v>3</v>
      </c>
      <c r="G44" s="1" t="s">
        <v>11</v>
      </c>
      <c r="H44" s="1">
        <v>11</v>
      </c>
    </row>
    <row r="45" spans="1:8" x14ac:dyDescent="0.2">
      <c r="A45" s="1" t="s">
        <v>151</v>
      </c>
      <c r="B45" s="1" t="s">
        <v>152</v>
      </c>
      <c r="C45" s="1" t="s">
        <v>153</v>
      </c>
      <c r="D45" s="3">
        <v>27779</v>
      </c>
      <c r="E45" s="2">
        <f ca="1">(TODAY()-EmployeeTable[[#This Row],[Date of Birth]])/365.25</f>
        <v>41.946611909650926</v>
      </c>
      <c r="F45" s="1" t="s">
        <v>3</v>
      </c>
      <c r="G45" s="1" t="s">
        <v>14</v>
      </c>
      <c r="H45" s="1">
        <v>14</v>
      </c>
    </row>
    <row r="46" spans="1:8" x14ac:dyDescent="0.2">
      <c r="A46" s="1" t="s">
        <v>154</v>
      </c>
      <c r="B46" s="1" t="s">
        <v>155</v>
      </c>
      <c r="C46" s="1" t="s">
        <v>156</v>
      </c>
      <c r="D46" s="3">
        <v>26760</v>
      </c>
      <c r="E46" s="2">
        <f ca="1">(TODAY()-EmployeeTable[[#This Row],[Date of Birth]])/365.25</f>
        <v>44.736481861738532</v>
      </c>
      <c r="F46" s="1" t="s">
        <v>3</v>
      </c>
      <c r="G46" s="1" t="s">
        <v>4</v>
      </c>
      <c r="H46" s="1">
        <v>0</v>
      </c>
    </row>
    <row r="47" spans="1:8" x14ac:dyDescent="0.2">
      <c r="A47" s="1" t="s">
        <v>157</v>
      </c>
      <c r="B47" s="1" t="s">
        <v>158</v>
      </c>
      <c r="C47" s="1" t="s">
        <v>159</v>
      </c>
      <c r="D47" s="3">
        <v>30197</v>
      </c>
      <c r="E47" s="2">
        <f ca="1">(TODAY()-EmployeeTable[[#This Row],[Date of Birth]])/365.25</f>
        <v>35.326488706365502</v>
      </c>
      <c r="F47" s="1" t="s">
        <v>3</v>
      </c>
      <c r="G47" s="1" t="s">
        <v>9</v>
      </c>
      <c r="H47" s="1">
        <v>19</v>
      </c>
    </row>
    <row r="48" spans="1:8" x14ac:dyDescent="0.2">
      <c r="A48" s="1" t="s">
        <v>160</v>
      </c>
      <c r="B48" s="1" t="s">
        <v>161</v>
      </c>
      <c r="C48" s="1" t="s">
        <v>162</v>
      </c>
      <c r="D48" s="3">
        <v>34248</v>
      </c>
      <c r="E48" s="2">
        <f ca="1">(TODAY()-EmployeeTable[[#This Row],[Date of Birth]])/365.25</f>
        <v>24.23545516769336</v>
      </c>
      <c r="F48" s="1" t="s">
        <v>7</v>
      </c>
      <c r="G48" s="1" t="s">
        <v>15</v>
      </c>
      <c r="H48" s="1">
        <v>19</v>
      </c>
    </row>
    <row r="49" spans="1:8" x14ac:dyDescent="0.2">
      <c r="A49" s="1" t="s">
        <v>163</v>
      </c>
      <c r="B49" s="1" t="s">
        <v>164</v>
      </c>
      <c r="C49" s="1" t="s">
        <v>165</v>
      </c>
      <c r="D49" s="3">
        <v>27915</v>
      </c>
      <c r="E49" s="2">
        <f ca="1">(TODAY()-EmployeeTable[[#This Row],[Date of Birth]])/365.25</f>
        <v>41.574264202600958</v>
      </c>
      <c r="F49" s="1" t="s">
        <v>7</v>
      </c>
      <c r="G49" s="1" t="s">
        <v>8</v>
      </c>
      <c r="H49" s="1">
        <v>18</v>
      </c>
    </row>
    <row r="50" spans="1:8" x14ac:dyDescent="0.2">
      <c r="A50" s="1" t="s">
        <v>166</v>
      </c>
      <c r="B50" s="1" t="s">
        <v>167</v>
      </c>
      <c r="C50" s="1" t="s">
        <v>168</v>
      </c>
      <c r="D50" s="3">
        <v>28174</v>
      </c>
      <c r="E50" s="2">
        <f ca="1">(TODAY()-EmployeeTable[[#This Row],[Date of Birth]])/365.25</f>
        <v>40.865160848733744</v>
      </c>
      <c r="F50" s="1" t="s">
        <v>3</v>
      </c>
      <c r="G50" s="1" t="s">
        <v>8</v>
      </c>
      <c r="H50" s="1">
        <v>5</v>
      </c>
    </row>
    <row r="51" spans="1:8" x14ac:dyDescent="0.2">
      <c r="A51" s="1" t="s">
        <v>169</v>
      </c>
      <c r="B51" s="1" t="s">
        <v>170</v>
      </c>
      <c r="C51" s="1" t="s">
        <v>171</v>
      </c>
      <c r="D51" s="3">
        <v>33742</v>
      </c>
      <c r="E51" s="2">
        <f ca="1">(TODAY()-EmployeeTable[[#This Row],[Date of Birth]])/365.25</f>
        <v>25.620807665982205</v>
      </c>
      <c r="F51" s="1" t="s">
        <v>3</v>
      </c>
      <c r="G51" s="1" t="s">
        <v>12</v>
      </c>
      <c r="H51" s="1">
        <v>19</v>
      </c>
    </row>
  </sheetData>
  <dataValidations count="38">
    <dataValidation type="custom" allowBlank="1" showInputMessage="1" showErrorMessage="1" sqref="A2:A15 A18:A23 A26:A28 A36:A51 A30:A33">
      <formula1>AND(LEN(A2)=10,MID(A2,3,1)="-")</formula1>
    </dataValidation>
    <dataValidation type="date" operator="greaterThanOrEqual" allowBlank="1" showInputMessage="1" showErrorMessage="1" sqref="D2:D15 D18:D23 D26:D28 D36:D51 D30:D33">
      <formula1>DATE(1960,1,1)</formula1>
    </dataValidation>
    <dataValidation type="list" allowBlank="1" showInputMessage="1" showErrorMessage="1" sqref="G2:G15 G18:G23 G26:G28 G36:G51 G30:G33">
      <formula1>INDIRECT("DeptTable[Department]")</formula1>
    </dataValidation>
    <dataValidation type="whole" allowBlank="1" showInputMessage="1" showErrorMessage="1" sqref="H2:H15 H18:H23 H26:H28 H36:H51 H30:H33">
      <formula1>0</formula1>
      <formula2>20</formula2>
    </dataValidation>
    <dataValidation type="custom" allowBlank="1" showInputMessage="1" showErrorMessage="1" sqref="A16">
      <formula1>AND(LEN(A16)=10,MID(A16,3,1)="-")</formula1>
    </dataValidation>
    <dataValidation type="date" operator="greaterThanOrEqual" allowBlank="1" showInputMessage="1" showErrorMessage="1" sqref="D16">
      <formula1>DATE(1960,1,1)</formula1>
    </dataValidation>
    <dataValidation type="list" allowBlank="1" showInputMessage="1" showErrorMessage="1" sqref="G16">
      <formula1>INDIRECT("DeptTable[Department]")</formula1>
    </dataValidation>
    <dataValidation type="whole" allowBlank="1" showInputMessage="1" showErrorMessage="1" sqref="H16">
      <formula1>0</formula1>
      <formula2>20</formula2>
    </dataValidation>
    <dataValidation type="custom" allowBlank="1" showInputMessage="1" showErrorMessage="1" sqref="A17">
      <formula1>AND(LEN(A17)=10,MID(A17,3,1)="-")</formula1>
    </dataValidation>
    <dataValidation type="date" operator="greaterThanOrEqual" allowBlank="1" showInputMessage="1" showErrorMessage="1" sqref="D17">
      <formula1>DATE(1960,1,1)</formula1>
    </dataValidation>
    <dataValidation type="list" allowBlank="1" showInputMessage="1" showErrorMessage="1" sqref="G17">
      <formula1>INDIRECT("DeptTable[Department]")</formula1>
    </dataValidation>
    <dataValidation type="whole" allowBlank="1" showInputMessage="1" showErrorMessage="1" sqref="H17">
      <formula1>0</formula1>
      <formula2>20</formula2>
    </dataValidation>
    <dataValidation type="list" allowBlank="1" showInputMessage="1" showErrorMessage="1" sqref="F2:F23 F26:F28 F36:F51 F30:F33">
      <formula1>"Male,Female"</formula1>
    </dataValidation>
    <dataValidation type="custom" allowBlank="1" showInputMessage="1" showErrorMessage="1" sqref="A24">
      <formula1>AND(LEN(A24)=10,MID(A24,3,1)="-")</formula1>
    </dataValidation>
    <dataValidation type="date" operator="greaterThanOrEqual" allowBlank="1" showInputMessage="1" showErrorMessage="1" sqref="D24">
      <formula1>DATE(1960,1,1)</formula1>
    </dataValidation>
    <dataValidation type="list" allowBlank="1" showInputMessage="1" showErrorMessage="1" sqref="F24">
      <formula1>"Male,Female"</formula1>
    </dataValidation>
    <dataValidation type="list" allowBlank="1" showInputMessage="1" showErrorMessage="1" sqref="G24">
      <formula1>INDIRECT("DeptTable[Department]")</formula1>
    </dataValidation>
    <dataValidation type="whole" allowBlank="1" showInputMessage="1" showErrorMessage="1" sqref="H24">
      <formula1>0</formula1>
      <formula2>20</formula2>
    </dataValidation>
    <dataValidation type="custom" allowBlank="1" showInputMessage="1" showErrorMessage="1" sqref="A25">
      <formula1>AND(LEN(A25)=10,MID(A25,3,1)="-")</formula1>
    </dataValidation>
    <dataValidation type="date" operator="greaterThanOrEqual" allowBlank="1" showInputMessage="1" showErrorMessage="1" sqref="D25">
      <formula1>DATE(1960,1,1)</formula1>
    </dataValidation>
    <dataValidation type="list" allowBlank="1" showInputMessage="1" showErrorMessage="1" sqref="F25">
      <formula1>"Male,Female"</formula1>
    </dataValidation>
    <dataValidation type="list" allowBlank="1" showInputMessage="1" showErrorMessage="1" sqref="G25">
      <formula1>INDIRECT("DeptTable[Department]")</formula1>
    </dataValidation>
    <dataValidation type="whole" allowBlank="1" showInputMessage="1" showErrorMessage="1" sqref="H25">
      <formula1>0</formula1>
      <formula2>20</formula2>
    </dataValidation>
    <dataValidation type="custom" allowBlank="1" showInputMessage="1" showErrorMessage="1" sqref="A29">
      <formula1>AND(LEN(A29)=10,MID(A29,3,1)="-")</formula1>
    </dataValidation>
    <dataValidation type="date" operator="greaterThanOrEqual" allowBlank="1" showInputMessage="1" showErrorMessage="1" sqref="D29">
      <formula1>DATE(1960,1,1)</formula1>
    </dataValidation>
    <dataValidation type="list" allowBlank="1" showInputMessage="1" showErrorMessage="1" sqref="F29">
      <formula1>"Male,Female"</formula1>
    </dataValidation>
    <dataValidation type="list" allowBlank="1" showInputMessage="1" showErrorMessage="1" sqref="G29">
      <formula1>INDIRECT("DeptTable[Department]")</formula1>
    </dataValidation>
    <dataValidation type="whole" allowBlank="1" showInputMessage="1" showErrorMessage="1" sqref="H29">
      <formula1>0</formula1>
      <formula2>20</formula2>
    </dataValidation>
    <dataValidation type="custom" allowBlank="1" showInputMessage="1" showErrorMessage="1" sqref="A35">
      <formula1>AND(LEN(A35)=10,MID(A35,3,1)="-")</formula1>
    </dataValidation>
    <dataValidation type="date" operator="greaterThanOrEqual" allowBlank="1" showInputMessage="1" showErrorMessage="1" sqref="D35">
      <formula1>DATE(1960,1,1)</formula1>
    </dataValidation>
    <dataValidation type="list" allowBlank="1" showInputMessage="1" showErrorMessage="1" sqref="F35">
      <formula1>"Male,Female"</formula1>
    </dataValidation>
    <dataValidation type="list" allowBlank="1" showInputMessage="1" showErrorMessage="1" sqref="G35">
      <formula1>INDIRECT("DeptTable[Department]")</formula1>
    </dataValidation>
    <dataValidation type="whole" allowBlank="1" showInputMessage="1" showErrorMessage="1" sqref="H35">
      <formula1>0</formula1>
      <formula2>20</formula2>
    </dataValidation>
    <dataValidation type="custom" allowBlank="1" showInputMessage="1" showErrorMessage="1" sqref="A34">
      <formula1>AND(LEN(A34)=10,MID(A34,3,1)="-")</formula1>
    </dataValidation>
    <dataValidation type="date" operator="greaterThanOrEqual" allowBlank="1" showInputMessage="1" showErrorMessage="1" sqref="D34">
      <formula1>DATE(1960,1,1)</formula1>
    </dataValidation>
    <dataValidation type="list" allowBlank="1" showInputMessage="1" showErrorMessage="1" sqref="F34">
      <formula1>"Male,Female"</formula1>
    </dataValidation>
    <dataValidation type="list" allowBlank="1" showInputMessage="1" showErrorMessage="1" sqref="G34">
      <formula1>INDIRECT("DeptTable[Department]")</formula1>
    </dataValidation>
    <dataValidation type="whole" allowBlank="1" showInputMessage="1" showErrorMessage="1" sqref="H34">
      <formula1>0</formula1>
      <formula2>20</formula2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3"/>
  <sheetViews>
    <sheetView workbookViewId="0">
      <pane ySplit="1" topLeftCell="A2" activePane="bottomLeft" state="frozen"/>
      <selection pane="bottomLeft" activeCell="A9" sqref="A9"/>
    </sheetView>
  </sheetViews>
  <sheetFormatPr defaultRowHeight="14.25" x14ac:dyDescent="0.2"/>
  <cols>
    <col min="1" max="1" width="24" bestFit="1" customWidth="1"/>
  </cols>
  <sheetData>
    <row r="1" spans="1:1" x14ac:dyDescent="0.2">
      <c r="A1" t="s">
        <v>2</v>
      </c>
    </row>
    <row r="2" spans="1:1" x14ac:dyDescent="0.2">
      <c r="A2" s="1" t="s">
        <v>4</v>
      </c>
    </row>
    <row r="3" spans="1:1" x14ac:dyDescent="0.2">
      <c r="A3" s="1" t="s">
        <v>5</v>
      </c>
    </row>
    <row r="4" spans="1:1" x14ac:dyDescent="0.2">
      <c r="A4" s="1" t="s">
        <v>6</v>
      </c>
    </row>
    <row r="5" spans="1:1" x14ac:dyDescent="0.2">
      <c r="A5" s="1" t="s">
        <v>8</v>
      </c>
    </row>
    <row r="6" spans="1:1" x14ac:dyDescent="0.2">
      <c r="A6" s="1" t="s">
        <v>9</v>
      </c>
    </row>
    <row r="7" spans="1:1" x14ac:dyDescent="0.2">
      <c r="A7" s="1" t="s">
        <v>10</v>
      </c>
    </row>
    <row r="8" spans="1:1" x14ac:dyDescent="0.2">
      <c r="A8" s="1" t="s">
        <v>11</v>
      </c>
    </row>
    <row r="9" spans="1:1" x14ac:dyDescent="0.2">
      <c r="A9" s="1" t="s">
        <v>12</v>
      </c>
    </row>
    <row r="10" spans="1:1" x14ac:dyDescent="0.2">
      <c r="A10" s="1" t="s">
        <v>13</v>
      </c>
    </row>
    <row r="11" spans="1:1" x14ac:dyDescent="0.2">
      <c r="A11" s="1" t="s">
        <v>14</v>
      </c>
    </row>
    <row r="12" spans="1:1" x14ac:dyDescent="0.2">
      <c r="A12" s="1" t="s">
        <v>15</v>
      </c>
    </row>
    <row r="13" spans="1:1" x14ac:dyDescent="0.2">
      <c r="A13" s="1" t="s">
        <v>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R25"/>
  <sheetViews>
    <sheetView workbookViewId="0">
      <pane xSplit="2" ySplit="1" topLeftCell="C18" activePane="bottomRight" state="frozen"/>
      <selection pane="topRight" activeCell="C1" sqref="C1"/>
      <selection pane="bottomLeft" activeCell="A2" sqref="A2"/>
      <selection pane="bottomRight" activeCell="G22" sqref="G22"/>
    </sheetView>
  </sheetViews>
  <sheetFormatPr defaultRowHeight="14.25" x14ac:dyDescent="0.2"/>
  <cols>
    <col min="3" max="3" width="13.25" customWidth="1"/>
    <col min="4" max="4" width="17.75" customWidth="1"/>
    <col min="6" max="6" width="11.75" customWidth="1"/>
    <col min="7" max="7" width="11.125" customWidth="1"/>
    <col min="8" max="8" width="10.75" customWidth="1"/>
    <col min="9" max="9" width="11.75" customWidth="1"/>
    <col min="10" max="11" width="11.375" customWidth="1"/>
    <col min="12" max="12" width="15" customWidth="1"/>
    <col min="13" max="13" width="21.125" customWidth="1"/>
    <col min="14" max="14" width="11.75" customWidth="1"/>
    <col min="15" max="15" width="15.75" customWidth="1"/>
    <col min="16" max="16" width="21.25" customWidth="1"/>
    <col min="17" max="17" width="11.875" customWidth="1"/>
    <col min="18" max="18" width="15.875" customWidth="1"/>
  </cols>
  <sheetData>
    <row r="1" spans="3:18" x14ac:dyDescent="0.2"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</row>
    <row r="2" spans="3:18" ht="42.75" x14ac:dyDescent="0.2">
      <c r="C2" s="1" t="s">
        <v>188</v>
      </c>
      <c r="D2" s="1" t="s">
        <v>189</v>
      </c>
      <c r="E2" s="1"/>
      <c r="F2" s="1" t="s">
        <v>17</v>
      </c>
      <c r="G2" s="4" t="s">
        <v>190</v>
      </c>
      <c r="H2" s="4" t="s">
        <v>204</v>
      </c>
      <c r="I2" s="4" t="s">
        <v>191</v>
      </c>
      <c r="J2" s="6" t="s">
        <v>192</v>
      </c>
      <c r="K2" s="4"/>
      <c r="L2" s="1" t="b">
        <v>1</v>
      </c>
      <c r="M2" s="1" t="b">
        <v>1</v>
      </c>
      <c r="N2" s="1"/>
      <c r="O2" s="4"/>
      <c r="P2" s="1" t="b">
        <v>1</v>
      </c>
      <c r="Q2" s="1"/>
      <c r="R2" s="4"/>
    </row>
    <row r="3" spans="3:18" ht="28.5" x14ac:dyDescent="0.2">
      <c r="C3" t="s">
        <v>188</v>
      </c>
      <c r="D3" t="s">
        <v>193</v>
      </c>
      <c r="F3" t="s">
        <v>18</v>
      </c>
      <c r="G3" s="5" t="s">
        <v>194</v>
      </c>
      <c r="H3" s="5"/>
      <c r="I3" s="5"/>
      <c r="J3" s="5"/>
      <c r="K3" s="5"/>
      <c r="L3" t="b">
        <v>0</v>
      </c>
      <c r="M3" t="b">
        <v>0</v>
      </c>
      <c r="O3" s="5"/>
      <c r="P3" t="b">
        <v>0</v>
      </c>
      <c r="R3" s="5"/>
    </row>
    <row r="4" spans="3:18" ht="28.5" x14ac:dyDescent="0.2">
      <c r="C4" t="s">
        <v>188</v>
      </c>
      <c r="D4" t="s">
        <v>195</v>
      </c>
      <c r="F4" t="s">
        <v>19</v>
      </c>
      <c r="G4" s="5" t="s">
        <v>194</v>
      </c>
      <c r="H4" s="5"/>
      <c r="I4" s="5"/>
      <c r="J4" s="5"/>
      <c r="K4" s="5"/>
      <c r="L4" t="b">
        <v>0</v>
      </c>
      <c r="M4" t="b">
        <v>0</v>
      </c>
      <c r="O4" s="5"/>
      <c r="P4" t="b">
        <v>0</v>
      </c>
      <c r="R4" s="5"/>
    </row>
    <row r="5" spans="3:18" ht="28.5" x14ac:dyDescent="0.2">
      <c r="C5" t="s">
        <v>188</v>
      </c>
      <c r="D5" t="s">
        <v>196</v>
      </c>
      <c r="F5" t="s">
        <v>0</v>
      </c>
      <c r="G5" s="5" t="s">
        <v>197</v>
      </c>
      <c r="H5" s="5" t="s">
        <v>198</v>
      </c>
      <c r="I5" s="5" t="s">
        <v>191</v>
      </c>
      <c r="J5" s="7" t="s">
        <v>199</v>
      </c>
      <c r="K5" s="5"/>
      <c r="L5" t="b">
        <v>1</v>
      </c>
      <c r="M5" t="b">
        <v>1</v>
      </c>
      <c r="O5" s="5"/>
      <c r="P5" t="b">
        <v>1</v>
      </c>
      <c r="R5" s="5"/>
    </row>
    <row r="6" spans="3:18" ht="28.5" x14ac:dyDescent="0.2">
      <c r="C6" t="s">
        <v>188</v>
      </c>
      <c r="D6" t="s">
        <v>21</v>
      </c>
      <c r="F6" t="s">
        <v>21</v>
      </c>
      <c r="G6" s="5" t="s">
        <v>194</v>
      </c>
      <c r="H6" s="5"/>
      <c r="I6" s="5"/>
      <c r="J6" s="5"/>
      <c r="K6" s="5"/>
      <c r="L6" t="b">
        <v>0</v>
      </c>
      <c r="M6" t="b">
        <v>0</v>
      </c>
      <c r="O6" s="5"/>
      <c r="P6" t="b">
        <v>0</v>
      </c>
      <c r="R6" s="5"/>
    </row>
    <row r="7" spans="3:18" ht="28.5" x14ac:dyDescent="0.2">
      <c r="C7" t="s">
        <v>188</v>
      </c>
      <c r="D7" t="s">
        <v>1</v>
      </c>
      <c r="F7" t="s">
        <v>1</v>
      </c>
      <c r="G7" s="5" t="s">
        <v>194</v>
      </c>
      <c r="H7" s="5"/>
      <c r="I7" s="5"/>
      <c r="J7" s="5"/>
      <c r="K7" s="5"/>
      <c r="L7" t="b">
        <v>0</v>
      </c>
      <c r="M7" t="b">
        <v>0</v>
      </c>
      <c r="O7" s="5"/>
      <c r="P7" t="b">
        <v>0</v>
      </c>
      <c r="R7" s="5"/>
    </row>
    <row r="8" spans="3:18" ht="57" x14ac:dyDescent="0.2">
      <c r="C8" t="s">
        <v>188</v>
      </c>
      <c r="D8" t="s">
        <v>2</v>
      </c>
      <c r="F8" t="s">
        <v>2</v>
      </c>
      <c r="G8" s="5" t="s">
        <v>200</v>
      </c>
      <c r="H8" s="5"/>
      <c r="I8" s="5" t="s">
        <v>191</v>
      </c>
      <c r="J8" s="7" t="s">
        <v>201</v>
      </c>
      <c r="K8" s="5"/>
      <c r="L8" t="b">
        <v>1</v>
      </c>
      <c r="M8" t="b">
        <v>1</v>
      </c>
      <c r="O8" s="5"/>
      <c r="P8" t="b">
        <v>1</v>
      </c>
      <c r="R8" s="5"/>
    </row>
    <row r="9" spans="3:18" ht="28.5" x14ac:dyDescent="0.2">
      <c r="C9" t="s">
        <v>188</v>
      </c>
      <c r="D9" t="s">
        <v>202</v>
      </c>
      <c r="F9" t="s">
        <v>20</v>
      </c>
      <c r="G9" s="5" t="s">
        <v>203</v>
      </c>
      <c r="H9" s="5" t="s">
        <v>204</v>
      </c>
      <c r="I9" s="5" t="s">
        <v>191</v>
      </c>
      <c r="J9" s="5">
        <v>0</v>
      </c>
      <c r="K9" s="5">
        <v>20</v>
      </c>
      <c r="L9" t="b">
        <v>1</v>
      </c>
      <c r="M9" t="b">
        <v>1</v>
      </c>
      <c r="O9" s="5"/>
      <c r="P9" t="b">
        <v>1</v>
      </c>
      <c r="R9" s="5"/>
    </row>
    <row r="10" spans="3:18" ht="28.5" x14ac:dyDescent="0.2">
      <c r="C10" t="s">
        <v>205</v>
      </c>
      <c r="D10" t="s">
        <v>2</v>
      </c>
      <c r="F10" t="s">
        <v>2</v>
      </c>
      <c r="G10" s="5" t="s">
        <v>194</v>
      </c>
      <c r="H10" s="5"/>
      <c r="I10" s="5"/>
      <c r="J10" s="5"/>
      <c r="K10" s="5"/>
      <c r="L10" t="b">
        <v>0</v>
      </c>
      <c r="M10" t="b">
        <v>0</v>
      </c>
      <c r="O10" s="5"/>
      <c r="P10" t="b">
        <v>0</v>
      </c>
      <c r="R10" s="5"/>
    </row>
    <row r="11" spans="3:18" ht="28.5" x14ac:dyDescent="0.2">
      <c r="C11" t="s">
        <v>206</v>
      </c>
      <c r="D11" t="s">
        <v>207</v>
      </c>
      <c r="F11" t="s">
        <v>172</v>
      </c>
      <c r="G11" s="5" t="s">
        <v>194</v>
      </c>
      <c r="H11" s="5"/>
      <c r="I11" s="5"/>
      <c r="J11" s="5"/>
      <c r="K11" s="5"/>
      <c r="L11" t="b">
        <v>1</v>
      </c>
      <c r="M11" t="b">
        <v>1</v>
      </c>
      <c r="O11" s="5"/>
      <c r="P11" t="b">
        <v>1</v>
      </c>
      <c r="R11" s="5"/>
    </row>
    <row r="12" spans="3:18" ht="28.5" x14ac:dyDescent="0.2">
      <c r="C12" t="s">
        <v>206</v>
      </c>
      <c r="D12" t="s">
        <v>208</v>
      </c>
      <c r="F12" t="s">
        <v>173</v>
      </c>
      <c r="G12" s="5" t="s">
        <v>194</v>
      </c>
      <c r="H12" s="5"/>
      <c r="I12" s="5"/>
      <c r="J12" s="5"/>
      <c r="K12" s="5"/>
      <c r="L12" t="b">
        <v>1</v>
      </c>
      <c r="M12" t="b">
        <v>1</v>
      </c>
      <c r="O12" s="5"/>
      <c r="P12" t="b">
        <v>1</v>
      </c>
      <c r="R12" s="5"/>
    </row>
    <row r="13" spans="3:18" ht="28.5" x14ac:dyDescent="0.2">
      <c r="C13" t="s">
        <v>206</v>
      </c>
      <c r="D13" t="s">
        <v>174</v>
      </c>
      <c r="F13" t="s">
        <v>174</v>
      </c>
      <c r="G13" s="5" t="s">
        <v>200</v>
      </c>
      <c r="H13" s="5"/>
      <c r="I13" s="5" t="s">
        <v>191</v>
      </c>
      <c r="J13" s="5" t="s">
        <v>209</v>
      </c>
      <c r="K13" s="5"/>
      <c r="L13" t="b">
        <v>1</v>
      </c>
      <c r="M13" t="b">
        <v>1</v>
      </c>
      <c r="O13" s="5"/>
      <c r="P13" t="b">
        <v>1</v>
      </c>
      <c r="R13" s="5"/>
    </row>
    <row r="14" spans="3:18" ht="28.5" x14ac:dyDescent="0.2">
      <c r="C14" t="s">
        <v>206</v>
      </c>
      <c r="D14" t="s">
        <v>210</v>
      </c>
      <c r="F14" t="s">
        <v>175</v>
      </c>
      <c r="G14" s="5" t="s">
        <v>194</v>
      </c>
      <c r="H14" s="5"/>
      <c r="I14" s="5"/>
      <c r="J14" s="5"/>
      <c r="K14" s="5"/>
      <c r="L14" t="b">
        <v>1</v>
      </c>
      <c r="M14" t="b">
        <v>1</v>
      </c>
      <c r="O14" s="5"/>
      <c r="P14" t="b">
        <v>1</v>
      </c>
      <c r="R14" s="5"/>
    </row>
    <row r="15" spans="3:18" ht="185.25" x14ac:dyDescent="0.2">
      <c r="C15" t="s">
        <v>206</v>
      </c>
      <c r="D15" t="s">
        <v>211</v>
      </c>
      <c r="F15" t="s">
        <v>176</v>
      </c>
      <c r="G15" s="5" t="s">
        <v>200</v>
      </c>
      <c r="H15" s="5"/>
      <c r="I15" s="5" t="s">
        <v>191</v>
      </c>
      <c r="J15" s="5" t="s">
        <v>212</v>
      </c>
      <c r="K15" s="5"/>
      <c r="L15" t="b">
        <v>1</v>
      </c>
      <c r="M15" t="b">
        <v>1</v>
      </c>
      <c r="O15" s="5"/>
      <c r="P15" t="b">
        <v>1</v>
      </c>
      <c r="R15" s="5"/>
    </row>
    <row r="16" spans="3:18" ht="114" x14ac:dyDescent="0.2">
      <c r="C16" t="s">
        <v>206</v>
      </c>
      <c r="D16" t="s">
        <v>177</v>
      </c>
      <c r="F16" t="s">
        <v>177</v>
      </c>
      <c r="G16" s="5" t="s">
        <v>200</v>
      </c>
      <c r="H16" s="5"/>
      <c r="I16" s="5" t="s">
        <v>191</v>
      </c>
      <c r="J16" s="5" t="s">
        <v>213</v>
      </c>
      <c r="K16" s="5"/>
      <c r="L16" t="b">
        <v>1</v>
      </c>
      <c r="M16" t="b">
        <v>1</v>
      </c>
      <c r="O16" s="5"/>
      <c r="P16" t="b">
        <v>1</v>
      </c>
      <c r="R16" s="5"/>
    </row>
    <row r="17" spans="3:18" ht="71.25" x14ac:dyDescent="0.2">
      <c r="C17" t="s">
        <v>206</v>
      </c>
      <c r="D17" t="s">
        <v>214</v>
      </c>
      <c r="F17" t="s">
        <v>178</v>
      </c>
      <c r="G17" s="5" t="s">
        <v>200</v>
      </c>
      <c r="H17" s="5"/>
      <c r="I17" s="5" t="s">
        <v>191</v>
      </c>
      <c r="J17" s="5" t="s">
        <v>215</v>
      </c>
      <c r="K17" s="5"/>
      <c r="L17" t="b">
        <v>1</v>
      </c>
      <c r="M17" t="b">
        <v>1</v>
      </c>
      <c r="O17" s="5"/>
      <c r="P17" t="b">
        <v>1</v>
      </c>
      <c r="R17" s="5"/>
    </row>
    <row r="18" spans="3:18" ht="28.5" x14ac:dyDescent="0.2">
      <c r="C18" t="s">
        <v>206</v>
      </c>
      <c r="D18" t="s">
        <v>216</v>
      </c>
      <c r="F18" t="s">
        <v>179</v>
      </c>
      <c r="G18" s="5" t="s">
        <v>194</v>
      </c>
      <c r="H18" s="5"/>
      <c r="I18" s="5"/>
      <c r="J18" s="5"/>
      <c r="K18" s="5"/>
      <c r="L18" t="b">
        <v>1</v>
      </c>
      <c r="M18" t="b">
        <v>1</v>
      </c>
      <c r="O18" s="5"/>
      <c r="P18" t="b">
        <v>1</v>
      </c>
      <c r="R18" s="5"/>
    </row>
    <row r="19" spans="3:18" ht="28.5" x14ac:dyDescent="0.2">
      <c r="C19" t="s">
        <v>206</v>
      </c>
      <c r="D19" t="s">
        <v>217</v>
      </c>
      <c r="F19" t="s">
        <v>180</v>
      </c>
      <c r="G19" s="5" t="s">
        <v>194</v>
      </c>
      <c r="H19" s="5"/>
      <c r="I19" s="5"/>
      <c r="J19" s="5"/>
      <c r="K19" s="5"/>
      <c r="L19" t="b">
        <v>1</v>
      </c>
      <c r="M19" t="b">
        <v>1</v>
      </c>
      <c r="O19" s="5"/>
      <c r="P19" t="b">
        <v>1</v>
      </c>
      <c r="R19" s="5"/>
    </row>
    <row r="20" spans="3:18" ht="28.5" x14ac:dyDescent="0.2">
      <c r="C20" t="s">
        <v>206</v>
      </c>
      <c r="D20" t="s">
        <v>218</v>
      </c>
      <c r="F20" t="s">
        <v>181</v>
      </c>
      <c r="G20" s="5" t="s">
        <v>200</v>
      </c>
      <c r="H20" s="5"/>
      <c r="I20" s="5" t="s">
        <v>191</v>
      </c>
      <c r="J20" s="5" t="s">
        <v>219</v>
      </c>
      <c r="K20" s="5"/>
      <c r="L20" t="b">
        <v>1</v>
      </c>
      <c r="M20" t="b">
        <v>1</v>
      </c>
      <c r="O20" s="5"/>
      <c r="P20" t="b">
        <v>1</v>
      </c>
      <c r="R20" s="5"/>
    </row>
    <row r="21" spans="3:18" ht="28.5" x14ac:dyDescent="0.2">
      <c r="C21" t="s">
        <v>206</v>
      </c>
      <c r="D21" t="s">
        <v>220</v>
      </c>
      <c r="F21" t="s">
        <v>182</v>
      </c>
      <c r="G21" s="5" t="s">
        <v>200</v>
      </c>
      <c r="H21" s="5"/>
      <c r="I21" s="5" t="s">
        <v>191</v>
      </c>
      <c r="J21" s="5" t="s">
        <v>219</v>
      </c>
      <c r="K21" s="5"/>
      <c r="L21" t="b">
        <v>1</v>
      </c>
      <c r="M21" t="b">
        <v>1</v>
      </c>
      <c r="O21" s="5"/>
      <c r="P21" t="b">
        <v>1</v>
      </c>
      <c r="R21" s="5"/>
    </row>
    <row r="22" spans="3:18" ht="28.5" x14ac:dyDescent="0.2">
      <c r="C22" t="s">
        <v>206</v>
      </c>
      <c r="D22" t="s">
        <v>221</v>
      </c>
      <c r="F22" t="s">
        <v>183</v>
      </c>
      <c r="G22" s="5" t="s">
        <v>194</v>
      </c>
      <c r="H22" s="5"/>
      <c r="I22" s="5"/>
      <c r="J22" s="5"/>
      <c r="K22" s="5"/>
      <c r="L22" t="b">
        <v>1</v>
      </c>
      <c r="M22" t="b">
        <v>1</v>
      </c>
      <c r="O22" s="5"/>
      <c r="P22" t="b">
        <v>1</v>
      </c>
      <c r="R22" s="5"/>
    </row>
    <row r="23" spans="3:18" ht="28.5" x14ac:dyDescent="0.2">
      <c r="C23" t="s">
        <v>206</v>
      </c>
      <c r="D23" t="s">
        <v>222</v>
      </c>
      <c r="F23" t="s">
        <v>184</v>
      </c>
      <c r="G23" s="5" t="s">
        <v>194</v>
      </c>
      <c r="H23" s="5"/>
      <c r="I23" s="5"/>
      <c r="J23" s="5"/>
      <c r="K23" s="5"/>
      <c r="L23" t="b">
        <v>1</v>
      </c>
      <c r="M23" t="b">
        <v>1</v>
      </c>
      <c r="O23" s="5"/>
      <c r="P23" t="b">
        <v>1</v>
      </c>
      <c r="R23" s="5"/>
    </row>
    <row r="24" spans="3:18" ht="28.5" x14ac:dyDescent="0.2">
      <c r="C24" t="s">
        <v>206</v>
      </c>
      <c r="D24" t="s">
        <v>223</v>
      </c>
      <c r="F24" t="s">
        <v>185</v>
      </c>
      <c r="G24" s="5" t="s">
        <v>200</v>
      </c>
      <c r="H24" s="5"/>
      <c r="I24" s="5" t="s">
        <v>191</v>
      </c>
      <c r="J24" s="5" t="s">
        <v>219</v>
      </c>
      <c r="K24" s="5"/>
      <c r="L24" t="b">
        <v>1</v>
      </c>
      <c r="M24" t="b">
        <v>1</v>
      </c>
      <c r="O24" s="5"/>
      <c r="P24" t="b">
        <v>1</v>
      </c>
      <c r="R24" s="5"/>
    </row>
    <row r="25" spans="3:18" ht="28.5" x14ac:dyDescent="0.2">
      <c r="C25" t="s">
        <v>206</v>
      </c>
      <c r="D25" t="s">
        <v>224</v>
      </c>
      <c r="F25" t="s">
        <v>186</v>
      </c>
      <c r="G25" s="5" t="s">
        <v>194</v>
      </c>
      <c r="H25" s="5"/>
      <c r="I25" s="5"/>
      <c r="J25" s="5"/>
      <c r="K25" s="5"/>
      <c r="L25" t="b">
        <v>1</v>
      </c>
      <c r="M25" t="b">
        <v>1</v>
      </c>
      <c r="O25" s="5"/>
      <c r="P25" t="b">
        <v>1</v>
      </c>
      <c r="R25" s="5"/>
    </row>
  </sheetData>
  <dataValidations count="66">
    <dataValidation type="list" allowBlank="1" showInputMessage="1" showErrorMessage="1" sqref="E10:E21 E23:E24">
      <formula1>"Yes,No"</formula1>
    </dataValidation>
    <dataValidation type="list" allowBlank="1" showInputMessage="1" showErrorMessage="1" sqref="G10:G21 G23:G24">
      <formula1>"xlValidateList,xlValidateInputOnly,xlValidateWholeNumber,xlValidateDecimal,xlValidateList,xlValidateDate,xlValidateTime,xlValidateTextLength,xlValidateCustom"</formula1>
    </dataValidation>
    <dataValidation type="list" allowBlank="1" showInputMessage="1" showErrorMessage="1" sqref="H10:H21 H23:H24">
      <formula1>"xlBetween,xlNotBetween,xlEqual,xlNotEqual,xlGreater,xlLess,xlGreaterEqual,xlLessEqual"</formula1>
    </dataValidation>
    <dataValidation type="list" allowBlank="1" showInputMessage="1" showErrorMessage="1" sqref="I10:I21 I23:I24">
      <formula1>"xlValidAlertStop,xlValidAlertWarning,xlValidAlertInformation"</formula1>
    </dataValidation>
    <dataValidation type="list" allowBlank="1" showInputMessage="1" showErrorMessage="1" sqref="M2 M4 M9 L9 M23:M24 L2 M3 M5 L3 M6 L4 M7 L5 M8 L6 M25 L7 L23:L24 L8 L25 L10:L21 M10:M21 P10:P21 P23:P24 L22 M22">
      <formula1>"True,False"</formula1>
    </dataValidation>
    <dataValidation allowBlank="1" showDropDown="1" showInputMessage="1" showErrorMessage="1" sqref="Q2 Q5 Q7 Q25 Q4 Q9 O9 N9 K9 J9 F9 D9 C9 Q23:Q24 C2 D2 F2 J2 K2 N2 O2 Q3 Q6 Q8 C23:C24 D23:D24 C3 D3 F3 J3 K3 N3 O3 F23:F24 C4 D4 F4 J4 K4 N4 O4 J23:J24 C5 D5 F5 J5 K5 N5 O5 K23:K24 C6 D6 F6 J6 K6 N6 O6 N23:N24 C7 D7 F7 J7 K7 N7 O7 O23:O24 C8 D8 F8 J8 K8 N8 O8 C25 D25 F25 J25 K25 N25 O25 C10:C21 D10:D21 F10:F21 J10:J21 K10:K21 N10:N21 O10:O21 Q10:Q21 R10:R21 R23:R24 C22 D22 F22 J22 K22 N22 O22 Q22"/>
    <dataValidation allowBlank="1" showDropDown="1" showInputMessage="1" showErrorMessage="1" sqref="R2"/>
    <dataValidation type="list" allowBlank="1" showInputMessage="1" showErrorMessage="1" sqref="E2">
      <formula1>"Yes,No"</formula1>
    </dataValidation>
    <dataValidation type="list" allowBlank="1" showInputMessage="1" showErrorMessage="1" sqref="G2">
      <formula1>"xlValidateList,xlValidateInputOnly,xlValidateWholeNumber,xlValidateDecimal,xlValidateList,xlValidateDate,xlValidateTime,xlValidateTextLength,xlValidateCustom"</formula1>
    </dataValidation>
    <dataValidation type="list" allowBlank="1" showInputMessage="1" showErrorMessage="1" sqref="H2">
      <formula1>"xlBetween,xlNotBetween,xlEqual,xlNotEqual,xlGreater,xlLess,xlGreaterEqual,xlLessEqual"</formula1>
    </dataValidation>
    <dataValidation type="list" allowBlank="1" showInputMessage="1" showErrorMessage="1" sqref="I2">
      <formula1>"xlValidAlertStop,xlValidAlertWarning,xlValidAlertInformation"</formula1>
    </dataValidation>
    <dataValidation type="list" allowBlank="1" showInputMessage="1" showErrorMessage="1" sqref="P2">
      <formula1>"True,False"</formula1>
    </dataValidation>
    <dataValidation allowBlank="1" showDropDown="1" showInputMessage="1" showErrorMessage="1" sqref="R3"/>
    <dataValidation type="list" allowBlank="1" showInputMessage="1" showErrorMessage="1" sqref="E3">
      <formula1>"Yes,No"</formula1>
    </dataValidation>
    <dataValidation type="list" allowBlank="1" showInputMessage="1" showErrorMessage="1" sqref="G3">
      <formula1>"xlValidateList,xlValidateInputOnly,xlValidateWholeNumber,xlValidateDecimal,xlValidateList,xlValidateDate,xlValidateTime,xlValidateTextLength,xlValidateCustom"</formula1>
    </dataValidation>
    <dataValidation type="list" allowBlank="1" showInputMessage="1" showErrorMessage="1" sqref="H3">
      <formula1>"xlBetween,xlNotBetween,xlEqual,xlNotEqual,xlGreater,xlLess,xlGreaterEqual,xlLessEqual"</formula1>
    </dataValidation>
    <dataValidation type="list" allowBlank="1" showInputMessage="1" showErrorMessage="1" sqref="I3">
      <formula1>"xlValidAlertStop,xlValidAlertWarning,xlValidAlertInformation"</formula1>
    </dataValidation>
    <dataValidation type="list" allowBlank="1" showInputMessage="1" showErrorMessage="1" sqref="P3">
      <formula1>"True,False"</formula1>
    </dataValidation>
    <dataValidation allowBlank="1" showDropDown="1" showInputMessage="1" showErrorMessage="1" sqref="R4"/>
    <dataValidation type="list" allowBlank="1" showInputMessage="1" showErrorMessage="1" sqref="E4">
      <formula1>"Yes,No"</formula1>
    </dataValidation>
    <dataValidation type="list" allowBlank="1" showInputMessage="1" showErrorMessage="1" sqref="G4">
      <formula1>"xlValidateList,xlValidateInputOnly,xlValidateWholeNumber,xlValidateDecimal,xlValidateList,xlValidateDate,xlValidateTime,xlValidateTextLength,xlValidateCustom"</formula1>
    </dataValidation>
    <dataValidation type="list" allowBlank="1" showInputMessage="1" showErrorMessage="1" sqref="H4">
      <formula1>"xlBetween,xlNotBetween,xlEqual,xlNotEqual,xlGreater,xlLess,xlGreaterEqual,xlLessEqual"</formula1>
    </dataValidation>
    <dataValidation type="list" allowBlank="1" showInputMessage="1" showErrorMessage="1" sqref="I4">
      <formula1>"xlValidAlertStop,xlValidAlertWarning,xlValidAlertInformation"</formula1>
    </dataValidation>
    <dataValidation type="list" allowBlank="1" showInputMessage="1" showErrorMessage="1" sqref="P4">
      <formula1>"True,False"</formula1>
    </dataValidation>
    <dataValidation allowBlank="1" showDropDown="1" showInputMessage="1" showErrorMessage="1" sqref="R5"/>
    <dataValidation type="list" allowBlank="1" showInputMessage="1" showErrorMessage="1" sqref="E5">
      <formula1>"Yes,No"</formula1>
    </dataValidation>
    <dataValidation type="list" allowBlank="1" showInputMessage="1" showErrorMessage="1" sqref="G5">
      <formula1>"xlValidateList,xlValidateInputOnly,xlValidateWholeNumber,xlValidateDecimal,xlValidateList,xlValidateDate,xlValidateTime,xlValidateTextLength,xlValidateCustom"</formula1>
    </dataValidation>
    <dataValidation type="list" allowBlank="1" showInputMessage="1" showErrorMessage="1" sqref="H5">
      <formula1>"xlBetween,xlNotBetween,xlEqual,xlNotEqual,xlGreater,xlLess,xlGreaterEqual,xlLessEqual"</formula1>
    </dataValidation>
    <dataValidation type="list" allowBlank="1" showInputMessage="1" showErrorMessage="1" sqref="I5">
      <formula1>"xlValidAlertStop,xlValidAlertWarning,xlValidAlertInformation"</formula1>
    </dataValidation>
    <dataValidation type="list" allowBlank="1" showInputMessage="1" showErrorMessage="1" sqref="P5">
      <formula1>"True,False"</formula1>
    </dataValidation>
    <dataValidation allowBlank="1" showDropDown="1" showInputMessage="1" showErrorMessage="1" sqref="R6"/>
    <dataValidation type="list" allowBlank="1" showInputMessage="1" showErrorMessage="1" sqref="E6">
      <formula1>"Yes,No"</formula1>
    </dataValidation>
    <dataValidation type="list" allowBlank="1" showInputMessage="1" showErrorMessage="1" sqref="G6">
      <formula1>"xlValidateList,xlValidateInputOnly,xlValidateWholeNumber,xlValidateDecimal,xlValidateList,xlValidateDate,xlValidateTime,xlValidateTextLength,xlValidateCustom"</formula1>
    </dataValidation>
    <dataValidation type="list" allowBlank="1" showInputMessage="1" showErrorMessage="1" sqref="H6">
      <formula1>"xlBetween,xlNotBetween,xlEqual,xlNotEqual,xlGreater,xlLess,xlGreaterEqual,xlLessEqual"</formula1>
    </dataValidation>
    <dataValidation type="list" allowBlank="1" showInputMessage="1" showErrorMessage="1" sqref="I6">
      <formula1>"xlValidAlertStop,xlValidAlertWarning,xlValidAlertInformation"</formula1>
    </dataValidation>
    <dataValidation type="list" allowBlank="1" showInputMessage="1" showErrorMessage="1" sqref="P6">
      <formula1>"True,False"</formula1>
    </dataValidation>
    <dataValidation allowBlank="1" showDropDown="1" showInputMessage="1" showErrorMessage="1" sqref="R7"/>
    <dataValidation type="list" allowBlank="1" showInputMessage="1" showErrorMessage="1" sqref="E7">
      <formula1>"Yes,No"</formula1>
    </dataValidation>
    <dataValidation type="list" allowBlank="1" showInputMessage="1" showErrorMessage="1" sqref="G7">
      <formula1>"xlValidateList,xlValidateInputOnly,xlValidateWholeNumber,xlValidateDecimal,xlValidateList,xlValidateDate,xlValidateTime,xlValidateTextLength,xlValidateCustom"</formula1>
    </dataValidation>
    <dataValidation type="list" allowBlank="1" showInputMessage="1" showErrorMessage="1" sqref="H7">
      <formula1>"xlBetween,xlNotBetween,xlEqual,xlNotEqual,xlGreater,xlLess,xlGreaterEqual,xlLessEqual"</formula1>
    </dataValidation>
    <dataValidation type="list" allowBlank="1" showInputMessage="1" showErrorMessage="1" sqref="I7">
      <formula1>"xlValidAlertStop,xlValidAlertWarning,xlValidAlertInformation"</formula1>
    </dataValidation>
    <dataValidation type="list" allowBlank="1" showInputMessage="1" showErrorMessage="1" sqref="P7">
      <formula1>"True,False"</formula1>
    </dataValidation>
    <dataValidation allowBlank="1" showDropDown="1" showInputMessage="1" showErrorMessage="1" sqref="R8"/>
    <dataValidation type="list" allowBlank="1" showInputMessage="1" showErrorMessage="1" sqref="E8">
      <formula1>"Yes,No"</formula1>
    </dataValidation>
    <dataValidation type="list" allowBlank="1" showInputMessage="1" showErrorMessage="1" sqref="G8">
      <formula1>"xlValidateList,xlValidateInputOnly,xlValidateWholeNumber,xlValidateDecimal,xlValidateList,xlValidateDate,xlValidateTime,xlValidateTextLength,xlValidateCustom"</formula1>
    </dataValidation>
    <dataValidation type="list" allowBlank="1" showInputMessage="1" showErrorMessage="1" sqref="H8">
      <formula1>"xlBetween,xlNotBetween,xlEqual,xlNotEqual,xlGreater,xlLess,xlGreaterEqual,xlLessEqual"</formula1>
    </dataValidation>
    <dataValidation type="list" allowBlank="1" showInputMessage="1" showErrorMessage="1" sqref="I8">
      <formula1>"xlValidAlertStop,xlValidAlertWarning,xlValidAlertInformation"</formula1>
    </dataValidation>
    <dataValidation type="list" allowBlank="1" showInputMessage="1" showErrorMessage="1" sqref="P8">
      <formula1>"True,False"</formula1>
    </dataValidation>
    <dataValidation allowBlank="1" showDropDown="1" showInputMessage="1" showErrorMessage="1" sqref="R9"/>
    <dataValidation type="list" allowBlank="1" showInputMessage="1" showErrorMessage="1" sqref="E9">
      <formula1>"Yes,No"</formula1>
    </dataValidation>
    <dataValidation type="list" allowBlank="1" showInputMessage="1" showErrorMessage="1" sqref="G9">
      <formula1>"xlValidateList,xlValidateInputOnly,xlValidateWholeNumber,xlValidateDecimal,xlValidateList,xlValidateDate,xlValidateTime,xlValidateTextLength,xlValidateCustom"</formula1>
    </dataValidation>
    <dataValidation type="list" allowBlank="1" showInputMessage="1" showErrorMessage="1" sqref="H9">
      <formula1>"xlBetween,xlNotBetween,xlEqual,xlNotEqual,xlGreater,xlLess,xlGreaterEqual,xlLessEqual"</formula1>
    </dataValidation>
    <dataValidation type="list" allowBlank="1" showInputMessage="1" showErrorMessage="1" sqref="I9">
      <formula1>"xlValidAlertStop,xlValidAlertWarning,xlValidAlertInformation"</formula1>
    </dataValidation>
    <dataValidation type="list" allowBlank="1" showInputMessage="1" showErrorMessage="1" sqref="P9">
      <formula1>"True,False"</formula1>
    </dataValidation>
    <dataValidation allowBlank="1" showDropDown="1" showInputMessage="1" showErrorMessage="1" sqref="R25"/>
    <dataValidation type="list" allowBlank="1" showInputMessage="1" showErrorMessage="1" sqref="E25">
      <formula1>"Yes,No"</formula1>
    </dataValidation>
    <dataValidation type="list" allowBlank="1" showInputMessage="1" showErrorMessage="1" sqref="G25">
      <formula1>"xlValidateList,xlValidateInputOnly,xlValidateWholeNumber,xlValidateDecimal,xlValidateList,xlValidateDate,xlValidateTime,xlValidateTextLength,xlValidateCustom"</formula1>
    </dataValidation>
    <dataValidation type="list" allowBlank="1" showInputMessage="1" showErrorMessage="1" sqref="H25">
      <formula1>"xlBetween,xlNotBetween,xlEqual,xlNotEqual,xlGreater,xlLess,xlGreaterEqual,xlLessEqual"</formula1>
    </dataValidation>
    <dataValidation type="list" allowBlank="1" showInputMessage="1" showErrorMessage="1" sqref="I25">
      <formula1>"xlValidAlertStop,xlValidAlertWarning,xlValidAlertInformation"</formula1>
    </dataValidation>
    <dataValidation type="list" allowBlank="1" showInputMessage="1" showErrorMessage="1" sqref="P25">
      <formula1>"True,False"</formula1>
    </dataValidation>
    <dataValidation allowBlank="1" showDropDown="1" showInputMessage="1" showErrorMessage="1" sqref="R22"/>
    <dataValidation type="list" allowBlank="1" showInputMessage="1" showErrorMessage="1" sqref="E22">
      <formula1>"Yes,No"</formula1>
    </dataValidation>
    <dataValidation type="list" allowBlank="1" showInputMessage="1" showErrorMessage="1" sqref="G22">
      <formula1>"xlValidateList,xlValidateInputOnly,xlValidateWholeNumber,xlValidateDecimal,xlValidateList,xlValidateDate,xlValidateTime,xlValidateTextLength,xlValidateCustom"</formula1>
    </dataValidation>
    <dataValidation type="list" allowBlank="1" showInputMessage="1" showErrorMessage="1" sqref="H22">
      <formula1>"xlBetween,xlNotBetween,xlEqual,xlNotEqual,xlGreater,xlLess,xlGreaterEqual,xlLessEqual"</formula1>
    </dataValidation>
    <dataValidation type="list" allowBlank="1" showInputMessage="1" showErrorMessage="1" sqref="I22">
      <formula1>"xlValidAlertStop,xlValidAlertWarning,xlValidAlertInformation"</formula1>
    </dataValidation>
    <dataValidation type="list" allowBlank="1" showInputMessage="1" showErrorMessage="1" sqref="P22">
      <formula1>"True,False"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Employees</vt:lpstr>
      <vt:lpstr>Departments</vt:lpstr>
      <vt:lpstr>Parameters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Dick Dye</cp:lastModifiedBy>
  <dcterms:created xsi:type="dcterms:W3CDTF">2017-12-29T22:01:09Z</dcterms:created>
  <dcterms:modified xsi:type="dcterms:W3CDTF">2017-12-31T18:35:32Z</dcterms:modified>
</cp:coreProperties>
</file>

<file path=docProps/core0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dc:creator>axlsx</dc:creator>
  <dcterms:created xsi:type="dcterms:W3CDTF">2017-12-29T16:48:03Z</dcterms:created>
  <cp:revision>0</cp:revision>
</cp:coreProperties>
</file>