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<sst xmlns="http://schemas.openxmlformats.org/spreadsheetml/2006/main" count="1124" uniqueCount="676">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</sst>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2">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
      <sz val="11"/>
      <color theme="1"/>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22">
    <xf numFmtId="0" fontId="0" fillId="0" borderId="0" xfId="0"/>
    <xf numFmtId="0" fontId="0" fillId="0" borderId="0" xfId="0" applyProtection="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xf numFmtId="0" fontId="131" fillId="0" borderId="0" xfId="0" applyFont="1"/>
    <xf numFmtId="0" fontId="131" fillId="0" borderId="0" xfId="0" applyFont="1" applyProtection="1">
      <protection locked="0"/>
    </xf>
    <xf numFmtId="0" fontId="131" fillId="0" borderId="0" xfId="0" applyFont="1" applyAlignment="1" applyProtection="1">
      <alignment wrapText="1"/>
      <protection locked="0"/>
    </xf>
    <xf numFmtId="0" fontId="0" fillId="0" borderId="0" xfId="0" applyFont="1" applyAlignment="1" applyProtection="1">
      <alignment wrapText="1"/>
      <protection locked="0"/>
    </xf>
    <xf numFmtId="0" fontId="0" fillId="0" borderId="0" xfId="0" applyFont="1" applyProtection="1">
      <protection locked="0"/>
    </xf>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8">
    <dxf>
      <numFmt numFmtId="19" formatCode="m/d/yyyy"/>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7"/>
      <tableStyleElement type="headerRow" dxfId="16"/>
      <tableStyleElement type="firstRowStripe" dxfId="15"/>
    </tableStyle>
    <tableStyle name="TableStyleQueryResult" pivot="0" count="3">
      <tableStyleElement type="wholeTable" dxfId="14"/>
      <tableStyleElement type="headerRow" dxfId="13"/>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87" activePane="bottomLeft" state="frozen"/>
      <selection pane="bottomLeft" activeCell="G89" sqref="G89"/>
    </sheetView>
  </sheetViews>
  <sheetFormatPr defaultRowHeight="15"/>
  <cols>
    <col min="1" max="2" width="9.140625" style="117"/>
    <col min="3" max="3" width="11.5703125" style="117" bestFit="1" customWidth="1"/>
    <col min="4" max="4" width="39.42578125" style="117" bestFit="1" customWidth="1"/>
    <col min="5" max="5" width="75" style="117" bestFit="1" customWidth="1"/>
    <col min="6" max="6" width="13.140625" style="117" customWidth="1"/>
    <col min="7" max="7" width="14.85546875" style="117" bestFit="1" customWidth="1"/>
    <col min="8" max="8" width="9.140625" style="117"/>
    <col min="9" max="9" width="14.7109375" style="117" customWidth="1"/>
    <col min="10" max="10" width="14.85546875" style="117" bestFit="1" customWidth="1"/>
    <col min="11" max="11" width="11.5703125" style="117" bestFit="1" customWidth="1"/>
    <col min="12" max="12" width="15.85546875" style="117" customWidth="1"/>
    <col min="13" max="16384" width="9.140625" style="117"/>
  </cols>
  <sheetData>
    <row r="4" spans="3:10">
      <c r="C4" s="117" t="s">
        <v>0</v>
      </c>
      <c r="D4" s="117" t="s">
        <v>1</v>
      </c>
      <c r="E4" s="117" t="s">
        <v>2</v>
      </c>
      <c r="F4" s="117" t="s">
        <v>4</v>
      </c>
      <c r="G4" s="117" t="s">
        <v>3</v>
      </c>
    </row>
    <row r="5" spans="3:10" ht="105">
      <c r="C5" s="118" t="s">
        <v>17</v>
      </c>
      <c r="D5" s="118" t="s">
        <v>6</v>
      </c>
      <c r="E5" s="120" t="s">
        <v>204</v>
      </c>
      <c r="F5" s="117" t="s">
        <v>9</v>
      </c>
      <c r="G5" s="118" t="s">
        <v>20</v>
      </c>
      <c r="I5" s="117" t="s">
        <v>8</v>
      </c>
      <c r="J5" s="117" t="s">
        <v>5</v>
      </c>
    </row>
    <row r="6" spans="3:10" ht="75">
      <c r="C6" s="118" t="s">
        <v>10</v>
      </c>
      <c r="D6" s="118" t="s">
        <v>11</v>
      </c>
      <c r="E6" s="119" t="s">
        <v>205</v>
      </c>
      <c r="F6" s="117" t="s">
        <v>9</v>
      </c>
      <c r="G6" s="118" t="s">
        <v>13</v>
      </c>
      <c r="I6" s="117" t="s">
        <v>13</v>
      </c>
      <c r="J6" s="117" t="s">
        <v>10</v>
      </c>
    </row>
    <row r="7" spans="3:10" ht="30">
      <c r="C7" s="118" t="s">
        <v>17</v>
      </c>
      <c r="D7" s="118" t="s">
        <v>18</v>
      </c>
      <c r="E7" s="119" t="s">
        <v>19</v>
      </c>
      <c r="F7" s="117" t="s">
        <v>9</v>
      </c>
      <c r="G7" s="118" t="s">
        <v>20</v>
      </c>
      <c r="I7" s="117" t="s">
        <v>15</v>
      </c>
      <c r="J7" s="117" t="s">
        <v>14</v>
      </c>
    </row>
    <row r="8" spans="3:10" ht="150">
      <c r="C8" s="118" t="s">
        <v>32</v>
      </c>
      <c r="D8" s="118" t="s">
        <v>33</v>
      </c>
      <c r="E8" s="119" t="s">
        <v>34</v>
      </c>
      <c r="F8" s="117" t="s">
        <v>9</v>
      </c>
      <c r="G8" s="118" t="s">
        <v>35</v>
      </c>
      <c r="I8" s="117" t="s">
        <v>20</v>
      </c>
      <c r="J8" s="117" t="s">
        <v>17</v>
      </c>
    </row>
    <row r="9" spans="3:10" ht="30">
      <c r="C9" s="118" t="s">
        <v>38</v>
      </c>
      <c r="D9" s="118" t="s">
        <v>39</v>
      </c>
      <c r="E9" s="119" t="s">
        <v>40</v>
      </c>
      <c r="F9" s="117" t="s">
        <v>9</v>
      </c>
      <c r="G9" s="118" t="s">
        <v>41</v>
      </c>
      <c r="I9" s="117" t="s">
        <v>22</v>
      </c>
      <c r="J9" s="117" t="s">
        <v>21</v>
      </c>
    </row>
    <row r="10" spans="3:10" ht="120">
      <c r="C10" s="118" t="s">
        <v>42</v>
      </c>
      <c r="D10" s="118" t="s">
        <v>43</v>
      </c>
      <c r="E10" s="119" t="s">
        <v>44</v>
      </c>
      <c r="F10" s="117" t="s">
        <v>9</v>
      </c>
      <c r="G10" s="118" t="s">
        <v>45</v>
      </c>
      <c r="I10" s="117" t="s">
        <v>24</v>
      </c>
      <c r="J10" s="117" t="s">
        <v>23</v>
      </c>
    </row>
    <row r="11" spans="3:10" ht="45">
      <c r="C11" s="118" t="s">
        <v>46</v>
      </c>
      <c r="D11" s="118" t="s">
        <v>47</v>
      </c>
      <c r="E11" s="119" t="s">
        <v>48</v>
      </c>
      <c r="F11" s="117" t="s">
        <v>16</v>
      </c>
      <c r="G11" s="118" t="s">
        <v>49</v>
      </c>
      <c r="I11" s="117" t="s">
        <v>27</v>
      </c>
      <c r="J11" s="117" t="s">
        <v>25</v>
      </c>
    </row>
    <row r="12" spans="3:10" ht="45">
      <c r="C12" s="118" t="s">
        <v>50</v>
      </c>
      <c r="D12" s="118" t="s">
        <v>51</v>
      </c>
      <c r="E12" s="119" t="s">
        <v>52</v>
      </c>
      <c r="F12" s="117" t="s">
        <v>16</v>
      </c>
      <c r="G12" s="118" t="s">
        <v>53</v>
      </c>
      <c r="I12" s="117" t="s">
        <v>29</v>
      </c>
      <c r="J12" s="117" t="s">
        <v>28</v>
      </c>
    </row>
    <row r="13" spans="3:10" ht="105">
      <c r="C13" s="118" t="s">
        <v>54</v>
      </c>
      <c r="D13" s="118" t="s">
        <v>55</v>
      </c>
      <c r="E13" s="119" t="s">
        <v>56</v>
      </c>
      <c r="F13" s="117" t="s">
        <v>16</v>
      </c>
      <c r="G13" s="118" t="s">
        <v>57</v>
      </c>
      <c r="I13" s="117" t="s">
        <v>31</v>
      </c>
      <c r="J13" s="117" t="s">
        <v>30</v>
      </c>
    </row>
    <row r="14" spans="3:10" ht="30">
      <c r="C14" s="118" t="s">
        <v>58</v>
      </c>
      <c r="D14" s="118" t="s">
        <v>59</v>
      </c>
      <c r="E14" s="119" t="s">
        <v>60</v>
      </c>
      <c r="F14" s="117" t="s">
        <v>9</v>
      </c>
      <c r="G14" s="118" t="s">
        <v>61</v>
      </c>
      <c r="I14" s="117" t="s">
        <v>35</v>
      </c>
      <c r="J14" s="117" t="s">
        <v>32</v>
      </c>
    </row>
    <row r="15" spans="3:10" ht="60">
      <c r="C15" s="118" t="s">
        <v>62</v>
      </c>
      <c r="D15" s="118" t="s">
        <v>63</v>
      </c>
      <c r="E15" s="119" t="s">
        <v>64</v>
      </c>
      <c r="F15" s="117" t="s">
        <v>9</v>
      </c>
      <c r="G15" s="118" t="s">
        <v>65</v>
      </c>
      <c r="I15" s="117" t="s">
        <v>37</v>
      </c>
      <c r="J15" s="117" t="s">
        <v>36</v>
      </c>
    </row>
    <row r="16" spans="3:10" ht="135">
      <c r="C16" s="118" t="s">
        <v>66</v>
      </c>
      <c r="D16" s="118" t="s">
        <v>67</v>
      </c>
      <c r="E16" s="119" t="s">
        <v>68</v>
      </c>
      <c r="F16" s="117" t="s">
        <v>16</v>
      </c>
      <c r="G16" s="118" t="s">
        <v>69</v>
      </c>
      <c r="I16" s="117" t="s">
        <v>41</v>
      </c>
      <c r="J16" s="117" t="s">
        <v>38</v>
      </c>
    </row>
    <row r="17" spans="3:10" ht="120">
      <c r="C17" s="118" t="s">
        <v>70</v>
      </c>
      <c r="D17" s="118" t="s">
        <v>71</v>
      </c>
      <c r="E17" s="119" t="s">
        <v>44</v>
      </c>
      <c r="F17" s="117" t="s">
        <v>9</v>
      </c>
      <c r="G17" s="118" t="s">
        <v>72</v>
      </c>
      <c r="I17" s="117" t="s">
        <v>45</v>
      </c>
      <c r="J17" s="117" t="s">
        <v>42</v>
      </c>
    </row>
    <row r="18" spans="3:10" ht="120">
      <c r="C18" s="118" t="s">
        <v>73</v>
      </c>
      <c r="D18" s="118" t="s">
        <v>74</v>
      </c>
      <c r="E18" s="119" t="s">
        <v>75</v>
      </c>
      <c r="F18" s="117" t="s">
        <v>16</v>
      </c>
      <c r="G18" s="118" t="s">
        <v>76</v>
      </c>
      <c r="I18" s="117" t="s">
        <v>49</v>
      </c>
      <c r="J18" s="117" t="s">
        <v>46</v>
      </c>
    </row>
    <row r="19" spans="3:10" ht="45">
      <c r="C19" s="118" t="s">
        <v>77</v>
      </c>
      <c r="D19" s="118" t="s">
        <v>78</v>
      </c>
      <c r="E19" s="119" t="s">
        <v>79</v>
      </c>
      <c r="F19" s="117" t="s">
        <v>9</v>
      </c>
      <c r="G19" s="118" t="s">
        <v>80</v>
      </c>
      <c r="I19" s="117" t="s">
        <v>53</v>
      </c>
      <c r="J19" s="117" t="s">
        <v>50</v>
      </c>
    </row>
    <row r="20" spans="3:10" ht="60">
      <c r="C20" s="118" t="s">
        <v>5</v>
      </c>
      <c r="D20" s="118" t="s">
        <v>81</v>
      </c>
      <c r="E20" s="119" t="s">
        <v>82</v>
      </c>
      <c r="F20" s="117" t="s">
        <v>9</v>
      </c>
      <c r="G20" s="118" t="s">
        <v>83</v>
      </c>
      <c r="I20" s="117" t="s">
        <v>57</v>
      </c>
      <c r="J20" s="117" t="s">
        <v>54</v>
      </c>
    </row>
    <row r="21" spans="3:10" ht="75">
      <c r="C21" s="118" t="s">
        <v>10</v>
      </c>
      <c r="D21" s="118" t="s">
        <v>84</v>
      </c>
      <c r="E21" s="119" t="s">
        <v>85</v>
      </c>
      <c r="F21" s="117" t="s">
        <v>9</v>
      </c>
      <c r="G21" s="118" t="s">
        <v>86</v>
      </c>
      <c r="I21" s="117" t="s">
        <v>61</v>
      </c>
      <c r="J21" s="117" t="s">
        <v>58</v>
      </c>
    </row>
    <row r="22" spans="3:10" ht="30">
      <c r="C22" s="118" t="s">
        <v>14</v>
      </c>
      <c r="D22" s="118" t="s">
        <v>87</v>
      </c>
      <c r="E22" s="119" t="s">
        <v>40</v>
      </c>
      <c r="F22" s="117" t="s">
        <v>9</v>
      </c>
      <c r="G22" s="118" t="s">
        <v>88</v>
      </c>
      <c r="I22" s="117" t="s">
        <v>65</v>
      </c>
      <c r="J22" s="117" t="s">
        <v>62</v>
      </c>
    </row>
    <row r="23" spans="3:10" ht="90">
      <c r="C23" s="118" t="s">
        <v>17</v>
      </c>
      <c r="D23" s="118" t="s">
        <v>89</v>
      </c>
      <c r="E23" s="119" t="s">
        <v>90</v>
      </c>
      <c r="F23" s="117" t="s">
        <v>16</v>
      </c>
      <c r="G23" s="118" t="s">
        <v>91</v>
      </c>
      <c r="I23" s="117" t="s">
        <v>69</v>
      </c>
      <c r="J23" s="117" t="s">
        <v>66</v>
      </c>
    </row>
    <row r="24" spans="3:10" ht="75">
      <c r="C24" s="118" t="s">
        <v>21</v>
      </c>
      <c r="D24" s="118" t="s">
        <v>92</v>
      </c>
      <c r="E24" s="119" t="s">
        <v>93</v>
      </c>
      <c r="F24" s="117" t="s">
        <v>16</v>
      </c>
      <c r="G24" s="118" t="s">
        <v>94</v>
      </c>
      <c r="I24" s="117" t="s">
        <v>72</v>
      </c>
      <c r="J24" s="117" t="s">
        <v>70</v>
      </c>
    </row>
    <row r="25" spans="3:10" ht="30">
      <c r="C25" s="118" t="s">
        <v>23</v>
      </c>
      <c r="D25" s="118" t="s">
        <v>95</v>
      </c>
      <c r="E25" s="119" t="s">
        <v>96</v>
      </c>
      <c r="F25" s="117" t="s">
        <v>16</v>
      </c>
      <c r="G25" s="118" t="s">
        <v>97</v>
      </c>
      <c r="I25" s="117" t="s">
        <v>76</v>
      </c>
      <c r="J25" s="117" t="s">
        <v>73</v>
      </c>
    </row>
    <row r="26" spans="3:10" ht="90">
      <c r="C26" s="118" t="s">
        <v>25</v>
      </c>
      <c r="D26" s="118" t="s">
        <v>98</v>
      </c>
      <c r="E26" s="119" t="s">
        <v>99</v>
      </c>
      <c r="F26" s="117" t="s">
        <v>9</v>
      </c>
      <c r="G26" s="118" t="s">
        <v>100</v>
      </c>
      <c r="I26" s="117" t="s">
        <v>80</v>
      </c>
      <c r="J26" s="117" t="s">
        <v>77</v>
      </c>
    </row>
    <row r="27" spans="3:10" ht="150">
      <c r="C27" s="118" t="s">
        <v>28</v>
      </c>
      <c r="D27" s="118" t="s">
        <v>101</v>
      </c>
      <c r="E27" s="119" t="s">
        <v>102</v>
      </c>
      <c r="F27" s="117" t="s">
        <v>16</v>
      </c>
      <c r="G27" s="118" t="s">
        <v>103</v>
      </c>
      <c r="I27" s="117" t="s">
        <v>83</v>
      </c>
    </row>
    <row r="28" spans="3:10" ht="90">
      <c r="C28" s="118" t="s">
        <v>30</v>
      </c>
      <c r="D28" s="118" t="s">
        <v>104</v>
      </c>
      <c r="E28" s="119" t="s">
        <v>105</v>
      </c>
      <c r="F28" s="117" t="s">
        <v>16</v>
      </c>
      <c r="G28" s="118" t="s">
        <v>106</v>
      </c>
      <c r="I28" s="117" t="s">
        <v>86</v>
      </c>
    </row>
    <row r="29" spans="3:10" ht="105">
      <c r="C29" s="118" t="s">
        <v>32</v>
      </c>
      <c r="D29" s="118" t="s">
        <v>107</v>
      </c>
      <c r="E29" s="119" t="s">
        <v>108</v>
      </c>
      <c r="F29" s="117" t="s">
        <v>16</v>
      </c>
      <c r="G29" s="118" t="s">
        <v>109</v>
      </c>
      <c r="I29" s="117" t="s">
        <v>88</v>
      </c>
    </row>
    <row r="30" spans="3:10" ht="150">
      <c r="C30" s="118" t="s">
        <v>36</v>
      </c>
      <c r="D30" s="118" t="s">
        <v>110</v>
      </c>
      <c r="E30" s="119" t="s">
        <v>111</v>
      </c>
      <c r="F30" s="117" t="s">
        <v>9</v>
      </c>
      <c r="G30" s="118" t="s">
        <v>112</v>
      </c>
      <c r="I30" s="117" t="s">
        <v>91</v>
      </c>
    </row>
    <row r="31" spans="3:10" ht="30">
      <c r="C31" s="118" t="s">
        <v>38</v>
      </c>
      <c r="D31" s="118" t="s">
        <v>113</v>
      </c>
      <c r="E31" s="119" t="s">
        <v>114</v>
      </c>
      <c r="F31" s="117" t="s">
        <v>16</v>
      </c>
      <c r="G31" s="118" t="s">
        <v>8</v>
      </c>
      <c r="I31" s="117" t="s">
        <v>94</v>
      </c>
    </row>
    <row r="32" spans="3:10" ht="105">
      <c r="C32" s="118" t="s">
        <v>42</v>
      </c>
      <c r="D32" s="118" t="s">
        <v>115</v>
      </c>
      <c r="E32" s="119" t="s">
        <v>116</v>
      </c>
      <c r="F32" s="117" t="s">
        <v>16</v>
      </c>
      <c r="G32" s="118" t="s">
        <v>13</v>
      </c>
      <c r="I32" s="117" t="s">
        <v>97</v>
      </c>
    </row>
    <row r="33" spans="3:9" ht="60">
      <c r="C33" s="118" t="s">
        <v>46</v>
      </c>
      <c r="D33" s="118" t="s">
        <v>117</v>
      </c>
      <c r="E33" s="119" t="s">
        <v>82</v>
      </c>
      <c r="F33" s="117" t="s">
        <v>9</v>
      </c>
      <c r="G33" s="118" t="s">
        <v>15</v>
      </c>
      <c r="I33" s="117" t="s">
        <v>100</v>
      </c>
    </row>
    <row r="34" spans="3:9" ht="60">
      <c r="C34" s="118" t="s">
        <v>50</v>
      </c>
      <c r="D34" s="118" t="s">
        <v>118</v>
      </c>
      <c r="E34" s="119" t="s">
        <v>119</v>
      </c>
      <c r="F34" s="117" t="s">
        <v>16</v>
      </c>
      <c r="G34" s="118" t="s">
        <v>20</v>
      </c>
      <c r="I34" s="117" t="s">
        <v>103</v>
      </c>
    </row>
    <row r="35" spans="3:9" ht="120">
      <c r="C35" s="118" t="s">
        <v>54</v>
      </c>
      <c r="D35" s="118" t="s">
        <v>120</v>
      </c>
      <c r="E35" s="119" t="s">
        <v>75</v>
      </c>
      <c r="F35" s="117" t="s">
        <v>16</v>
      </c>
      <c r="G35" s="118" t="s">
        <v>22</v>
      </c>
      <c r="I35" s="117" t="s">
        <v>106</v>
      </c>
    </row>
    <row r="36" spans="3:9" ht="90">
      <c r="C36" s="118" t="s">
        <v>58</v>
      </c>
      <c r="D36" s="118" t="s">
        <v>121</v>
      </c>
      <c r="E36" s="119" t="s">
        <v>105</v>
      </c>
      <c r="F36" s="117" t="s">
        <v>16</v>
      </c>
      <c r="G36" s="118" t="s">
        <v>24</v>
      </c>
      <c r="I36" s="117" t="s">
        <v>109</v>
      </c>
    </row>
    <row r="37" spans="3:9" ht="150">
      <c r="C37" s="118" t="s">
        <v>62</v>
      </c>
      <c r="D37" s="118" t="s">
        <v>122</v>
      </c>
      <c r="E37" s="119" t="s">
        <v>123</v>
      </c>
      <c r="F37" s="117" t="s">
        <v>9</v>
      </c>
      <c r="G37" s="118" t="s">
        <v>27</v>
      </c>
      <c r="I37" s="117" t="s">
        <v>112</v>
      </c>
    </row>
    <row r="38" spans="3:9" ht="30">
      <c r="C38" s="118" t="s">
        <v>66</v>
      </c>
      <c r="D38" s="118" t="s">
        <v>124</v>
      </c>
      <c r="E38" s="119" t="s">
        <v>125</v>
      </c>
      <c r="F38" s="117" t="s">
        <v>16</v>
      </c>
      <c r="G38" s="118" t="s">
        <v>29</v>
      </c>
    </row>
    <row r="39" spans="3:9" ht="75">
      <c r="C39" s="118" t="s">
        <v>70</v>
      </c>
      <c r="D39" s="118" t="s">
        <v>126</v>
      </c>
      <c r="E39" s="119" t="s">
        <v>127</v>
      </c>
      <c r="F39" s="117" t="s">
        <v>9</v>
      </c>
      <c r="G39" s="118" t="s">
        <v>31</v>
      </c>
    </row>
    <row r="40" spans="3:9" ht="120">
      <c r="C40" s="118" t="s">
        <v>73</v>
      </c>
      <c r="D40" s="118" t="s">
        <v>128</v>
      </c>
      <c r="E40" s="119" t="s">
        <v>129</v>
      </c>
      <c r="F40" s="117" t="s">
        <v>9</v>
      </c>
      <c r="G40" s="118" t="s">
        <v>35</v>
      </c>
    </row>
    <row r="41" spans="3:9" ht="105">
      <c r="C41" s="118" t="s">
        <v>77</v>
      </c>
      <c r="D41" s="118" t="s">
        <v>130</v>
      </c>
      <c r="E41" s="119" t="s">
        <v>131</v>
      </c>
      <c r="F41" s="117" t="s">
        <v>9</v>
      </c>
      <c r="G41" s="118" t="s">
        <v>37</v>
      </c>
    </row>
    <row r="42" spans="3:9" ht="105">
      <c r="C42" s="118" t="s">
        <v>5</v>
      </c>
      <c r="D42" s="118" t="s">
        <v>132</v>
      </c>
      <c r="E42" s="119" t="s">
        <v>26</v>
      </c>
      <c r="F42" s="117" t="s">
        <v>9</v>
      </c>
      <c r="G42" s="118" t="s">
        <v>41</v>
      </c>
    </row>
    <row r="43" spans="3:9" ht="60">
      <c r="C43" s="118" t="s">
        <v>10</v>
      </c>
      <c r="D43" s="118" t="s">
        <v>133</v>
      </c>
      <c r="E43" s="119" t="s">
        <v>134</v>
      </c>
      <c r="F43" s="117" t="s">
        <v>9</v>
      </c>
      <c r="G43" s="118" t="s">
        <v>45</v>
      </c>
    </row>
    <row r="44" spans="3:9" ht="90">
      <c r="C44" s="118" t="s">
        <v>14</v>
      </c>
      <c r="D44" s="118" t="s">
        <v>135</v>
      </c>
      <c r="E44" s="119" t="s">
        <v>136</v>
      </c>
      <c r="F44" s="117" t="s">
        <v>16</v>
      </c>
      <c r="G44" s="118" t="s">
        <v>49</v>
      </c>
    </row>
    <row r="45" spans="3:9" ht="135">
      <c r="C45" s="118" t="s">
        <v>17</v>
      </c>
      <c r="D45" s="118" t="s">
        <v>137</v>
      </c>
      <c r="E45" s="119" t="s">
        <v>138</v>
      </c>
      <c r="F45" s="117" t="s">
        <v>9</v>
      </c>
      <c r="G45" s="118" t="s">
        <v>53</v>
      </c>
    </row>
    <row r="46" spans="3:9" ht="135">
      <c r="C46" s="118" t="s">
        <v>21</v>
      </c>
      <c r="D46" s="118" t="s">
        <v>139</v>
      </c>
      <c r="E46" s="119" t="s">
        <v>140</v>
      </c>
      <c r="F46" s="117" t="s">
        <v>16</v>
      </c>
      <c r="G46" s="118" t="s">
        <v>57</v>
      </c>
    </row>
    <row r="47" spans="3:9" ht="150">
      <c r="C47" s="118" t="s">
        <v>23</v>
      </c>
      <c r="D47" s="118" t="s">
        <v>141</v>
      </c>
      <c r="E47" s="119" t="s">
        <v>123</v>
      </c>
      <c r="F47" s="117" t="s">
        <v>16</v>
      </c>
      <c r="G47" s="118" t="s">
        <v>61</v>
      </c>
    </row>
    <row r="48" spans="3:9" ht="75">
      <c r="C48" s="118" t="s">
        <v>25</v>
      </c>
      <c r="D48" s="118" t="s">
        <v>142</v>
      </c>
      <c r="E48" s="119" t="s">
        <v>12</v>
      </c>
      <c r="F48" s="117" t="s">
        <v>16</v>
      </c>
      <c r="G48" s="118" t="s">
        <v>65</v>
      </c>
    </row>
    <row r="49" spans="3:7" ht="30">
      <c r="C49" s="118" t="s">
        <v>28</v>
      </c>
      <c r="D49" s="118" t="s">
        <v>143</v>
      </c>
      <c r="E49" s="119" t="s">
        <v>114</v>
      </c>
      <c r="F49" s="117" t="s">
        <v>16</v>
      </c>
      <c r="G49" s="118" t="s">
        <v>69</v>
      </c>
    </row>
    <row r="50" spans="3:7" ht="150">
      <c r="C50" s="118" t="s">
        <v>30</v>
      </c>
      <c r="D50" s="118" t="s">
        <v>144</v>
      </c>
      <c r="E50" s="119" t="s">
        <v>34</v>
      </c>
      <c r="F50" s="117" t="s">
        <v>16</v>
      </c>
      <c r="G50" s="118" t="s">
        <v>72</v>
      </c>
    </row>
    <row r="51" spans="3:7" ht="75">
      <c r="C51" s="118" t="s">
        <v>32</v>
      </c>
      <c r="D51" s="118" t="s">
        <v>145</v>
      </c>
      <c r="E51" s="119" t="s">
        <v>146</v>
      </c>
      <c r="F51" s="117" t="s">
        <v>16</v>
      </c>
      <c r="G51" s="118" t="s">
        <v>76</v>
      </c>
    </row>
    <row r="52" spans="3:7" ht="30">
      <c r="C52" s="118" t="s">
        <v>36</v>
      </c>
      <c r="D52" s="118" t="s">
        <v>147</v>
      </c>
      <c r="E52" s="119" t="s">
        <v>148</v>
      </c>
      <c r="F52" s="117" t="s">
        <v>9</v>
      </c>
      <c r="G52" s="118" t="s">
        <v>80</v>
      </c>
    </row>
    <row r="53" spans="3:7" ht="30">
      <c r="C53" s="118" t="s">
        <v>38</v>
      </c>
      <c r="D53" s="118" t="s">
        <v>149</v>
      </c>
      <c r="E53" s="119" t="s">
        <v>150</v>
      </c>
      <c r="F53" s="117" t="s">
        <v>9</v>
      </c>
      <c r="G53" s="118" t="s">
        <v>83</v>
      </c>
    </row>
    <row r="54" spans="3:7" ht="105">
      <c r="C54" s="118" t="s">
        <v>42</v>
      </c>
      <c r="D54" s="118" t="s">
        <v>151</v>
      </c>
      <c r="E54" s="119" t="s">
        <v>152</v>
      </c>
      <c r="F54" s="117" t="s">
        <v>9</v>
      </c>
      <c r="G54" s="118" t="s">
        <v>86</v>
      </c>
    </row>
    <row r="55" spans="3:7">
      <c r="C55" s="118" t="s">
        <v>46</v>
      </c>
      <c r="D55" s="118" t="s">
        <v>153</v>
      </c>
      <c r="E55" s="119" t="s">
        <v>154</v>
      </c>
      <c r="F55" s="117" t="s">
        <v>9</v>
      </c>
      <c r="G55" s="118" t="s">
        <v>88</v>
      </c>
    </row>
    <row r="56" spans="3:7" ht="90">
      <c r="C56" s="118" t="s">
        <v>50</v>
      </c>
      <c r="D56" s="118" t="s">
        <v>155</v>
      </c>
      <c r="E56" s="119" t="s">
        <v>136</v>
      </c>
      <c r="F56" s="117" t="s">
        <v>9</v>
      </c>
      <c r="G56" s="118" t="s">
        <v>91</v>
      </c>
    </row>
    <row r="57" spans="3:7" ht="150">
      <c r="C57" s="118" t="s">
        <v>54</v>
      </c>
      <c r="D57" s="118" t="s">
        <v>156</v>
      </c>
      <c r="E57" s="119" t="s">
        <v>111</v>
      </c>
      <c r="F57" s="117" t="s">
        <v>16</v>
      </c>
      <c r="G57" s="118" t="s">
        <v>94</v>
      </c>
    </row>
    <row r="58" spans="3:7" ht="75">
      <c r="C58" s="118" t="s">
        <v>58</v>
      </c>
      <c r="D58" s="118" t="s">
        <v>157</v>
      </c>
      <c r="E58" s="119" t="s">
        <v>146</v>
      </c>
      <c r="F58" s="117" t="s">
        <v>16</v>
      </c>
      <c r="G58" s="118" t="s">
        <v>97</v>
      </c>
    </row>
    <row r="59" spans="3:7" ht="60">
      <c r="C59" s="118" t="s">
        <v>62</v>
      </c>
      <c r="D59" s="118" t="s">
        <v>158</v>
      </c>
      <c r="E59" s="119" t="s">
        <v>159</v>
      </c>
      <c r="F59" s="117" t="s">
        <v>16</v>
      </c>
      <c r="G59" s="118" t="s">
        <v>100</v>
      </c>
    </row>
    <row r="60" spans="3:7" ht="60">
      <c r="C60" s="118" t="s">
        <v>66</v>
      </c>
      <c r="D60" s="118" t="s">
        <v>160</v>
      </c>
      <c r="E60" s="119" t="s">
        <v>159</v>
      </c>
      <c r="F60" s="117" t="s">
        <v>16</v>
      </c>
      <c r="G60" s="118" t="s">
        <v>103</v>
      </c>
    </row>
    <row r="61" spans="3:7" ht="105">
      <c r="C61" s="118" t="s">
        <v>70</v>
      </c>
      <c r="D61" s="118" t="s">
        <v>161</v>
      </c>
      <c r="E61" s="119" t="s">
        <v>116</v>
      </c>
      <c r="F61" s="117" t="s">
        <v>9</v>
      </c>
      <c r="G61" s="118" t="s">
        <v>106</v>
      </c>
    </row>
    <row r="62" spans="3:7" ht="105">
      <c r="C62" s="118" t="s">
        <v>73</v>
      </c>
      <c r="D62" s="118" t="s">
        <v>162</v>
      </c>
      <c r="E62" s="119" t="s">
        <v>7</v>
      </c>
      <c r="F62" s="117" t="s">
        <v>16</v>
      </c>
      <c r="G62" s="118" t="s">
        <v>109</v>
      </c>
    </row>
    <row r="63" spans="3:7" ht="135">
      <c r="C63" s="118" t="s">
        <v>77</v>
      </c>
      <c r="D63" s="118" t="s">
        <v>163</v>
      </c>
      <c r="E63" s="119" t="s">
        <v>164</v>
      </c>
      <c r="F63" s="117" t="s">
        <v>9</v>
      </c>
      <c r="G63" s="118" t="s">
        <v>112</v>
      </c>
    </row>
    <row r="64" spans="3:7" ht="135">
      <c r="C64" s="118" t="s">
        <v>5</v>
      </c>
      <c r="D64" s="118" t="s">
        <v>165</v>
      </c>
      <c r="E64" s="119" t="s">
        <v>138</v>
      </c>
      <c r="F64" s="117" t="s">
        <v>9</v>
      </c>
      <c r="G64" s="118" t="s">
        <v>8</v>
      </c>
    </row>
    <row r="65" spans="3:7" ht="30">
      <c r="C65" s="118" t="s">
        <v>10</v>
      </c>
      <c r="D65" s="118" t="s">
        <v>166</v>
      </c>
      <c r="E65" s="119" t="s">
        <v>167</v>
      </c>
      <c r="F65" s="117" t="s">
        <v>9</v>
      </c>
      <c r="G65" s="118" t="s">
        <v>13</v>
      </c>
    </row>
    <row r="66" spans="3:7" ht="90">
      <c r="C66" s="118" t="s">
        <v>14</v>
      </c>
      <c r="D66" s="118" t="s">
        <v>168</v>
      </c>
      <c r="E66" s="119" t="s">
        <v>169</v>
      </c>
      <c r="F66" s="117" t="s">
        <v>9</v>
      </c>
      <c r="G66" s="118" t="s">
        <v>15</v>
      </c>
    </row>
    <row r="67" spans="3:7" ht="30">
      <c r="C67" s="118" t="s">
        <v>17</v>
      </c>
      <c r="D67" s="118" t="s">
        <v>170</v>
      </c>
      <c r="E67" s="119" t="s">
        <v>60</v>
      </c>
      <c r="F67" s="117" t="s">
        <v>16</v>
      </c>
      <c r="G67" s="118" t="s">
        <v>20</v>
      </c>
    </row>
    <row r="68" spans="3:7" ht="30">
      <c r="C68" s="118" t="s">
        <v>21</v>
      </c>
      <c r="D68" s="118" t="s">
        <v>171</v>
      </c>
      <c r="E68" s="119" t="s">
        <v>172</v>
      </c>
      <c r="F68" s="117" t="s">
        <v>9</v>
      </c>
      <c r="G68" s="118" t="s">
        <v>22</v>
      </c>
    </row>
    <row r="69" spans="3:7" ht="75">
      <c r="C69" s="118" t="s">
        <v>23</v>
      </c>
      <c r="D69" s="118" t="s">
        <v>173</v>
      </c>
      <c r="E69" s="119" t="s">
        <v>85</v>
      </c>
      <c r="F69" s="117" t="s">
        <v>16</v>
      </c>
      <c r="G69" s="118" t="s">
        <v>24</v>
      </c>
    </row>
    <row r="70" spans="3:7">
      <c r="C70" s="118" t="s">
        <v>25</v>
      </c>
      <c r="D70" s="118" t="s">
        <v>174</v>
      </c>
      <c r="E70" s="119" t="s">
        <v>175</v>
      </c>
      <c r="F70" s="117" t="s">
        <v>16</v>
      </c>
      <c r="G70" s="118" t="s">
        <v>27</v>
      </c>
    </row>
    <row r="71" spans="3:7" ht="30">
      <c r="C71" s="118" t="s">
        <v>28</v>
      </c>
      <c r="D71" s="118" t="s">
        <v>176</v>
      </c>
      <c r="E71" s="119" t="s">
        <v>177</v>
      </c>
      <c r="F71" s="117" t="s">
        <v>16</v>
      </c>
      <c r="G71" s="118" t="s">
        <v>29</v>
      </c>
    </row>
    <row r="72" spans="3:7" ht="30">
      <c r="C72" s="118" t="s">
        <v>30</v>
      </c>
      <c r="D72" s="118" t="s">
        <v>178</v>
      </c>
      <c r="E72" s="119" t="s">
        <v>177</v>
      </c>
      <c r="F72" s="117" t="s">
        <v>9</v>
      </c>
      <c r="G72" s="118" t="s">
        <v>31</v>
      </c>
    </row>
    <row r="73" spans="3:7" ht="45">
      <c r="C73" s="118" t="s">
        <v>32</v>
      </c>
      <c r="D73" s="118" t="s">
        <v>179</v>
      </c>
      <c r="E73" s="119" t="s">
        <v>180</v>
      </c>
      <c r="F73" s="117" t="s">
        <v>9</v>
      </c>
      <c r="G73" s="118" t="s">
        <v>35</v>
      </c>
    </row>
    <row r="74" spans="3:7" ht="120">
      <c r="C74" s="118" t="s">
        <v>36</v>
      </c>
      <c r="D74" s="118" t="s">
        <v>181</v>
      </c>
      <c r="E74" s="119" t="s">
        <v>44</v>
      </c>
      <c r="F74" s="117" t="s">
        <v>9</v>
      </c>
      <c r="G74" s="118" t="s">
        <v>37</v>
      </c>
    </row>
    <row r="75" spans="3:7" ht="60">
      <c r="C75" s="118" t="s">
        <v>38</v>
      </c>
      <c r="D75" s="118" t="s">
        <v>182</v>
      </c>
      <c r="E75" s="119" t="s">
        <v>183</v>
      </c>
      <c r="F75" s="117" t="s">
        <v>9</v>
      </c>
      <c r="G75" s="118" t="s">
        <v>41</v>
      </c>
    </row>
    <row r="76" spans="3:7" ht="105">
      <c r="C76" s="118" t="s">
        <v>42</v>
      </c>
      <c r="D76" s="118" t="s">
        <v>184</v>
      </c>
      <c r="E76" s="119" t="s">
        <v>56</v>
      </c>
      <c r="F76" s="117" t="s">
        <v>16</v>
      </c>
      <c r="G76" s="118" t="s">
        <v>45</v>
      </c>
    </row>
    <row r="77" spans="3:7" ht="60">
      <c r="C77" s="118" t="s">
        <v>46</v>
      </c>
      <c r="D77" s="118" t="s">
        <v>185</v>
      </c>
      <c r="E77" s="119" t="s">
        <v>186</v>
      </c>
      <c r="F77" s="117" t="s">
        <v>9</v>
      </c>
      <c r="G77" s="118" t="s">
        <v>49</v>
      </c>
    </row>
    <row r="78" spans="3:7">
      <c r="C78" s="118" t="s">
        <v>50</v>
      </c>
      <c r="D78" s="118" t="s">
        <v>187</v>
      </c>
      <c r="E78" s="119" t="s">
        <v>188</v>
      </c>
      <c r="F78" s="117" t="s">
        <v>9</v>
      </c>
      <c r="G78" s="118" t="s">
        <v>53</v>
      </c>
    </row>
    <row r="79" spans="3:7" ht="45">
      <c r="C79" s="118" t="s">
        <v>54</v>
      </c>
      <c r="D79" s="118" t="s">
        <v>189</v>
      </c>
      <c r="E79" s="119" t="s">
        <v>190</v>
      </c>
      <c r="F79" s="117" t="s">
        <v>9</v>
      </c>
      <c r="G79" s="118" t="s">
        <v>57</v>
      </c>
    </row>
    <row r="80" spans="3:7" ht="105">
      <c r="C80" s="118" t="s">
        <v>58</v>
      </c>
      <c r="D80" s="118" t="s">
        <v>191</v>
      </c>
      <c r="E80" s="119" t="s">
        <v>192</v>
      </c>
      <c r="F80" s="117" t="s">
        <v>9</v>
      </c>
      <c r="G80" s="118" t="s">
        <v>61</v>
      </c>
    </row>
    <row r="81" spans="3:7" ht="75">
      <c r="C81" s="118" t="s">
        <v>62</v>
      </c>
      <c r="D81" s="118" t="s">
        <v>193</v>
      </c>
      <c r="E81" s="119" t="s">
        <v>194</v>
      </c>
      <c r="F81" s="117" t="s">
        <v>9</v>
      </c>
      <c r="G81" s="118" t="s">
        <v>65</v>
      </c>
    </row>
    <row r="82" spans="3:7" ht="105">
      <c r="C82" s="118" t="s">
        <v>66</v>
      </c>
      <c r="D82" s="118" t="s">
        <v>195</v>
      </c>
      <c r="E82" s="119" t="s">
        <v>131</v>
      </c>
      <c r="F82" s="117" t="s">
        <v>16</v>
      </c>
      <c r="G82" s="118" t="s">
        <v>69</v>
      </c>
    </row>
    <row r="83" spans="3:7" ht="30">
      <c r="C83" s="118" t="s">
        <v>70</v>
      </c>
      <c r="D83" s="118" t="s">
        <v>196</v>
      </c>
      <c r="E83" s="119" t="s">
        <v>114</v>
      </c>
      <c r="F83" s="117" t="s">
        <v>9</v>
      </c>
      <c r="G83" s="118" t="s">
        <v>72</v>
      </c>
    </row>
    <row r="84" spans="3:7" ht="30">
      <c r="C84" s="118" t="s">
        <v>73</v>
      </c>
      <c r="D84" s="118" t="s">
        <v>197</v>
      </c>
      <c r="E84" s="119" t="s">
        <v>167</v>
      </c>
      <c r="F84" s="117" t="s">
        <v>16</v>
      </c>
      <c r="G84" s="118" t="s">
        <v>76</v>
      </c>
    </row>
    <row r="85" spans="3:7" ht="135">
      <c r="C85" s="118" t="s">
        <v>77</v>
      </c>
      <c r="D85" s="118" t="s">
        <v>198</v>
      </c>
      <c r="E85" s="119" t="s">
        <v>164</v>
      </c>
      <c r="F85" s="117" t="s">
        <v>9</v>
      </c>
      <c r="G85" s="118" t="s">
        <v>80</v>
      </c>
    </row>
    <row r="86" spans="3:7" ht="105">
      <c r="C86" s="118" t="s">
        <v>14</v>
      </c>
      <c r="D86" s="118" t="s">
        <v>199</v>
      </c>
      <c r="E86" s="119" t="s">
        <v>131</v>
      </c>
      <c r="F86" s="117" t="s">
        <v>16</v>
      </c>
      <c r="G86" s="118" t="s">
        <v>83</v>
      </c>
    </row>
    <row r="87" spans="3:7" ht="105">
      <c r="C87" s="118" t="s">
        <v>17</v>
      </c>
      <c r="D87" s="118" t="s">
        <v>200</v>
      </c>
      <c r="E87" s="119" t="s">
        <v>131</v>
      </c>
      <c r="F87" s="117" t="s">
        <v>9</v>
      </c>
      <c r="G87" s="118" t="s">
        <v>86</v>
      </c>
    </row>
    <row r="88" spans="3:7" ht="45">
      <c r="C88" s="118" t="s">
        <v>21</v>
      </c>
      <c r="D88" s="121" t="s">
        <v>201</v>
      </c>
      <c r="E88" s="119" t="s">
        <v>202</v>
      </c>
      <c r="F88" s="117" t="s">
        <v>16</v>
      </c>
      <c r="G88" s="118" t="s">
        <v>88</v>
      </c>
    </row>
    <row r="89" spans="3:7" ht="30">
      <c r="C89" s="118" t="s">
        <v>23</v>
      </c>
      <c r="D89" s="118" t="s">
        <v>203</v>
      </c>
      <c r="E89" s="120" t="s">
        <v>60</v>
      </c>
      <c r="F89" s="117" t="s">
        <v>16</v>
      </c>
      <c r="G89" s="118" t="s">
        <v>91</v>
      </c>
    </row>
  </sheetData>
  <dataConsolidate/>
  <dataValidations count="5">
    <dataValidation allowBlank="1" showInputMessage="1" showErrorMessage="1" promptTitle="Calculation" prompt="A randomly calculated field" sqref="F5:F89"/>
    <dataValidation type="list" allowBlank="1" showInputMessage="1" showErrorMessage="1" promptTitle="Model" prompt="Source of the product" sqref="G5:G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pane ySplit="1" topLeftCell="A67" activePane="bottomLeft" state="frozen"/>
      <selection pane="bottomLeft" activeCell="D84" sqref="D84"/>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6">
        <v>42804</v>
      </c>
    </row>
    <row r="3" spans="1:6">
      <c r="A3" s="1">
        <v>2</v>
      </c>
      <c r="B3" s="1" t="s">
        <v>666</v>
      </c>
      <c r="C3" s="1" t="s">
        <v>665</v>
      </c>
      <c r="D3" s="1" t="s">
        <v>664</v>
      </c>
      <c r="E3" s="1" t="s">
        <v>16</v>
      </c>
      <c r="F3" s="116">
        <v>42902</v>
      </c>
    </row>
    <row r="4" spans="1:6">
      <c r="A4" s="1">
        <v>3</v>
      </c>
      <c r="B4" s="1" t="s">
        <v>663</v>
      </c>
      <c r="C4" s="1" t="s">
        <v>662</v>
      </c>
      <c r="D4" s="1" t="s">
        <v>661</v>
      </c>
      <c r="E4" s="1" t="s">
        <v>9</v>
      </c>
      <c r="F4" s="116">
        <v>42654</v>
      </c>
    </row>
    <row r="5" spans="1:6">
      <c r="A5" s="1">
        <v>4</v>
      </c>
      <c r="B5" s="1" t="s">
        <v>660</v>
      </c>
      <c r="C5" s="1" t="s">
        <v>659</v>
      </c>
      <c r="D5" s="1" t="s">
        <v>658</v>
      </c>
      <c r="E5" s="1" t="s">
        <v>16</v>
      </c>
      <c r="F5" s="116">
        <v>42752</v>
      </c>
    </row>
    <row r="6" spans="1:6">
      <c r="A6" s="1">
        <v>5</v>
      </c>
      <c r="B6" s="1" t="s">
        <v>657</v>
      </c>
      <c r="C6" s="1" t="s">
        <v>656</v>
      </c>
      <c r="D6" s="1" t="s">
        <v>655</v>
      </c>
      <c r="E6" s="1" t="s">
        <v>16</v>
      </c>
      <c r="F6" s="116">
        <v>42758</v>
      </c>
    </row>
    <row r="7" spans="1:6">
      <c r="A7" s="1">
        <v>6</v>
      </c>
      <c r="B7" s="1" t="s">
        <v>654</v>
      </c>
      <c r="C7" s="1" t="s">
        <v>653</v>
      </c>
      <c r="D7" s="1" t="s">
        <v>652</v>
      </c>
      <c r="E7" s="1" t="s">
        <v>9</v>
      </c>
      <c r="F7" s="116">
        <v>42733</v>
      </c>
    </row>
    <row r="8" spans="1:6">
      <c r="A8" s="1">
        <v>7</v>
      </c>
      <c r="B8" s="1" t="s">
        <v>651</v>
      </c>
      <c r="C8" s="1" t="s">
        <v>650</v>
      </c>
      <c r="D8" s="1" t="s">
        <v>649</v>
      </c>
      <c r="E8" s="1" t="s">
        <v>16</v>
      </c>
      <c r="F8" s="116">
        <v>42729</v>
      </c>
    </row>
    <row r="9" spans="1:6">
      <c r="A9" s="1">
        <v>8</v>
      </c>
      <c r="B9" s="1" t="s">
        <v>547</v>
      </c>
      <c r="C9" s="1" t="s">
        <v>648</v>
      </c>
      <c r="D9" s="1" t="s">
        <v>647</v>
      </c>
      <c r="E9" s="1" t="s">
        <v>9</v>
      </c>
      <c r="F9" s="116">
        <v>42579</v>
      </c>
    </row>
    <row r="10" spans="1:6">
      <c r="A10" s="1">
        <v>9</v>
      </c>
      <c r="B10" s="1" t="s">
        <v>646</v>
      </c>
      <c r="C10" s="1" t="s">
        <v>645</v>
      </c>
      <c r="D10" s="1" t="s">
        <v>644</v>
      </c>
      <c r="E10" s="1" t="s">
        <v>9</v>
      </c>
      <c r="F10" s="116">
        <v>42654</v>
      </c>
    </row>
    <row r="11" spans="1:6">
      <c r="A11" s="1">
        <v>10</v>
      </c>
      <c r="B11" s="1" t="s">
        <v>643</v>
      </c>
      <c r="C11" s="1" t="s">
        <v>642</v>
      </c>
      <c r="D11" s="1" t="s">
        <v>641</v>
      </c>
      <c r="E11" s="1" t="s">
        <v>16</v>
      </c>
      <c r="F11" s="116">
        <v>42761</v>
      </c>
    </row>
    <row r="12" spans="1:6">
      <c r="A12" s="1">
        <v>11</v>
      </c>
      <c r="B12" s="1" t="s">
        <v>640</v>
      </c>
      <c r="C12" s="1" t="s">
        <v>639</v>
      </c>
      <c r="D12" s="1" t="s">
        <v>638</v>
      </c>
      <c r="E12" s="1" t="s">
        <v>9</v>
      </c>
      <c r="F12" s="116">
        <v>42587</v>
      </c>
    </row>
    <row r="13" spans="1:6">
      <c r="A13" s="1">
        <v>12</v>
      </c>
      <c r="B13" s="1" t="s">
        <v>637</v>
      </c>
      <c r="C13" s="1" t="s">
        <v>636</v>
      </c>
      <c r="D13" s="1" t="s">
        <v>635</v>
      </c>
      <c r="E13" s="1" t="s">
        <v>16</v>
      </c>
      <c r="F13" s="116">
        <v>42688</v>
      </c>
    </row>
    <row r="14" spans="1:6">
      <c r="A14" s="1">
        <v>13</v>
      </c>
      <c r="B14" s="1" t="s">
        <v>634</v>
      </c>
      <c r="C14" s="1" t="s">
        <v>633</v>
      </c>
      <c r="D14" s="1" t="s">
        <v>632</v>
      </c>
      <c r="E14" s="1" t="s">
        <v>16</v>
      </c>
      <c r="F14" s="116">
        <v>42917</v>
      </c>
    </row>
    <row r="15" spans="1:6">
      <c r="A15" s="1">
        <v>14</v>
      </c>
      <c r="B15" s="1" t="s">
        <v>631</v>
      </c>
      <c r="C15" s="1" t="s">
        <v>630</v>
      </c>
      <c r="D15" s="1" t="s">
        <v>629</v>
      </c>
      <c r="E15" s="1" t="s">
        <v>9</v>
      </c>
      <c r="F15" s="116">
        <v>42915</v>
      </c>
    </row>
    <row r="16" spans="1:6">
      <c r="A16" s="1">
        <v>15</v>
      </c>
      <c r="B16" s="1" t="s">
        <v>628</v>
      </c>
      <c r="C16" s="1" t="s">
        <v>627</v>
      </c>
      <c r="D16" s="1" t="s">
        <v>626</v>
      </c>
      <c r="E16" s="1" t="s">
        <v>16</v>
      </c>
      <c r="F16" s="116">
        <v>42610</v>
      </c>
    </row>
    <row r="17" spans="1:6">
      <c r="A17" s="1">
        <v>16</v>
      </c>
      <c r="B17" s="1" t="s">
        <v>625</v>
      </c>
      <c r="C17" s="1" t="s">
        <v>624</v>
      </c>
      <c r="D17" s="1" t="s">
        <v>623</v>
      </c>
      <c r="E17" s="1" t="s">
        <v>9</v>
      </c>
      <c r="F17" s="116">
        <v>42726</v>
      </c>
    </row>
    <row r="18" spans="1:6">
      <c r="A18" s="1">
        <v>17</v>
      </c>
      <c r="B18" s="1" t="s">
        <v>622</v>
      </c>
      <c r="C18" s="1" t="s">
        <v>621</v>
      </c>
      <c r="D18" s="1" t="s">
        <v>620</v>
      </c>
      <c r="E18" s="1" t="s">
        <v>16</v>
      </c>
      <c r="F18" s="116">
        <v>42575</v>
      </c>
    </row>
    <row r="19" spans="1:6">
      <c r="A19" s="1">
        <v>18</v>
      </c>
      <c r="B19" s="1" t="s">
        <v>619</v>
      </c>
      <c r="C19" s="1" t="s">
        <v>618</v>
      </c>
      <c r="D19" s="1" t="s">
        <v>617</v>
      </c>
      <c r="E19" s="1" t="s">
        <v>9</v>
      </c>
      <c r="F19" s="116">
        <v>42575</v>
      </c>
    </row>
    <row r="20" spans="1:6">
      <c r="A20" s="1">
        <v>19</v>
      </c>
      <c r="B20" s="1" t="s">
        <v>616</v>
      </c>
      <c r="C20" s="1" t="s">
        <v>615</v>
      </c>
      <c r="D20" s="1" t="s">
        <v>614</v>
      </c>
      <c r="E20" s="1" t="s">
        <v>16</v>
      </c>
      <c r="F20" s="116">
        <v>42618</v>
      </c>
    </row>
    <row r="21" spans="1:6">
      <c r="A21" s="1">
        <v>20</v>
      </c>
      <c r="B21" s="1" t="s">
        <v>613</v>
      </c>
      <c r="C21" s="1" t="s">
        <v>612</v>
      </c>
      <c r="D21" s="1" t="s">
        <v>611</v>
      </c>
      <c r="E21" s="1" t="s">
        <v>16</v>
      </c>
      <c r="F21" s="116">
        <v>42773</v>
      </c>
    </row>
    <row r="22" spans="1:6">
      <c r="A22" s="1">
        <v>21</v>
      </c>
      <c r="B22" s="1" t="s">
        <v>610</v>
      </c>
      <c r="C22" s="1" t="s">
        <v>609</v>
      </c>
      <c r="D22" s="1" t="s">
        <v>608</v>
      </c>
      <c r="E22" s="1" t="s">
        <v>9</v>
      </c>
      <c r="F22" s="116">
        <v>42766</v>
      </c>
    </row>
    <row r="23" spans="1:6">
      <c r="A23" s="1">
        <v>22</v>
      </c>
      <c r="B23" s="1" t="s">
        <v>607</v>
      </c>
      <c r="C23" s="1" t="s">
        <v>606</v>
      </c>
      <c r="D23" s="1" t="s">
        <v>605</v>
      </c>
      <c r="E23" s="1" t="s">
        <v>16</v>
      </c>
      <c r="F23" s="116">
        <v>42737</v>
      </c>
    </row>
    <row r="24" spans="1:6">
      <c r="A24" s="1">
        <v>23</v>
      </c>
      <c r="B24" s="1" t="s">
        <v>604</v>
      </c>
      <c r="C24" s="1" t="s">
        <v>603</v>
      </c>
      <c r="D24" s="1" t="s">
        <v>602</v>
      </c>
      <c r="E24" s="1" t="s">
        <v>9</v>
      </c>
      <c r="F24" s="116">
        <v>42590</v>
      </c>
    </row>
    <row r="25" spans="1:6">
      <c r="A25" s="1">
        <v>24</v>
      </c>
      <c r="B25" s="1" t="s">
        <v>601</v>
      </c>
      <c r="C25" s="1" t="s">
        <v>600</v>
      </c>
      <c r="D25" s="1" t="s">
        <v>599</v>
      </c>
      <c r="E25" s="1" t="s">
        <v>9</v>
      </c>
      <c r="F25" s="116">
        <v>42848</v>
      </c>
    </row>
    <row r="26" spans="1:6">
      <c r="A26" s="1">
        <v>25</v>
      </c>
      <c r="B26" s="1" t="s">
        <v>598</v>
      </c>
      <c r="C26" s="1" t="s">
        <v>597</v>
      </c>
      <c r="D26" s="1" t="s">
        <v>596</v>
      </c>
      <c r="E26" s="1" t="s">
        <v>16</v>
      </c>
      <c r="F26" s="116">
        <v>42793</v>
      </c>
    </row>
    <row r="27" spans="1:6">
      <c r="A27" s="1">
        <v>26</v>
      </c>
      <c r="B27" s="1" t="s">
        <v>595</v>
      </c>
      <c r="C27" s="1" t="s">
        <v>594</v>
      </c>
      <c r="D27" s="1" t="s">
        <v>593</v>
      </c>
      <c r="E27" s="1" t="s">
        <v>16</v>
      </c>
      <c r="F27" s="116">
        <v>42811</v>
      </c>
    </row>
    <row r="28" spans="1:6">
      <c r="A28" s="1">
        <v>27</v>
      </c>
      <c r="B28" s="1" t="s">
        <v>592</v>
      </c>
      <c r="C28" s="1" t="s">
        <v>591</v>
      </c>
      <c r="D28" s="1" t="s">
        <v>590</v>
      </c>
      <c r="E28" s="1" t="s">
        <v>9</v>
      </c>
      <c r="F28" s="116">
        <v>42790</v>
      </c>
    </row>
    <row r="29" spans="1:6">
      <c r="A29" s="1">
        <v>28</v>
      </c>
      <c r="B29" s="1" t="s">
        <v>589</v>
      </c>
      <c r="C29" s="1" t="s">
        <v>588</v>
      </c>
      <c r="D29" s="1" t="s">
        <v>587</v>
      </c>
      <c r="E29" s="1" t="s">
        <v>16</v>
      </c>
      <c r="F29" s="116">
        <v>42667</v>
      </c>
    </row>
    <row r="30" spans="1:6">
      <c r="A30" s="1">
        <v>29</v>
      </c>
      <c r="B30" s="1" t="s">
        <v>586</v>
      </c>
      <c r="C30" s="1" t="s">
        <v>585</v>
      </c>
      <c r="D30" s="1" t="s">
        <v>584</v>
      </c>
      <c r="E30" s="1" t="s">
        <v>9</v>
      </c>
      <c r="F30" s="116">
        <v>42756</v>
      </c>
    </row>
    <row r="31" spans="1:6">
      <c r="A31" s="1">
        <v>30</v>
      </c>
      <c r="B31" s="1" t="s">
        <v>583</v>
      </c>
      <c r="C31" s="1" t="s">
        <v>582</v>
      </c>
      <c r="D31" s="1" t="s">
        <v>581</v>
      </c>
      <c r="E31" s="1" t="s">
        <v>9</v>
      </c>
      <c r="F31" s="116">
        <v>42749</v>
      </c>
    </row>
    <row r="32" spans="1:6">
      <c r="A32" s="1">
        <v>31</v>
      </c>
      <c r="B32" s="1" t="s">
        <v>580</v>
      </c>
      <c r="C32" s="1" t="s">
        <v>579</v>
      </c>
      <c r="D32" s="1" t="s">
        <v>578</v>
      </c>
      <c r="E32" s="1" t="s">
        <v>9</v>
      </c>
      <c r="F32" s="116">
        <v>42665</v>
      </c>
    </row>
    <row r="33" spans="1:6">
      <c r="A33" s="1">
        <v>32</v>
      </c>
      <c r="B33" s="1" t="s">
        <v>577</v>
      </c>
      <c r="C33" s="1" t="s">
        <v>576</v>
      </c>
      <c r="D33" s="1" t="s">
        <v>575</v>
      </c>
      <c r="E33" s="1" t="s">
        <v>16</v>
      </c>
      <c r="F33" s="116">
        <v>42776</v>
      </c>
    </row>
    <row r="34" spans="1:6">
      <c r="A34" s="1">
        <v>33</v>
      </c>
      <c r="B34" s="1" t="s">
        <v>574</v>
      </c>
      <c r="C34" s="1" t="s">
        <v>573</v>
      </c>
      <c r="D34" s="1" t="s">
        <v>572</v>
      </c>
      <c r="E34" s="1" t="s">
        <v>16</v>
      </c>
      <c r="F34" s="116">
        <v>42740</v>
      </c>
    </row>
    <row r="35" spans="1:6">
      <c r="A35" s="1">
        <v>34</v>
      </c>
      <c r="B35" s="1" t="s">
        <v>571</v>
      </c>
      <c r="C35" s="1" t="s">
        <v>570</v>
      </c>
      <c r="D35" s="1" t="s">
        <v>569</v>
      </c>
      <c r="E35" s="1" t="s">
        <v>9</v>
      </c>
      <c r="F35" s="116">
        <v>42918</v>
      </c>
    </row>
    <row r="36" spans="1:6">
      <c r="A36" s="1">
        <v>35</v>
      </c>
      <c r="B36" s="1" t="s">
        <v>568</v>
      </c>
      <c r="C36" s="1" t="s">
        <v>567</v>
      </c>
      <c r="D36" s="1" t="s">
        <v>566</v>
      </c>
      <c r="E36" s="1" t="s">
        <v>9</v>
      </c>
      <c r="F36" s="116">
        <v>42648</v>
      </c>
    </row>
    <row r="37" spans="1:6">
      <c r="A37" s="1">
        <v>36</v>
      </c>
      <c r="B37" s="1" t="s">
        <v>565</v>
      </c>
      <c r="C37" s="1" t="s">
        <v>564</v>
      </c>
      <c r="D37" s="1" t="s">
        <v>563</v>
      </c>
      <c r="E37" s="1" t="s">
        <v>16</v>
      </c>
      <c r="F37" s="116">
        <v>42733</v>
      </c>
    </row>
    <row r="38" spans="1:6">
      <c r="A38" s="1">
        <v>37</v>
      </c>
      <c r="B38" s="1" t="s">
        <v>562</v>
      </c>
      <c r="C38" s="1" t="s">
        <v>561</v>
      </c>
      <c r="D38" s="1" t="s">
        <v>560</v>
      </c>
      <c r="E38" s="1" t="s">
        <v>16</v>
      </c>
      <c r="F38" s="116">
        <v>42592</v>
      </c>
    </row>
    <row r="39" spans="1:6">
      <c r="A39" s="1">
        <v>38</v>
      </c>
      <c r="B39" s="1" t="s">
        <v>559</v>
      </c>
      <c r="C39" s="1" t="s">
        <v>558</v>
      </c>
      <c r="D39" s="1" t="s">
        <v>557</v>
      </c>
      <c r="E39" s="1" t="s">
        <v>9</v>
      </c>
      <c r="F39" s="116">
        <v>42843</v>
      </c>
    </row>
    <row r="40" spans="1:6">
      <c r="A40" s="1">
        <v>39</v>
      </c>
      <c r="B40" s="1" t="s">
        <v>556</v>
      </c>
      <c r="C40" s="1" t="s">
        <v>555</v>
      </c>
      <c r="D40" s="1" t="s">
        <v>554</v>
      </c>
      <c r="E40" s="1" t="s">
        <v>16</v>
      </c>
      <c r="F40" s="116">
        <v>42599</v>
      </c>
    </row>
    <row r="41" spans="1:6">
      <c r="A41" s="1">
        <v>40</v>
      </c>
      <c r="B41" s="1" t="s">
        <v>553</v>
      </c>
      <c r="C41" s="1" t="s">
        <v>552</v>
      </c>
      <c r="D41" s="1" t="s">
        <v>551</v>
      </c>
      <c r="E41" s="1" t="s">
        <v>16</v>
      </c>
      <c r="F41" s="116">
        <v>42696</v>
      </c>
    </row>
    <row r="42" spans="1:6">
      <c r="A42" s="1">
        <v>41</v>
      </c>
      <c r="B42" s="1" t="s">
        <v>550</v>
      </c>
      <c r="C42" s="1" t="s">
        <v>549</v>
      </c>
      <c r="D42" s="1" t="s">
        <v>548</v>
      </c>
      <c r="E42" s="1" t="s">
        <v>16</v>
      </c>
      <c r="F42" s="116">
        <v>42868</v>
      </c>
    </row>
    <row r="43" spans="1:6">
      <c r="A43" s="1">
        <v>42</v>
      </c>
      <c r="B43" s="1" t="s">
        <v>547</v>
      </c>
      <c r="C43" s="1" t="s">
        <v>546</v>
      </c>
      <c r="D43" s="1" t="s">
        <v>545</v>
      </c>
      <c r="E43" s="1" t="s">
        <v>9</v>
      </c>
      <c r="F43" s="116">
        <v>42845</v>
      </c>
    </row>
    <row r="44" spans="1:6">
      <c r="A44" s="1">
        <v>43</v>
      </c>
      <c r="B44" s="1" t="s">
        <v>544</v>
      </c>
      <c r="C44" s="1" t="s">
        <v>543</v>
      </c>
      <c r="D44" s="1" t="s">
        <v>542</v>
      </c>
      <c r="E44" s="1" t="s">
        <v>16</v>
      </c>
      <c r="F44" s="116">
        <v>42633</v>
      </c>
    </row>
    <row r="45" spans="1:6">
      <c r="A45" s="1">
        <v>44</v>
      </c>
      <c r="B45" s="1" t="s">
        <v>541</v>
      </c>
      <c r="C45" s="1" t="s">
        <v>540</v>
      </c>
      <c r="D45" s="1" t="s">
        <v>539</v>
      </c>
      <c r="E45" s="1" t="s">
        <v>16</v>
      </c>
      <c r="F45" s="116">
        <v>42871</v>
      </c>
    </row>
    <row r="46" spans="1:6">
      <c r="A46" s="1">
        <v>45</v>
      </c>
      <c r="B46" s="1" t="s">
        <v>538</v>
      </c>
      <c r="C46" s="1" t="s">
        <v>537</v>
      </c>
      <c r="D46" s="1" t="s">
        <v>536</v>
      </c>
      <c r="E46" s="1" t="s">
        <v>9</v>
      </c>
      <c r="F46" s="116">
        <v>42683</v>
      </c>
    </row>
    <row r="47" spans="1:6">
      <c r="A47" s="1">
        <v>46</v>
      </c>
      <c r="B47" s="1" t="s">
        <v>535</v>
      </c>
      <c r="C47" s="1" t="s">
        <v>534</v>
      </c>
      <c r="D47" s="1" t="s">
        <v>533</v>
      </c>
      <c r="E47" s="1" t="s">
        <v>16</v>
      </c>
      <c r="F47" s="116">
        <v>42587</v>
      </c>
    </row>
    <row r="48" spans="1:6">
      <c r="A48" s="1">
        <v>47</v>
      </c>
      <c r="B48" s="1" t="s">
        <v>532</v>
      </c>
      <c r="C48" s="1" t="s">
        <v>531</v>
      </c>
      <c r="D48" s="1" t="s">
        <v>530</v>
      </c>
      <c r="E48" s="1" t="s">
        <v>9</v>
      </c>
      <c r="F48" s="116">
        <v>42827</v>
      </c>
    </row>
    <row r="49" spans="1:6">
      <c r="A49" s="1">
        <v>48</v>
      </c>
      <c r="B49" s="1" t="s">
        <v>529</v>
      </c>
      <c r="C49" s="1" t="s">
        <v>528</v>
      </c>
      <c r="D49" s="1" t="s">
        <v>527</v>
      </c>
      <c r="E49" s="1" t="s">
        <v>16</v>
      </c>
      <c r="F49" s="116">
        <v>42883</v>
      </c>
    </row>
    <row r="50" spans="1:6">
      <c r="A50" s="1">
        <v>49</v>
      </c>
      <c r="B50" s="1" t="s">
        <v>526</v>
      </c>
      <c r="C50" s="1" t="s">
        <v>525</v>
      </c>
      <c r="D50" s="1" t="s">
        <v>524</v>
      </c>
      <c r="E50" s="1" t="s">
        <v>16</v>
      </c>
      <c r="F50" s="116">
        <v>42622</v>
      </c>
    </row>
    <row r="51" spans="1:6">
      <c r="A51" s="1">
        <v>50</v>
      </c>
      <c r="B51" s="1" t="s">
        <v>523</v>
      </c>
      <c r="C51" s="1" t="s">
        <v>522</v>
      </c>
      <c r="D51" s="1" t="s">
        <v>521</v>
      </c>
      <c r="E51" s="1" t="s">
        <v>16</v>
      </c>
      <c r="F51" s="116">
        <v>42779</v>
      </c>
    </row>
    <row r="52" spans="1:6">
      <c r="A52" s="1">
        <v>51</v>
      </c>
      <c r="B52" s="1" t="s">
        <v>520</v>
      </c>
      <c r="C52" s="1" t="s">
        <v>519</v>
      </c>
      <c r="D52" s="1" t="s">
        <v>518</v>
      </c>
      <c r="E52" s="1" t="s">
        <v>9</v>
      </c>
      <c r="F52" s="116">
        <v>42881</v>
      </c>
    </row>
    <row r="53" spans="1:6">
      <c r="A53" s="1">
        <v>52</v>
      </c>
      <c r="B53" s="1" t="s">
        <v>517</v>
      </c>
      <c r="C53" s="1" t="s">
        <v>516</v>
      </c>
      <c r="D53" s="1" t="s">
        <v>515</v>
      </c>
      <c r="E53" s="1" t="s">
        <v>9</v>
      </c>
      <c r="F53" s="116">
        <v>42816</v>
      </c>
    </row>
    <row r="54" spans="1:6">
      <c r="A54" s="1">
        <v>53</v>
      </c>
      <c r="B54" s="1" t="s">
        <v>514</v>
      </c>
      <c r="C54" s="1" t="s">
        <v>513</v>
      </c>
      <c r="D54" s="1" t="s">
        <v>512</v>
      </c>
      <c r="E54" s="1" t="s">
        <v>16</v>
      </c>
      <c r="F54" s="116">
        <v>42848</v>
      </c>
    </row>
    <row r="55" spans="1:6">
      <c r="A55" s="1">
        <v>54</v>
      </c>
      <c r="B55" s="1" t="s">
        <v>511</v>
      </c>
      <c r="C55" s="1" t="s">
        <v>510</v>
      </c>
      <c r="D55" s="1" t="s">
        <v>509</v>
      </c>
      <c r="E55" s="1" t="s">
        <v>16</v>
      </c>
      <c r="F55" s="116">
        <v>42671</v>
      </c>
    </row>
    <row r="56" spans="1:6">
      <c r="A56" s="1">
        <v>55</v>
      </c>
      <c r="B56" s="1" t="s">
        <v>508</v>
      </c>
      <c r="C56" s="1" t="s">
        <v>507</v>
      </c>
      <c r="D56" s="1" t="s">
        <v>506</v>
      </c>
      <c r="E56" s="1" t="s">
        <v>16</v>
      </c>
      <c r="F56" s="116">
        <v>42851</v>
      </c>
    </row>
    <row r="57" spans="1:6">
      <c r="A57" s="1">
        <v>56</v>
      </c>
      <c r="B57" s="1" t="s">
        <v>505</v>
      </c>
      <c r="C57" s="1" t="s">
        <v>504</v>
      </c>
      <c r="D57" s="1" t="s">
        <v>503</v>
      </c>
      <c r="E57" s="1" t="s">
        <v>16</v>
      </c>
      <c r="F57" s="116">
        <v>42788</v>
      </c>
    </row>
    <row r="58" spans="1:6">
      <c r="A58" s="1">
        <v>57</v>
      </c>
      <c r="B58" s="1" t="s">
        <v>502</v>
      </c>
      <c r="C58" s="1" t="s">
        <v>501</v>
      </c>
      <c r="D58" s="1" t="s">
        <v>500</v>
      </c>
      <c r="E58" s="1" t="s">
        <v>9</v>
      </c>
      <c r="F58" s="116">
        <v>42579</v>
      </c>
    </row>
    <row r="59" spans="1:6">
      <c r="A59" s="1">
        <v>58</v>
      </c>
      <c r="B59" s="1" t="s">
        <v>499</v>
      </c>
      <c r="C59" s="1" t="s">
        <v>498</v>
      </c>
      <c r="D59" s="1" t="s">
        <v>497</v>
      </c>
      <c r="E59" s="1" t="s">
        <v>9</v>
      </c>
      <c r="F59" s="116">
        <v>42727</v>
      </c>
    </row>
    <row r="60" spans="1:6">
      <c r="A60" s="1">
        <v>59</v>
      </c>
      <c r="B60" s="1" t="s">
        <v>496</v>
      </c>
      <c r="C60" s="1" t="s">
        <v>495</v>
      </c>
      <c r="D60" s="1" t="s">
        <v>494</v>
      </c>
      <c r="E60" s="1" t="s">
        <v>16</v>
      </c>
      <c r="F60" s="116">
        <v>42821</v>
      </c>
    </row>
    <row r="61" spans="1:6">
      <c r="A61" s="1">
        <v>60</v>
      </c>
      <c r="B61" s="1" t="s">
        <v>493</v>
      </c>
      <c r="C61" s="1" t="s">
        <v>492</v>
      </c>
      <c r="D61" s="1" t="s">
        <v>491</v>
      </c>
      <c r="E61" s="1" t="s">
        <v>16</v>
      </c>
      <c r="F61" s="116">
        <v>42605</v>
      </c>
    </row>
    <row r="62" spans="1:6">
      <c r="A62" s="1">
        <v>61</v>
      </c>
      <c r="B62" s="1" t="s">
        <v>490</v>
      </c>
      <c r="C62" s="1" t="s">
        <v>489</v>
      </c>
      <c r="D62" s="1" t="s">
        <v>488</v>
      </c>
      <c r="E62" s="1" t="s">
        <v>16</v>
      </c>
      <c r="F62" s="116">
        <v>42805</v>
      </c>
    </row>
    <row r="63" spans="1:6">
      <c r="A63" s="1">
        <v>62</v>
      </c>
      <c r="B63" s="1" t="s">
        <v>487</v>
      </c>
      <c r="C63" s="1" t="s">
        <v>486</v>
      </c>
      <c r="D63" s="1" t="s">
        <v>485</v>
      </c>
      <c r="E63" s="1" t="s">
        <v>9</v>
      </c>
      <c r="F63" s="116">
        <v>42869</v>
      </c>
    </row>
    <row r="64" spans="1:6">
      <c r="A64" s="1">
        <v>63</v>
      </c>
      <c r="B64" s="1" t="s">
        <v>484</v>
      </c>
      <c r="C64" s="1" t="s">
        <v>483</v>
      </c>
      <c r="D64" s="1" t="s">
        <v>482</v>
      </c>
      <c r="E64" s="1" t="s">
        <v>16</v>
      </c>
      <c r="F64" s="116">
        <v>42872</v>
      </c>
    </row>
    <row r="65" spans="1:6">
      <c r="A65" s="1">
        <v>64</v>
      </c>
      <c r="B65" s="1" t="s">
        <v>481</v>
      </c>
      <c r="C65" s="1" t="s">
        <v>480</v>
      </c>
      <c r="D65" s="1" t="s">
        <v>479</v>
      </c>
      <c r="E65" s="1" t="s">
        <v>16</v>
      </c>
      <c r="F65" s="116">
        <v>42922</v>
      </c>
    </row>
    <row r="66" spans="1:6">
      <c r="A66" s="1">
        <v>65</v>
      </c>
      <c r="B66" s="1" t="s">
        <v>478</v>
      </c>
      <c r="C66" s="1" t="s">
        <v>477</v>
      </c>
      <c r="D66" s="1" t="s">
        <v>476</v>
      </c>
      <c r="E66" s="1" t="s">
        <v>16</v>
      </c>
      <c r="F66" s="116">
        <v>42706</v>
      </c>
    </row>
    <row r="67" spans="1:6">
      <c r="A67" s="1">
        <v>66</v>
      </c>
      <c r="B67" s="1" t="s">
        <v>475</v>
      </c>
      <c r="C67" s="1" t="s">
        <v>474</v>
      </c>
      <c r="D67" s="1" t="s">
        <v>473</v>
      </c>
      <c r="E67" s="1" t="s">
        <v>16</v>
      </c>
      <c r="F67" s="116">
        <v>42656</v>
      </c>
    </row>
    <row r="68" spans="1:6">
      <c r="A68" s="1">
        <v>67</v>
      </c>
      <c r="B68" s="1" t="s">
        <v>472</v>
      </c>
      <c r="C68" s="1" t="s">
        <v>471</v>
      </c>
      <c r="D68" s="1" t="s">
        <v>470</v>
      </c>
      <c r="E68" s="1" t="s">
        <v>9</v>
      </c>
      <c r="F68" s="116">
        <v>42898</v>
      </c>
    </row>
    <row r="69" spans="1:6">
      <c r="A69" s="1">
        <v>68</v>
      </c>
      <c r="B69" s="1" t="s">
        <v>469</v>
      </c>
      <c r="C69" s="1" t="s">
        <v>468</v>
      </c>
      <c r="D69" s="1" t="s">
        <v>467</v>
      </c>
      <c r="E69" s="1" t="s">
        <v>16</v>
      </c>
      <c r="F69" s="116">
        <v>42864</v>
      </c>
    </row>
    <row r="70" spans="1:6">
      <c r="A70" s="1">
        <v>69</v>
      </c>
      <c r="B70" s="1" t="s">
        <v>466</v>
      </c>
      <c r="C70" s="1" t="s">
        <v>465</v>
      </c>
      <c r="D70" s="1" t="s">
        <v>464</v>
      </c>
      <c r="E70" s="1" t="s">
        <v>9</v>
      </c>
      <c r="F70" s="116">
        <v>42867</v>
      </c>
    </row>
    <row r="71" spans="1:6">
      <c r="A71" s="1">
        <v>70</v>
      </c>
      <c r="B71" s="1" t="s">
        <v>463</v>
      </c>
      <c r="C71" s="1" t="s">
        <v>462</v>
      </c>
      <c r="D71" s="1" t="s">
        <v>461</v>
      </c>
      <c r="E71" s="1" t="s">
        <v>16</v>
      </c>
      <c r="F71" s="116">
        <v>42845</v>
      </c>
    </row>
    <row r="72" spans="1:6">
      <c r="A72" s="1">
        <v>71</v>
      </c>
      <c r="B72" s="1" t="s">
        <v>460</v>
      </c>
      <c r="C72" s="1" t="s">
        <v>459</v>
      </c>
      <c r="D72" s="1" t="s">
        <v>458</v>
      </c>
      <c r="E72" s="1" t="s">
        <v>16</v>
      </c>
      <c r="F72" s="116">
        <v>42842</v>
      </c>
    </row>
    <row r="73" spans="1:6">
      <c r="A73" s="1">
        <v>72</v>
      </c>
      <c r="B73" s="1" t="s">
        <v>457</v>
      </c>
      <c r="C73" s="1" t="s">
        <v>456</v>
      </c>
      <c r="D73" s="1" t="s">
        <v>455</v>
      </c>
      <c r="E73" s="1" t="s">
        <v>16</v>
      </c>
      <c r="F73" s="116">
        <v>42625</v>
      </c>
    </row>
    <row r="74" spans="1:6">
      <c r="A74" s="1">
        <v>73</v>
      </c>
      <c r="B74" s="1" t="s">
        <v>454</v>
      </c>
      <c r="C74" s="1" t="s">
        <v>453</v>
      </c>
      <c r="D74" s="1" t="s">
        <v>452</v>
      </c>
      <c r="E74" s="1" t="s">
        <v>16</v>
      </c>
      <c r="F74" s="116">
        <v>42678</v>
      </c>
    </row>
    <row r="75" spans="1:6">
      <c r="A75" s="1">
        <v>74</v>
      </c>
      <c r="B75" s="1" t="s">
        <v>451</v>
      </c>
      <c r="C75" s="1" t="s">
        <v>450</v>
      </c>
      <c r="D75" s="1" t="s">
        <v>449</v>
      </c>
      <c r="E75" s="1" t="s">
        <v>9</v>
      </c>
      <c r="F75" s="116">
        <v>42778</v>
      </c>
    </row>
    <row r="76" spans="1:6">
      <c r="A76" s="1">
        <v>75</v>
      </c>
      <c r="B76" s="1" t="s">
        <v>448</v>
      </c>
      <c r="C76" s="1" t="s">
        <v>447</v>
      </c>
      <c r="D76" s="1" t="s">
        <v>446</v>
      </c>
      <c r="E76" s="1" t="s">
        <v>16</v>
      </c>
      <c r="F76" s="116">
        <v>42656</v>
      </c>
    </row>
    <row r="77" spans="1:6">
      <c r="A77" s="1">
        <v>76</v>
      </c>
      <c r="B77" s="1" t="s">
        <v>445</v>
      </c>
      <c r="C77" s="1" t="s">
        <v>444</v>
      </c>
      <c r="D77" s="1" t="s">
        <v>443</v>
      </c>
      <c r="E77" s="1" t="s">
        <v>16</v>
      </c>
      <c r="F77" s="116">
        <v>42899</v>
      </c>
    </row>
    <row r="78" spans="1:6">
      <c r="A78" s="1">
        <v>77</v>
      </c>
      <c r="B78" s="1" t="s">
        <v>442</v>
      </c>
      <c r="C78" s="1" t="s">
        <v>441</v>
      </c>
      <c r="D78" s="1" t="s">
        <v>440</v>
      </c>
      <c r="E78" s="1" t="s">
        <v>16</v>
      </c>
      <c r="F78" s="116">
        <v>42858</v>
      </c>
    </row>
    <row r="79" spans="1:6">
      <c r="A79" s="1">
        <v>78</v>
      </c>
      <c r="B79" s="1" t="s">
        <v>439</v>
      </c>
      <c r="C79" s="1" t="s">
        <v>438</v>
      </c>
      <c r="D79" s="1" t="s">
        <v>437</v>
      </c>
      <c r="E79" s="1" t="s">
        <v>9</v>
      </c>
      <c r="F79" s="116">
        <v>42696</v>
      </c>
    </row>
    <row r="80" spans="1:6">
      <c r="A80" s="1">
        <v>79</v>
      </c>
      <c r="B80" s="1" t="s">
        <v>436</v>
      </c>
      <c r="C80" s="1" t="s">
        <v>435</v>
      </c>
      <c r="D80" s="1" t="s">
        <v>434</v>
      </c>
      <c r="E80" s="1" t="s">
        <v>16</v>
      </c>
      <c r="F80" s="116">
        <v>42720</v>
      </c>
    </row>
    <row r="81" spans="1:6">
      <c r="A81" s="1">
        <v>80</v>
      </c>
      <c r="B81" s="1" t="s">
        <v>433</v>
      </c>
      <c r="C81" s="1" t="s">
        <v>432</v>
      </c>
      <c r="D81" s="1" t="s">
        <v>431</v>
      </c>
      <c r="E81" s="1" t="s">
        <v>9</v>
      </c>
      <c r="F81" s="116">
        <v>42865</v>
      </c>
    </row>
    <row r="82" spans="1:6">
      <c r="A82" s="1">
        <v>81</v>
      </c>
      <c r="B82" s="1" t="s">
        <v>430</v>
      </c>
      <c r="C82" s="1" t="s">
        <v>429</v>
      </c>
      <c r="D82" s="1" t="s">
        <v>428</v>
      </c>
      <c r="E82" s="1" t="s">
        <v>9</v>
      </c>
      <c r="F82" s="116">
        <v>42738</v>
      </c>
    </row>
    <row r="83" spans="1:6">
      <c r="A83" s="1">
        <v>82</v>
      </c>
      <c r="B83" s="1" t="s">
        <v>427</v>
      </c>
      <c r="C83" s="1" t="s">
        <v>426</v>
      </c>
      <c r="D83" s="1" t="s">
        <v>425</v>
      </c>
      <c r="E83" s="1" t="s">
        <v>16</v>
      </c>
      <c r="F83" s="116">
        <v>42617</v>
      </c>
    </row>
    <row r="84" spans="1:6">
      <c r="A84" s="1">
        <v>83</v>
      </c>
      <c r="B84" s="1" t="s">
        <v>424</v>
      </c>
      <c r="C84" s="1" t="s">
        <v>423</v>
      </c>
      <c r="D84" s="1" t="s">
        <v>422</v>
      </c>
      <c r="E84" s="1" t="s">
        <v>16</v>
      </c>
      <c r="F84" s="116">
        <v>42623</v>
      </c>
    </row>
    <row r="85" spans="1:6">
      <c r="A85" s="1">
        <v>84</v>
      </c>
      <c r="B85" s="1" t="s">
        <v>421</v>
      </c>
      <c r="C85" s="1" t="s">
        <v>420</v>
      </c>
      <c r="D85" s="1" t="s">
        <v>419</v>
      </c>
      <c r="E85" s="1" t="s">
        <v>16</v>
      </c>
      <c r="F85" s="116">
        <v>42651</v>
      </c>
    </row>
    <row r="86" spans="1:6">
      <c r="A86" s="1">
        <v>85</v>
      </c>
      <c r="B86" s="1" t="s">
        <v>418</v>
      </c>
      <c r="C86" s="1" t="s">
        <v>417</v>
      </c>
      <c r="D86" s="1" t="s">
        <v>416</v>
      </c>
      <c r="E86" s="1" t="s">
        <v>16</v>
      </c>
      <c r="F86" s="116">
        <v>42769</v>
      </c>
    </row>
    <row r="87" spans="1:6">
      <c r="A87" s="1">
        <v>86</v>
      </c>
      <c r="B87" s="1" t="s">
        <v>415</v>
      </c>
      <c r="C87" s="1" t="s">
        <v>414</v>
      </c>
      <c r="D87" s="1" t="s">
        <v>413</v>
      </c>
      <c r="E87" s="1" t="s">
        <v>9</v>
      </c>
      <c r="F87" s="116">
        <v>42786</v>
      </c>
    </row>
    <row r="88" spans="1:6">
      <c r="A88" s="1">
        <v>87</v>
      </c>
      <c r="B88" s="1" t="s">
        <v>412</v>
      </c>
      <c r="C88" s="1" t="s">
        <v>411</v>
      </c>
      <c r="D88" s="1" t="s">
        <v>410</v>
      </c>
      <c r="E88" s="1" t="s">
        <v>9</v>
      </c>
      <c r="F88" s="116">
        <v>42652</v>
      </c>
    </row>
    <row r="89" spans="1:6">
      <c r="A89" s="1">
        <v>88</v>
      </c>
      <c r="B89" s="1" t="s">
        <v>409</v>
      </c>
      <c r="C89" s="1" t="s">
        <v>408</v>
      </c>
      <c r="D89" s="1" t="s">
        <v>407</v>
      </c>
      <c r="E89" s="1" t="s">
        <v>16</v>
      </c>
      <c r="F89" s="116">
        <v>42616</v>
      </c>
    </row>
    <row r="90" spans="1:6">
      <c r="A90" s="1">
        <v>89</v>
      </c>
      <c r="B90" s="1" t="s">
        <v>406</v>
      </c>
      <c r="C90" s="1" t="s">
        <v>405</v>
      </c>
      <c r="D90" s="1" t="s">
        <v>404</v>
      </c>
      <c r="E90" s="1" t="s">
        <v>9</v>
      </c>
      <c r="F90" s="116">
        <v>42707</v>
      </c>
    </row>
    <row r="91" spans="1:6">
      <c r="A91" s="1">
        <v>90</v>
      </c>
      <c r="B91" s="1" t="s">
        <v>403</v>
      </c>
      <c r="C91" s="1" t="s">
        <v>402</v>
      </c>
      <c r="D91" s="1" t="s">
        <v>401</v>
      </c>
      <c r="E91" s="1" t="s">
        <v>16</v>
      </c>
      <c r="F91" s="116">
        <v>42620</v>
      </c>
    </row>
    <row r="92" spans="1:6">
      <c r="A92" s="1">
        <v>91</v>
      </c>
      <c r="B92" s="1" t="s">
        <v>400</v>
      </c>
      <c r="C92" s="1" t="s">
        <v>399</v>
      </c>
      <c r="D92" s="1" t="s">
        <v>398</v>
      </c>
      <c r="E92" s="1" t="s">
        <v>16</v>
      </c>
      <c r="F92" s="116">
        <v>42751</v>
      </c>
    </row>
    <row r="93" spans="1:6">
      <c r="A93" s="1">
        <v>92</v>
      </c>
      <c r="B93" s="1" t="s">
        <v>397</v>
      </c>
      <c r="C93" s="1" t="s">
        <v>396</v>
      </c>
      <c r="D93" s="1" t="s">
        <v>395</v>
      </c>
      <c r="E93" s="1" t="s">
        <v>9</v>
      </c>
      <c r="F93" s="116">
        <v>42683</v>
      </c>
    </row>
    <row r="94" spans="1:6">
      <c r="A94" s="1">
        <v>93</v>
      </c>
      <c r="B94" s="1" t="s">
        <v>394</v>
      </c>
      <c r="C94" s="1" t="s">
        <v>393</v>
      </c>
      <c r="D94" s="1" t="s">
        <v>392</v>
      </c>
      <c r="E94" s="1" t="s">
        <v>16</v>
      </c>
      <c r="F94" s="116">
        <v>42805</v>
      </c>
    </row>
    <row r="95" spans="1:6">
      <c r="A95" s="1">
        <v>94</v>
      </c>
      <c r="B95" s="1" t="s">
        <v>391</v>
      </c>
      <c r="C95" s="1" t="s">
        <v>390</v>
      </c>
      <c r="D95" s="1" t="s">
        <v>389</v>
      </c>
      <c r="E95" s="1" t="s">
        <v>9</v>
      </c>
      <c r="F95" s="116">
        <v>42856</v>
      </c>
    </row>
    <row r="96" spans="1:6">
      <c r="A96" s="1">
        <v>95</v>
      </c>
      <c r="B96" s="1" t="s">
        <v>388</v>
      </c>
      <c r="C96" s="1" t="s">
        <v>387</v>
      </c>
      <c r="D96" s="1" t="s">
        <v>386</v>
      </c>
      <c r="E96" s="1" t="s">
        <v>16</v>
      </c>
      <c r="F96" s="116">
        <v>42887</v>
      </c>
    </row>
    <row r="97" spans="1:6">
      <c r="A97" s="1">
        <v>96</v>
      </c>
      <c r="B97" s="1" t="s">
        <v>385</v>
      </c>
      <c r="C97" s="1" t="s">
        <v>384</v>
      </c>
      <c r="D97" s="1" t="s">
        <v>383</v>
      </c>
      <c r="E97" s="1" t="s">
        <v>16</v>
      </c>
      <c r="F97" s="116">
        <v>42862</v>
      </c>
    </row>
    <row r="98" spans="1:6">
      <c r="A98" s="1">
        <v>97</v>
      </c>
      <c r="B98" s="1" t="s">
        <v>382</v>
      </c>
      <c r="C98" s="1" t="s">
        <v>381</v>
      </c>
      <c r="D98" s="1" t="s">
        <v>380</v>
      </c>
      <c r="E98" s="1" t="s">
        <v>9</v>
      </c>
      <c r="F98" s="116">
        <v>42623</v>
      </c>
    </row>
    <row r="99" spans="1:6">
      <c r="A99" s="1">
        <v>98</v>
      </c>
      <c r="B99" s="1" t="s">
        <v>379</v>
      </c>
      <c r="C99" s="1" t="s">
        <v>378</v>
      </c>
      <c r="D99" s="1" t="s">
        <v>377</v>
      </c>
      <c r="E99" s="1" t="s">
        <v>9</v>
      </c>
      <c r="F99" s="116">
        <v>42646</v>
      </c>
    </row>
    <row r="100" spans="1:6">
      <c r="A100" s="1">
        <v>99</v>
      </c>
      <c r="B100" s="1" t="s">
        <v>376</v>
      </c>
      <c r="C100" s="1" t="s">
        <v>375</v>
      </c>
      <c r="D100" s="1" t="s">
        <v>374</v>
      </c>
      <c r="E100" s="1" t="s">
        <v>16</v>
      </c>
      <c r="F100" s="116">
        <v>42748</v>
      </c>
    </row>
    <row r="101" spans="1:6">
      <c r="A101" s="1">
        <v>100</v>
      </c>
      <c r="B101" s="1" t="s">
        <v>373</v>
      </c>
      <c r="C101" s="1" t="s">
        <v>372</v>
      </c>
      <c r="D101" s="1" t="s">
        <v>371</v>
      </c>
      <c r="E101" s="1" t="s">
        <v>16</v>
      </c>
      <c r="F101" s="116">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F20" sqref="F20"/>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2" t="s">
        <v>206</v>
      </c>
      <c r="B2" s="3" t="s">
        <v>206</v>
      </c>
      <c r="C2" t="s">
        <v>207</v>
      </c>
      <c r="D2">
        <f>HEX2DEC("FF")</f>
        <v>255</v>
      </c>
      <c r="E2">
        <f>HEX2DEC("FF")</f>
        <v>255</v>
      </c>
      <c r="F2">
        <f>HEX2DEC("FF")</f>
        <v>255</v>
      </c>
      <c r="G2" t="s">
        <v>208</v>
      </c>
    </row>
    <row r="3" spans="1:7">
      <c r="A3" s="4" t="s">
        <v>209</v>
      </c>
      <c r="B3" s="5" t="s">
        <v>209</v>
      </c>
      <c r="C3" t="s">
        <v>210</v>
      </c>
      <c r="D3">
        <f>HEX2DEC("00")</f>
        <v>0</v>
      </c>
      <c r="E3">
        <f>HEX2DEC("00")</f>
        <v>0</v>
      </c>
      <c r="F3">
        <f>HEX2DEC("00")</f>
        <v>0</v>
      </c>
      <c r="G3" t="s">
        <v>211</v>
      </c>
    </row>
    <row r="4" spans="1:7">
      <c r="A4" s="6" t="s">
        <v>212</v>
      </c>
      <c r="B4" s="7" t="s">
        <v>212</v>
      </c>
      <c r="C4" t="s">
        <v>207</v>
      </c>
      <c r="D4">
        <f>HEX2DEC("FF")</f>
        <v>255</v>
      </c>
      <c r="E4">
        <f>HEX2DEC("FF")</f>
        <v>255</v>
      </c>
      <c r="F4">
        <f>HEX2DEC("FF")</f>
        <v>255</v>
      </c>
      <c r="G4" t="s">
        <v>213</v>
      </c>
    </row>
    <row r="5" spans="1:7">
      <c r="A5" s="8" t="s">
        <v>214</v>
      </c>
      <c r="B5" s="9" t="s">
        <v>214</v>
      </c>
      <c r="C5" t="s">
        <v>215</v>
      </c>
      <c r="D5">
        <f>HEX2DEC("FF")</f>
        <v>255</v>
      </c>
      <c r="E5">
        <f>HEX2DEC("00")</f>
        <v>0</v>
      </c>
      <c r="F5">
        <f>HEX2DEC("00")</f>
        <v>0</v>
      </c>
      <c r="G5" t="s">
        <v>216</v>
      </c>
    </row>
    <row r="6" spans="1:7">
      <c r="A6" s="10" t="s">
        <v>217</v>
      </c>
      <c r="B6" s="11" t="s">
        <v>217</v>
      </c>
      <c r="C6" t="s">
        <v>218</v>
      </c>
      <c r="D6">
        <f>HEX2DEC("00")</f>
        <v>0</v>
      </c>
      <c r="E6">
        <f>HEX2DEC("FF")</f>
        <v>255</v>
      </c>
      <c r="F6">
        <f>HEX2DEC("00")</f>
        <v>0</v>
      </c>
      <c r="G6" t="s">
        <v>219</v>
      </c>
    </row>
    <row r="7" spans="1:7">
      <c r="A7" s="12" t="s">
        <v>220</v>
      </c>
      <c r="B7" s="13" t="s">
        <v>220</v>
      </c>
      <c r="C7" t="s">
        <v>221</v>
      </c>
      <c r="D7">
        <f>HEX2DEC("00")</f>
        <v>0</v>
      </c>
      <c r="E7">
        <f>HEX2DEC("00")</f>
        <v>0</v>
      </c>
      <c r="F7">
        <f>HEX2DEC("FF")</f>
        <v>255</v>
      </c>
      <c r="G7" t="s">
        <v>222</v>
      </c>
    </row>
    <row r="8" spans="1:7">
      <c r="A8" s="14" t="s">
        <v>223</v>
      </c>
      <c r="B8" s="15" t="s">
        <v>223</v>
      </c>
      <c r="C8" t="s">
        <v>224</v>
      </c>
      <c r="D8">
        <f>HEX2DEC("FF")</f>
        <v>255</v>
      </c>
      <c r="E8">
        <f>HEX2DEC("FF")</f>
        <v>255</v>
      </c>
      <c r="F8">
        <f>HEX2DEC("00")</f>
        <v>0</v>
      </c>
      <c r="G8" t="s">
        <v>225</v>
      </c>
    </row>
    <row r="9" spans="1:7">
      <c r="A9" s="16" t="s">
        <v>226</v>
      </c>
      <c r="B9" s="17" t="s">
        <v>226</v>
      </c>
      <c r="C9" t="s">
        <v>227</v>
      </c>
      <c r="D9">
        <f>HEX2DEC("FF")</f>
        <v>255</v>
      </c>
      <c r="E9">
        <f>HEX2DEC("00")</f>
        <v>0</v>
      </c>
      <c r="F9">
        <f>HEX2DEC("FF")</f>
        <v>255</v>
      </c>
      <c r="G9" t="s">
        <v>228</v>
      </c>
    </row>
    <row r="10" spans="1:7">
      <c r="A10" s="18" t="s">
        <v>229</v>
      </c>
      <c r="B10" s="19" t="s">
        <v>229</v>
      </c>
      <c r="C10" t="s">
        <v>230</v>
      </c>
      <c r="D10">
        <f>HEX2DEC("00")</f>
        <v>0</v>
      </c>
      <c r="E10">
        <f>HEX2DEC("FF")</f>
        <v>255</v>
      </c>
      <c r="F10">
        <f>HEX2DEC("FF")</f>
        <v>255</v>
      </c>
      <c r="G10" t="s">
        <v>231</v>
      </c>
    </row>
    <row r="11" spans="1:7">
      <c r="A11" s="20" t="s">
        <v>232</v>
      </c>
      <c r="B11" s="21" t="s">
        <v>232</v>
      </c>
      <c r="C11" t="s">
        <v>233</v>
      </c>
      <c r="D11">
        <f>HEX2DEC("80")</f>
        <v>128</v>
      </c>
      <c r="E11">
        <f>HEX2DEC("00")</f>
        <v>0</v>
      </c>
      <c r="F11">
        <f>HEX2DEC("00")</f>
        <v>0</v>
      </c>
      <c r="G11" t="s">
        <v>234</v>
      </c>
    </row>
    <row r="12" spans="1:7">
      <c r="A12" s="22" t="s">
        <v>235</v>
      </c>
      <c r="B12" s="23" t="s">
        <v>235</v>
      </c>
      <c r="C12" t="s">
        <v>236</v>
      </c>
      <c r="D12">
        <f>HEX2DEC("00")</f>
        <v>0</v>
      </c>
      <c r="E12">
        <f>HEX2DEC("80")</f>
        <v>128</v>
      </c>
      <c r="F12">
        <f>HEX2DEC("00")</f>
        <v>0</v>
      </c>
      <c r="G12" t="s">
        <v>237</v>
      </c>
    </row>
    <row r="13" spans="1:7">
      <c r="A13" s="24" t="s">
        <v>238</v>
      </c>
      <c r="B13" s="25" t="s">
        <v>238</v>
      </c>
      <c r="C13" t="s">
        <v>239</v>
      </c>
      <c r="D13">
        <f>HEX2DEC("00")</f>
        <v>0</v>
      </c>
      <c r="E13">
        <f>HEX2DEC("00")</f>
        <v>0</v>
      </c>
      <c r="F13">
        <f>HEX2DEC("80")</f>
        <v>128</v>
      </c>
      <c r="G13" t="s">
        <v>240</v>
      </c>
    </row>
    <row r="14" spans="1:7">
      <c r="A14" s="26" t="s">
        <v>241</v>
      </c>
      <c r="B14" s="27" t="s">
        <v>241</v>
      </c>
      <c r="C14" t="s">
        <v>242</v>
      </c>
      <c r="D14">
        <f>HEX2DEC("80")</f>
        <v>128</v>
      </c>
      <c r="E14">
        <f>HEX2DEC("80")</f>
        <v>128</v>
      </c>
      <c r="F14">
        <f>HEX2DEC("00")</f>
        <v>0</v>
      </c>
      <c r="G14" t="s">
        <v>243</v>
      </c>
    </row>
    <row r="15" spans="1:7">
      <c r="A15" s="28" t="s">
        <v>244</v>
      </c>
      <c r="B15" s="29" t="s">
        <v>244</v>
      </c>
      <c r="C15" t="s">
        <v>245</v>
      </c>
      <c r="D15">
        <f>HEX2DEC("80")</f>
        <v>128</v>
      </c>
      <c r="E15">
        <f>HEX2DEC("00")</f>
        <v>0</v>
      </c>
      <c r="F15">
        <f>HEX2DEC("80")</f>
        <v>128</v>
      </c>
      <c r="G15" t="s">
        <v>246</v>
      </c>
    </row>
    <row r="16" spans="1:7">
      <c r="A16" s="30" t="s">
        <v>247</v>
      </c>
      <c r="B16" s="31" t="s">
        <v>247</v>
      </c>
      <c r="C16" t="s">
        <v>248</v>
      </c>
      <c r="D16">
        <f>HEX2DEC("00")</f>
        <v>0</v>
      </c>
      <c r="E16">
        <f>HEX2DEC("80")</f>
        <v>128</v>
      </c>
      <c r="F16">
        <f>HEX2DEC("80")</f>
        <v>128</v>
      </c>
      <c r="G16" t="s">
        <v>249</v>
      </c>
    </row>
    <row r="17" spans="1:7">
      <c r="A17" s="32" t="s">
        <v>250</v>
      </c>
      <c r="B17" s="33" t="s">
        <v>250</v>
      </c>
      <c r="C17" t="s">
        <v>251</v>
      </c>
      <c r="D17">
        <f>HEX2DEC("C0")</f>
        <v>192</v>
      </c>
      <c r="E17">
        <f>HEX2DEC("C0")</f>
        <v>192</v>
      </c>
      <c r="F17">
        <f>HEX2DEC("C0")</f>
        <v>192</v>
      </c>
      <c r="G17" t="s">
        <v>252</v>
      </c>
    </row>
    <row r="18" spans="1:7">
      <c r="A18" s="34" t="s">
        <v>253</v>
      </c>
      <c r="B18" s="35" t="s">
        <v>253</v>
      </c>
      <c r="C18" t="s">
        <v>254</v>
      </c>
      <c r="D18">
        <f>HEX2DEC("80")</f>
        <v>128</v>
      </c>
      <c r="E18">
        <f>HEX2DEC("80")</f>
        <v>128</v>
      </c>
      <c r="F18">
        <f>HEX2DEC("80")</f>
        <v>128</v>
      </c>
      <c r="G18" t="s">
        <v>255</v>
      </c>
    </row>
    <row r="19" spans="1:7">
      <c r="A19" s="36" t="s">
        <v>256</v>
      </c>
      <c r="B19" s="37" t="s">
        <v>256</v>
      </c>
      <c r="C19" t="s">
        <v>257</v>
      </c>
      <c r="D19">
        <f>HEX2DEC("99")</f>
        <v>153</v>
      </c>
      <c r="E19">
        <f>HEX2DEC("99")</f>
        <v>153</v>
      </c>
      <c r="F19">
        <f>HEX2DEC("FF")</f>
        <v>255</v>
      </c>
      <c r="G19" t="s">
        <v>258</v>
      </c>
    </row>
    <row r="20" spans="1:7">
      <c r="A20" s="38" t="s">
        <v>259</v>
      </c>
      <c r="B20" s="39" t="s">
        <v>259</v>
      </c>
      <c r="C20" t="s">
        <v>260</v>
      </c>
      <c r="D20">
        <f>HEX2DEC("99")</f>
        <v>153</v>
      </c>
      <c r="E20">
        <f>HEX2DEC("33")</f>
        <v>51</v>
      </c>
      <c r="F20">
        <f>HEX2DEC("66")</f>
        <v>102</v>
      </c>
      <c r="G20" t="s">
        <v>261</v>
      </c>
    </row>
    <row r="21" spans="1:7">
      <c r="A21" s="40" t="s">
        <v>262</v>
      </c>
      <c r="B21" s="41" t="s">
        <v>262</v>
      </c>
      <c r="C21" t="s">
        <v>263</v>
      </c>
      <c r="D21">
        <f>HEX2DEC("FF")</f>
        <v>255</v>
      </c>
      <c r="E21">
        <f>HEX2DEC("FF")</f>
        <v>255</v>
      </c>
      <c r="F21">
        <f>HEX2DEC("CC")</f>
        <v>204</v>
      </c>
      <c r="G21" t="s">
        <v>264</v>
      </c>
    </row>
    <row r="22" spans="1:7">
      <c r="A22" s="42" t="s">
        <v>265</v>
      </c>
      <c r="B22" s="43" t="s">
        <v>265</v>
      </c>
      <c r="C22" t="s">
        <v>266</v>
      </c>
      <c r="D22">
        <f>HEX2DEC("CC")</f>
        <v>204</v>
      </c>
      <c r="E22">
        <f>HEX2DEC("FF")</f>
        <v>255</v>
      </c>
      <c r="F22">
        <f>HEX2DEC("FF")</f>
        <v>255</v>
      </c>
      <c r="G22" t="s">
        <v>267</v>
      </c>
    </row>
    <row r="23" spans="1:7">
      <c r="A23" s="44" t="s">
        <v>268</v>
      </c>
      <c r="B23" s="45" t="s">
        <v>268</v>
      </c>
      <c r="C23" t="s">
        <v>269</v>
      </c>
      <c r="D23">
        <f>HEX2DEC("66")</f>
        <v>102</v>
      </c>
      <c r="E23">
        <f>HEX2DEC("00")</f>
        <v>0</v>
      </c>
      <c r="F23">
        <f>HEX2DEC("66")</f>
        <v>102</v>
      </c>
      <c r="G23" t="s">
        <v>270</v>
      </c>
    </row>
    <row r="24" spans="1:7">
      <c r="A24" s="46" t="s">
        <v>271</v>
      </c>
      <c r="B24" s="47" t="s">
        <v>271</v>
      </c>
      <c r="C24" t="s">
        <v>272</v>
      </c>
      <c r="D24">
        <f>HEX2DEC("FF")</f>
        <v>255</v>
      </c>
      <c r="E24">
        <f>HEX2DEC("80")</f>
        <v>128</v>
      </c>
      <c r="F24">
        <f>HEX2DEC("80")</f>
        <v>128</v>
      </c>
      <c r="G24" t="s">
        <v>273</v>
      </c>
    </row>
    <row r="25" spans="1:7">
      <c r="A25" s="48" t="s">
        <v>274</v>
      </c>
      <c r="B25" s="49" t="s">
        <v>274</v>
      </c>
      <c r="C25" t="s">
        <v>275</v>
      </c>
      <c r="D25">
        <f>HEX2DEC("00")</f>
        <v>0</v>
      </c>
      <c r="E25">
        <f>HEX2DEC("66")</f>
        <v>102</v>
      </c>
      <c r="F25">
        <f>HEX2DEC("CC")</f>
        <v>204</v>
      </c>
      <c r="G25" t="s">
        <v>276</v>
      </c>
    </row>
    <row r="26" spans="1:7">
      <c r="A26" s="50" t="s">
        <v>277</v>
      </c>
      <c r="B26" s="51" t="s">
        <v>277</v>
      </c>
      <c r="C26" t="s">
        <v>278</v>
      </c>
      <c r="D26">
        <f>HEX2DEC("CC")</f>
        <v>204</v>
      </c>
      <c r="E26">
        <f>HEX2DEC("CC")</f>
        <v>204</v>
      </c>
      <c r="F26">
        <f>HEX2DEC("FF")</f>
        <v>255</v>
      </c>
      <c r="G26" t="s">
        <v>279</v>
      </c>
    </row>
    <row r="27" spans="1:7">
      <c r="A27" s="52" t="s">
        <v>280</v>
      </c>
      <c r="B27" s="53" t="s">
        <v>280</v>
      </c>
      <c r="C27" t="s">
        <v>239</v>
      </c>
      <c r="D27">
        <f>HEX2DEC("00")</f>
        <v>0</v>
      </c>
      <c r="E27">
        <f>HEX2DEC("00")</f>
        <v>0</v>
      </c>
      <c r="F27">
        <f>HEX2DEC("80")</f>
        <v>128</v>
      </c>
      <c r="G27" t="s">
        <v>281</v>
      </c>
    </row>
    <row r="28" spans="1:7">
      <c r="A28" s="54" t="s">
        <v>282</v>
      </c>
      <c r="B28" s="55" t="s">
        <v>282</v>
      </c>
      <c r="C28" t="s">
        <v>227</v>
      </c>
      <c r="D28">
        <f>HEX2DEC("FF")</f>
        <v>255</v>
      </c>
      <c r="E28">
        <f>HEX2DEC("00")</f>
        <v>0</v>
      </c>
      <c r="F28">
        <f>HEX2DEC("FF")</f>
        <v>255</v>
      </c>
      <c r="G28" t="s">
        <v>283</v>
      </c>
    </row>
    <row r="29" spans="1:7">
      <c r="A29" s="56" t="s">
        <v>284</v>
      </c>
      <c r="B29" s="57" t="s">
        <v>284</v>
      </c>
      <c r="C29" t="s">
        <v>224</v>
      </c>
      <c r="D29">
        <f>HEX2DEC("FF")</f>
        <v>255</v>
      </c>
      <c r="E29">
        <f>HEX2DEC("FF")</f>
        <v>255</v>
      </c>
      <c r="F29">
        <f>HEX2DEC("00")</f>
        <v>0</v>
      </c>
      <c r="G29" t="s">
        <v>285</v>
      </c>
    </row>
    <row r="30" spans="1:7">
      <c r="A30" s="58" t="s">
        <v>286</v>
      </c>
      <c r="B30" s="59" t="s">
        <v>286</v>
      </c>
      <c r="C30" t="s">
        <v>230</v>
      </c>
      <c r="D30">
        <f>HEX2DEC("00")</f>
        <v>0</v>
      </c>
      <c r="E30">
        <f>HEX2DEC("FF")</f>
        <v>255</v>
      </c>
      <c r="F30">
        <f>HEX2DEC("FF")</f>
        <v>255</v>
      </c>
      <c r="G30" t="s">
        <v>287</v>
      </c>
    </row>
    <row r="31" spans="1:7">
      <c r="A31" s="60" t="s">
        <v>288</v>
      </c>
      <c r="B31" s="61" t="s">
        <v>288</v>
      </c>
      <c r="C31" t="s">
        <v>245</v>
      </c>
      <c r="D31">
        <f>HEX2DEC("80")</f>
        <v>128</v>
      </c>
      <c r="E31">
        <f>HEX2DEC("00")</f>
        <v>0</v>
      </c>
      <c r="F31">
        <f>HEX2DEC("80")</f>
        <v>128</v>
      </c>
      <c r="G31" t="s">
        <v>289</v>
      </c>
    </row>
    <row r="32" spans="1:7">
      <c r="A32" s="62" t="s">
        <v>290</v>
      </c>
      <c r="B32" s="63" t="s">
        <v>290</v>
      </c>
      <c r="C32" t="s">
        <v>233</v>
      </c>
      <c r="D32">
        <f>HEX2DEC("80")</f>
        <v>128</v>
      </c>
      <c r="E32">
        <f>HEX2DEC("00")</f>
        <v>0</v>
      </c>
      <c r="F32">
        <f>HEX2DEC("00")</f>
        <v>0</v>
      </c>
      <c r="G32" t="s">
        <v>291</v>
      </c>
    </row>
    <row r="33" spans="1:7">
      <c r="A33" s="64" t="s">
        <v>292</v>
      </c>
      <c r="B33" s="65" t="s">
        <v>292</v>
      </c>
      <c r="C33" t="s">
        <v>248</v>
      </c>
      <c r="D33">
        <f>HEX2DEC("00")</f>
        <v>0</v>
      </c>
      <c r="E33">
        <f>HEX2DEC("80")</f>
        <v>128</v>
      </c>
      <c r="F33">
        <f>HEX2DEC("80")</f>
        <v>128</v>
      </c>
      <c r="G33" t="s">
        <v>293</v>
      </c>
    </row>
    <row r="34" spans="1:7">
      <c r="A34" s="66" t="s">
        <v>294</v>
      </c>
      <c r="B34" s="67" t="s">
        <v>294</v>
      </c>
      <c r="C34" t="s">
        <v>221</v>
      </c>
      <c r="D34">
        <f>HEX2DEC("00")</f>
        <v>0</v>
      </c>
      <c r="E34">
        <f>HEX2DEC("00")</f>
        <v>0</v>
      </c>
      <c r="F34">
        <f>HEX2DEC("FF")</f>
        <v>255</v>
      </c>
      <c r="G34" t="s">
        <v>295</v>
      </c>
    </row>
    <row r="35" spans="1:7">
      <c r="A35" s="68" t="s">
        <v>296</v>
      </c>
      <c r="B35" s="69" t="s">
        <v>296</v>
      </c>
      <c r="C35" t="s">
        <v>297</v>
      </c>
      <c r="D35">
        <f>HEX2DEC("00")</f>
        <v>0</v>
      </c>
      <c r="E35">
        <f>HEX2DEC("CC")</f>
        <v>204</v>
      </c>
      <c r="F35">
        <f>HEX2DEC("FF")</f>
        <v>255</v>
      </c>
      <c r="G35" t="s">
        <v>298</v>
      </c>
    </row>
    <row r="36" spans="1:7">
      <c r="A36" s="70" t="s">
        <v>299</v>
      </c>
      <c r="B36" s="71" t="s">
        <v>299</v>
      </c>
      <c r="C36" t="s">
        <v>266</v>
      </c>
      <c r="D36">
        <f>HEX2DEC("CC")</f>
        <v>204</v>
      </c>
      <c r="E36">
        <f>HEX2DEC("FF")</f>
        <v>255</v>
      </c>
      <c r="F36">
        <f>HEX2DEC("FF")</f>
        <v>255</v>
      </c>
      <c r="G36" t="s">
        <v>300</v>
      </c>
    </row>
    <row r="37" spans="1:7">
      <c r="A37" s="72" t="s">
        <v>301</v>
      </c>
      <c r="B37" s="73" t="s">
        <v>301</v>
      </c>
      <c r="C37" t="s">
        <v>302</v>
      </c>
      <c r="D37">
        <f>HEX2DEC("CC")</f>
        <v>204</v>
      </c>
      <c r="E37">
        <f>HEX2DEC("FF")</f>
        <v>255</v>
      </c>
      <c r="F37">
        <f>HEX2DEC("CC")</f>
        <v>204</v>
      </c>
      <c r="G37" t="s">
        <v>303</v>
      </c>
    </row>
    <row r="38" spans="1:7">
      <c r="A38" s="74" t="s">
        <v>304</v>
      </c>
      <c r="B38" s="75" t="s">
        <v>304</v>
      </c>
      <c r="C38" t="s">
        <v>305</v>
      </c>
      <c r="D38">
        <f>HEX2DEC("FF")</f>
        <v>255</v>
      </c>
      <c r="E38">
        <f>HEX2DEC("FF")</f>
        <v>255</v>
      </c>
      <c r="F38">
        <f>HEX2DEC("99")</f>
        <v>153</v>
      </c>
      <c r="G38" t="s">
        <v>306</v>
      </c>
    </row>
    <row r="39" spans="1:7">
      <c r="A39" s="76" t="s">
        <v>307</v>
      </c>
      <c r="B39" s="77" t="s">
        <v>307</v>
      </c>
      <c r="C39" t="s">
        <v>308</v>
      </c>
      <c r="D39">
        <f>HEX2DEC("99")</f>
        <v>153</v>
      </c>
      <c r="E39">
        <f>HEX2DEC("CC")</f>
        <v>204</v>
      </c>
      <c r="F39">
        <f>HEX2DEC("FF")</f>
        <v>255</v>
      </c>
      <c r="G39" t="s">
        <v>309</v>
      </c>
    </row>
    <row r="40" spans="1:7">
      <c r="A40" s="78" t="s">
        <v>310</v>
      </c>
      <c r="B40" s="79" t="s">
        <v>310</v>
      </c>
      <c r="C40" t="s">
        <v>311</v>
      </c>
      <c r="D40">
        <f>HEX2DEC("FF")</f>
        <v>255</v>
      </c>
      <c r="E40">
        <f>HEX2DEC("99")</f>
        <v>153</v>
      </c>
      <c r="F40">
        <f>HEX2DEC("CC")</f>
        <v>204</v>
      </c>
      <c r="G40" t="s">
        <v>312</v>
      </c>
    </row>
    <row r="41" spans="1:7">
      <c r="A41" s="80" t="s">
        <v>313</v>
      </c>
      <c r="B41" s="81" t="s">
        <v>313</v>
      </c>
      <c r="C41" t="s">
        <v>314</v>
      </c>
      <c r="D41">
        <f>HEX2DEC("CC")</f>
        <v>204</v>
      </c>
      <c r="E41">
        <f>HEX2DEC("99")</f>
        <v>153</v>
      </c>
      <c r="F41">
        <f>HEX2DEC("FF")</f>
        <v>255</v>
      </c>
      <c r="G41" t="s">
        <v>315</v>
      </c>
    </row>
    <row r="42" spans="1:7">
      <c r="A42" s="82" t="s">
        <v>316</v>
      </c>
      <c r="B42" s="83" t="s">
        <v>316</v>
      </c>
      <c r="C42" t="s">
        <v>317</v>
      </c>
      <c r="D42">
        <f>HEX2DEC("FF")</f>
        <v>255</v>
      </c>
      <c r="E42">
        <f>HEX2DEC("CC")</f>
        <v>204</v>
      </c>
      <c r="F42">
        <f>HEX2DEC("99")</f>
        <v>153</v>
      </c>
      <c r="G42" t="s">
        <v>318</v>
      </c>
    </row>
    <row r="43" spans="1:7">
      <c r="A43" s="84" t="s">
        <v>319</v>
      </c>
      <c r="B43" s="85" t="s">
        <v>319</v>
      </c>
      <c r="C43" t="s">
        <v>320</v>
      </c>
      <c r="D43">
        <f>HEX2DEC("33")</f>
        <v>51</v>
      </c>
      <c r="E43">
        <f>HEX2DEC("66")</f>
        <v>102</v>
      </c>
      <c r="F43">
        <f>HEX2DEC("FF")</f>
        <v>255</v>
      </c>
      <c r="G43" t="s">
        <v>321</v>
      </c>
    </row>
    <row r="44" spans="1:7">
      <c r="A44" s="86" t="s">
        <v>322</v>
      </c>
      <c r="B44" s="87" t="s">
        <v>322</v>
      </c>
      <c r="C44" t="s">
        <v>323</v>
      </c>
      <c r="D44">
        <f>HEX2DEC("33")</f>
        <v>51</v>
      </c>
      <c r="E44">
        <f>HEX2DEC("CC")</f>
        <v>204</v>
      </c>
      <c r="F44">
        <f>HEX2DEC("CC")</f>
        <v>204</v>
      </c>
      <c r="G44" t="s">
        <v>324</v>
      </c>
    </row>
    <row r="45" spans="1:7">
      <c r="A45" s="88" t="s">
        <v>325</v>
      </c>
      <c r="B45" s="89" t="s">
        <v>325</v>
      </c>
      <c r="C45" t="s">
        <v>326</v>
      </c>
      <c r="D45">
        <f>HEX2DEC("99")</f>
        <v>153</v>
      </c>
      <c r="E45">
        <f>HEX2DEC("CC")</f>
        <v>204</v>
      </c>
      <c r="F45">
        <f>HEX2DEC("00")</f>
        <v>0</v>
      </c>
      <c r="G45" t="s">
        <v>327</v>
      </c>
    </row>
    <row r="46" spans="1:7">
      <c r="A46" s="90" t="s">
        <v>328</v>
      </c>
      <c r="B46" s="91" t="s">
        <v>328</v>
      </c>
      <c r="C46" t="s">
        <v>329</v>
      </c>
      <c r="D46">
        <f>HEX2DEC("FF")</f>
        <v>255</v>
      </c>
      <c r="E46">
        <f>HEX2DEC("CC")</f>
        <v>204</v>
      </c>
      <c r="F46">
        <f>HEX2DEC("00")</f>
        <v>0</v>
      </c>
      <c r="G46" t="s">
        <v>330</v>
      </c>
    </row>
    <row r="47" spans="1:7">
      <c r="A47" s="92" t="s">
        <v>331</v>
      </c>
      <c r="B47" s="93" t="s">
        <v>331</v>
      </c>
      <c r="C47" t="s">
        <v>332</v>
      </c>
      <c r="D47">
        <f>HEX2DEC("FF")</f>
        <v>255</v>
      </c>
      <c r="E47">
        <f>HEX2DEC("99")</f>
        <v>153</v>
      </c>
      <c r="F47">
        <f>HEX2DEC("00")</f>
        <v>0</v>
      </c>
      <c r="G47" t="s">
        <v>333</v>
      </c>
    </row>
    <row r="48" spans="1:7">
      <c r="A48" s="94" t="s">
        <v>334</v>
      </c>
      <c r="B48" s="95" t="s">
        <v>334</v>
      </c>
      <c r="C48" t="s">
        <v>335</v>
      </c>
      <c r="D48">
        <f>HEX2DEC("FF")</f>
        <v>255</v>
      </c>
      <c r="E48">
        <f>HEX2DEC("66")</f>
        <v>102</v>
      </c>
      <c r="F48">
        <f>HEX2DEC("00")</f>
        <v>0</v>
      </c>
      <c r="G48" t="s">
        <v>336</v>
      </c>
    </row>
    <row r="49" spans="1:7">
      <c r="A49" s="96" t="s">
        <v>337</v>
      </c>
      <c r="B49" s="97" t="s">
        <v>337</v>
      </c>
      <c r="C49" t="s">
        <v>338</v>
      </c>
      <c r="D49">
        <f>HEX2DEC("66")</f>
        <v>102</v>
      </c>
      <c r="E49">
        <f>HEX2DEC("66")</f>
        <v>102</v>
      </c>
      <c r="F49">
        <f>HEX2DEC("99")</f>
        <v>153</v>
      </c>
      <c r="G49" t="s">
        <v>339</v>
      </c>
    </row>
    <row r="50" spans="1:7">
      <c r="A50" s="98" t="s">
        <v>340</v>
      </c>
      <c r="B50" s="99" t="s">
        <v>340</v>
      </c>
      <c r="C50" t="s">
        <v>341</v>
      </c>
      <c r="D50">
        <f>HEX2DEC("96")</f>
        <v>150</v>
      </c>
      <c r="E50">
        <f>HEX2DEC("96")</f>
        <v>150</v>
      </c>
      <c r="F50">
        <f>HEX2DEC("96")</f>
        <v>150</v>
      </c>
      <c r="G50" t="s">
        <v>342</v>
      </c>
    </row>
    <row r="51" spans="1:7">
      <c r="A51" s="100" t="s">
        <v>343</v>
      </c>
      <c r="B51" s="101" t="s">
        <v>343</v>
      </c>
      <c r="C51" t="s">
        <v>344</v>
      </c>
      <c r="D51">
        <f>HEX2DEC("00")</f>
        <v>0</v>
      </c>
      <c r="E51">
        <f>HEX2DEC("33")</f>
        <v>51</v>
      </c>
      <c r="F51">
        <f>HEX2DEC("66")</f>
        <v>102</v>
      </c>
      <c r="G51" t="s">
        <v>345</v>
      </c>
    </row>
    <row r="52" spans="1:7">
      <c r="A52" s="102" t="s">
        <v>346</v>
      </c>
      <c r="B52" s="103" t="s">
        <v>346</v>
      </c>
      <c r="C52" t="s">
        <v>347</v>
      </c>
      <c r="D52">
        <f>HEX2DEC("33")</f>
        <v>51</v>
      </c>
      <c r="E52">
        <f>HEX2DEC("99")</f>
        <v>153</v>
      </c>
      <c r="F52">
        <f>HEX2DEC("66")</f>
        <v>102</v>
      </c>
      <c r="G52" t="s">
        <v>348</v>
      </c>
    </row>
    <row r="53" spans="1:7">
      <c r="A53" s="104" t="s">
        <v>349</v>
      </c>
      <c r="B53" s="105" t="s">
        <v>349</v>
      </c>
      <c r="C53" t="s">
        <v>350</v>
      </c>
      <c r="D53">
        <f>HEX2DEC("00")</f>
        <v>0</v>
      </c>
      <c r="E53">
        <f t="shared" ref="E53:E58" si="0">HEX2DEC("33")</f>
        <v>51</v>
      </c>
      <c r="F53">
        <f>HEX2DEC("00")</f>
        <v>0</v>
      </c>
      <c r="G53" t="s">
        <v>351</v>
      </c>
    </row>
    <row r="54" spans="1:7">
      <c r="A54" s="106" t="s">
        <v>352</v>
      </c>
      <c r="B54" s="107" t="s">
        <v>352</v>
      </c>
      <c r="C54" t="s">
        <v>353</v>
      </c>
      <c r="D54">
        <f>HEX2DEC("33")</f>
        <v>51</v>
      </c>
      <c r="E54">
        <f t="shared" si="0"/>
        <v>51</v>
      </c>
      <c r="F54">
        <f>HEX2DEC("00")</f>
        <v>0</v>
      </c>
      <c r="G54" t="s">
        <v>354</v>
      </c>
    </row>
    <row r="55" spans="1:7">
      <c r="A55" s="108" t="s">
        <v>355</v>
      </c>
      <c r="B55" s="109" t="s">
        <v>355</v>
      </c>
      <c r="C55" t="s">
        <v>356</v>
      </c>
      <c r="D55">
        <f>HEX2DEC("99")</f>
        <v>153</v>
      </c>
      <c r="E55">
        <f t="shared" si="0"/>
        <v>51</v>
      </c>
      <c r="F55">
        <f>HEX2DEC("00")</f>
        <v>0</v>
      </c>
      <c r="G55" t="s">
        <v>357</v>
      </c>
    </row>
    <row r="56" spans="1:7">
      <c r="A56" s="110" t="s">
        <v>358</v>
      </c>
      <c r="B56" s="111" t="s">
        <v>358</v>
      </c>
      <c r="C56" t="s">
        <v>260</v>
      </c>
      <c r="D56">
        <f>HEX2DEC("99")</f>
        <v>153</v>
      </c>
      <c r="E56">
        <f t="shared" si="0"/>
        <v>51</v>
      </c>
      <c r="F56">
        <f>HEX2DEC("66")</f>
        <v>102</v>
      </c>
      <c r="G56" t="s">
        <v>359</v>
      </c>
    </row>
    <row r="57" spans="1:7">
      <c r="A57" s="112" t="s">
        <v>360</v>
      </c>
      <c r="B57" s="113" t="s">
        <v>360</v>
      </c>
      <c r="C57" t="s">
        <v>361</v>
      </c>
      <c r="D57">
        <f>HEX2DEC("33")</f>
        <v>51</v>
      </c>
      <c r="E57">
        <f t="shared" si="0"/>
        <v>51</v>
      </c>
      <c r="F57">
        <f>HEX2DEC("99")</f>
        <v>153</v>
      </c>
      <c r="G57" t="s">
        <v>362</v>
      </c>
    </row>
    <row r="58" spans="1:7">
      <c r="A58" s="114" t="s">
        <v>363</v>
      </c>
      <c r="B58" s="115"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2.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3.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4.xml><?xml version="1.0" encoding="utf-8"?>
<ds:datastoreItem xmlns:ds="http://schemas.openxmlformats.org/officeDocument/2006/customXml" ds:itemID="{1576FDF1-1CAB-4475-ADBF-3D3FEDE28562}">
  <ds:schemaRefs>
    <ds:schemaRef ds:uri="http://schemas.microsoft.com/sharepoint/v4"/>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http://purl.org/dc/dcmitype/"/>
    <ds:schemaRef ds:uri="http://schemas.openxmlformats.org/package/2006/metadata/core-properties"/>
    <ds:schemaRef ds:uri="2afc620e-e190-44f6-b6cd-d79dcbfca6c6"/>
    <ds:schemaRef ds:uri="http://purl.org/dc/elements/1.1/"/>
  </ds:schemaRefs>
</ds:datastoreItem>
</file>

<file path=customXml/itemProps5.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6.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7.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8.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10.xml><?xml version="1.0" encoding="utf-8"?>
<ds:datastoreItem xmlns:ds="http://schemas.openxmlformats.org/officeDocument/2006/customXml" ds:itemID="{0842D3E3-80B9-4F60-8E1D-D88BBAC110A4}">
  <ds:schemaRefs>
    <ds:schemaRef ds:uri="http://schemas.microsoft.com/DataMashup"/>
  </ds:schemaRefs>
</ds:datastoreItem>
</file>

<file path=customXml/itemProps11.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12.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3.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14.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15.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6.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7.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8.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19.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20.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2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2.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23.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2017-08-11T20:52:15Z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