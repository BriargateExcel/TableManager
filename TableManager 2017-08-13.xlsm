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hidePivotFieldList="1" defaultThemeVersion="124226"/>
  <mc:AlternateContent xmlns:mc="http://schemas.openxmlformats.org/markup-compatibility/2006">
    <mc:Choice Requires="x15">
      <x15ac:absPath xmlns:x15ac="http://schemas.microsoft.com/office/spreadsheetml/2010/11/ac" url="C:\Users\Owner\Documents\Excel\TableManager\"/>
    </mc:Choice>
  </mc:AlternateContent>
  <bookViews>
    <workbookView xWindow="0" yWindow="0" windowWidth="25200" windowHeight="11760" tabRatio="867"/>
  </bookViews>
  <sheets>
    <sheet name="Test Sheet" sheetId="60" r:id="rId1"/>
    <sheet name="Employees" sheetId="62" r:id="rId2"/>
    <sheet name="Sheet1" sheetId="61" r:id="rId3"/>
  </sheets>
  <functionGroups builtInGroupCount="18"/>
  <definedNames>
    <definedName name="Contract" localSheetId="1">#REF!</definedName>
    <definedName name="Contract">#REF!</definedName>
    <definedName name="CurrentMonth" localSheetId="1">#REF!</definedName>
    <definedName name="CurrentMonth">#REF!</definedName>
    <definedName name="CurrentWeek" localSheetId="1">#REF!</definedName>
    <definedName name="CurrentWeek">#REF!</definedName>
    <definedName name="GraphStartMonth" localSheetId="1">#REF!</definedName>
    <definedName name="GraphStartMonth">#REF!</definedName>
  </definedNames>
  <calcPr calcId="162913"/>
</workbook>
</file>

<file path=xl/calcChain.xml><?xml version="1.0" encoding="utf-8"?>
<calcChain xmlns="http://schemas.openxmlformats.org/spreadsheetml/2006/main">
  <c r="F58" i="61" l="1"/>
  <c r="E58" i="61"/>
  <c r="D58" i="61"/>
  <c r="F57" i="61"/>
  <c r="E57" i="61"/>
  <c r="D57" i="61"/>
  <c r="F56" i="61"/>
  <c r="E56" i="61"/>
  <c r="D56" i="61"/>
  <c r="F55" i="61"/>
  <c r="E55" i="61"/>
  <c r="D55" i="61"/>
  <c r="F54" i="61"/>
  <c r="E54" i="61"/>
  <c r="D54" i="61"/>
  <c r="F53" i="61"/>
  <c r="E53" i="61"/>
  <c r="D53" i="61"/>
  <c r="F52" i="61"/>
  <c r="E52" i="61"/>
  <c r="D52" i="61"/>
  <c r="F51" i="61"/>
  <c r="E51" i="61"/>
  <c r="D51" i="61"/>
  <c r="F50" i="61"/>
  <c r="E50" i="61"/>
  <c r="D50" i="61"/>
  <c r="F49" i="61"/>
  <c r="E49" i="61"/>
  <c r="D49" i="61"/>
  <c r="F48" i="61"/>
  <c r="E48" i="61"/>
  <c r="D48" i="61"/>
  <c r="F47" i="61"/>
  <c r="E47" i="61"/>
  <c r="D47" i="61"/>
  <c r="F46" i="61"/>
  <c r="E46" i="61"/>
  <c r="D46" i="61"/>
  <c r="F45" i="61"/>
  <c r="E45" i="61"/>
  <c r="D45" i="61"/>
  <c r="F44" i="61"/>
  <c r="E44" i="61"/>
  <c r="D44" i="61"/>
  <c r="F43" i="61"/>
  <c r="E43" i="61"/>
  <c r="D43" i="61"/>
  <c r="F42" i="61"/>
  <c r="E42" i="61"/>
  <c r="D42" i="61"/>
  <c r="F41" i="61"/>
  <c r="E41" i="61"/>
  <c r="D41" i="61"/>
  <c r="F40" i="61"/>
  <c r="E40" i="61"/>
  <c r="D40" i="61"/>
  <c r="F39" i="61"/>
  <c r="E39" i="61"/>
  <c r="D39" i="61"/>
  <c r="F38" i="61"/>
  <c r="E38" i="61"/>
  <c r="D38" i="61"/>
  <c r="F37" i="61"/>
  <c r="E37" i="61"/>
  <c r="D37" i="61"/>
  <c r="F36" i="61"/>
  <c r="E36" i="61"/>
  <c r="D36" i="61"/>
  <c r="F35" i="61"/>
  <c r="E35" i="61"/>
  <c r="D35" i="61"/>
  <c r="F34" i="61"/>
  <c r="E34" i="61"/>
  <c r="D34" i="61"/>
  <c r="F33" i="61"/>
  <c r="E33" i="61"/>
  <c r="D33" i="61"/>
  <c r="F32" i="61"/>
  <c r="E32" i="61"/>
  <c r="D32" i="61"/>
  <c r="F31" i="61"/>
  <c r="E31" i="61"/>
  <c r="D31" i="61"/>
  <c r="F30" i="61"/>
  <c r="E30" i="61"/>
  <c r="D30" i="61"/>
  <c r="F29" i="61"/>
  <c r="E29" i="61"/>
  <c r="D29" i="61"/>
  <c r="F28" i="61"/>
  <c r="E28" i="61"/>
  <c r="D28" i="61"/>
  <c r="F27" i="61"/>
  <c r="E27" i="61"/>
  <c r="D27" i="61"/>
  <c r="F26" i="61"/>
  <c r="E26" i="61"/>
  <c r="D26" i="61"/>
  <c r="F25" i="61"/>
  <c r="E25" i="61"/>
  <c r="D25" i="61"/>
  <c r="F24" i="61"/>
  <c r="E24" i="61"/>
  <c r="D24" i="61"/>
  <c r="F23" i="61"/>
  <c r="E23" i="61"/>
  <c r="D23" i="61"/>
  <c r="F22" i="61"/>
  <c r="E22" i="61"/>
  <c r="D22" i="61"/>
  <c r="F21" i="61"/>
  <c r="E21" i="61"/>
  <c r="D21" i="61"/>
  <c r="F20" i="61"/>
  <c r="E20" i="61"/>
  <c r="D20" i="61"/>
  <c r="F19" i="61"/>
  <c r="E19" i="61"/>
  <c r="D19" i="61"/>
  <c r="F18" i="61"/>
  <c r="E18" i="61"/>
  <c r="D18" i="61"/>
  <c r="F17" i="61"/>
  <c r="E17" i="61"/>
  <c r="D17" i="61"/>
  <c r="F16" i="61"/>
  <c r="E16" i="61"/>
  <c r="D16" i="61"/>
  <c r="F15" i="61"/>
  <c r="E15" i="61"/>
  <c r="D15" i="61"/>
  <c r="F14" i="61"/>
  <c r="E14" i="61"/>
  <c r="D14" i="61"/>
  <c r="F13" i="61"/>
  <c r="E13" i="61"/>
  <c r="D13" i="61"/>
  <c r="F12" i="61"/>
  <c r="E12" i="61"/>
  <c r="D12" i="61"/>
  <c r="F11" i="61"/>
  <c r="E11" i="61"/>
  <c r="D11" i="61"/>
  <c r="F10" i="61"/>
  <c r="E10" i="61"/>
  <c r="D10" i="61"/>
  <c r="F9" i="61"/>
  <c r="E9" i="61"/>
  <c r="D9" i="61"/>
  <c r="F8" i="61"/>
  <c r="E8" i="61"/>
  <c r="D8" i="61"/>
  <c r="F7" i="61"/>
  <c r="E7" i="61"/>
  <c r="D7" i="61"/>
  <c r="F6" i="61"/>
  <c r="E6" i="61"/>
  <c r="D6" i="61"/>
  <c r="F5" i="61"/>
  <c r="E5" i="61"/>
  <c r="D5" i="61"/>
  <c r="F4" i="61"/>
  <c r="E4" i="61"/>
  <c r="D4" i="61"/>
  <c r="F3" i="61"/>
  <c r="E3" i="61"/>
  <c r="D3" i="61"/>
  <c r="F2" i="61"/>
  <c r="E2" i="61"/>
  <c r="D2" i="61"/>
</calcChain>
</file>

<file path=xl/connections.xml><?xml version="1.0" encoding="utf-8"?>
<connections xmlns="http://schemas.openxmlformats.org/spreadsheetml/2006/main">
  <connection id="1" keepAlive="1" name="Query - Accounting Calendars" description="Connection to the 'Accounting Calendars' query in the workbook." type="5" refreshedVersion="5" background="1" saveData="1">
    <dbPr connection="provider=Microsoft.Mashup.OleDb.1;data source=$EmbeddedMashup(abb1de52-d926-4cae-82b5-907ab9c0fc66)$;location=&quot;Accounting Calendars&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rR1uTekIAACcKgAAEwAcAEZvcm11bGFzL1NlY3Rpb24xLm0gohgAKKAUAAAAAAAAAAAAAAAAAAAAAAAAAAAA7Rr9b9tE9PdI+x9OroRsyaRzOvgFgjTajg3SrayBgaIIucmFWnXsYJ+3RlX/d9677/NH6oQKNIlUapK7d+/7655T0gVL8oxciffom2eDZ4PyJi7okhx5LxeLvMpYkv1JTuOUZsu4KD0yJsfHpG1rMEgpGwyOe74GP1B2kWfspgSU/qskpZcxuwkJfnobr2lAxt9xjAReV3lVLCgAvsrTJS2GCFTqQ0HIgfArgAjY+9mRJ4AJgnhjTQGRjxWV+cPsFJigGZsLJG/Wm7xgdHl+t6ApYOPvww95cXud57ecpCQnmP9jGl9zsu7B+9kbRtdjTwB54U9Jthx7HNYDmmcxi+eDJGsgCvdT4GuQ9XPVn3KcRzSowHbr0EW2hxaFH265QsZtamzTYotQQ6kGo1XyhUESkqxK05CwoupwH6X1x91GHD/yTm/i7E8I1Ol2QzEsOdRwWsRZucqL9WmeVusMN0vf8bD7e28Sl4ycxVsPOAIAsowZfQjJPYY8E5w1tgCc5CvygdJb2HuTsa9fDBH7w0OgOHpP1/lH4EiQLg1TYkMu+zXWQxf3Q6Bs2kS4j12PBygM+MUkAWEhRK6q1Sq5I3FJGL1jPcJjlf02mQLoZVys/bZsKMG9QGsADjKK2fN9/smS/4qmkGFxzRekQkLjxQ3xZ+d34DQl5N45AHvDu7S8s9Ap+d+xG4jDhloFWqNWlzroFX3PM/a52qQJk2jI9Zac0TRZJ3DEQokgAsLvoh8KvCGHhdPiEGrq+61G6XtDcJOfq5zRK7bF+Cg/BpKlYQRb4tPIYm8Ph94lCzq4psJ9GO3NfViStJefwHsbgrynGSy1YsINg6nh3zbrnim6Fpcvl0s8UJUsXxvEsGoZzaWOmAS49LqZRjyHHCXCoksLUbcaHE5ADRa7ElsKkTeWVswxDJsiR15AiAp4hN8rxHmYTy4+3L6t1te0gASOiRc1qMN87/StMXxBvMmFjMiW/G2R7UjiFsSTZfIG1Z3pfHJBPtwSgG9EwmeQzQer7DK/vGJxwUBbqF4fvpv8DR+WfL3TwqdVUYBNtaGD+xlvXjzAoy3hti9qZ7cVZBIH1V/SIsmXRCTEmo456wR5bxjmPFs2N5Tq84ptKixZGDJQiwoInEYdUYyqmLYYwVIC28HMMDDXZhDIe6kemPxf8QcpXlHZU+2thkBe3q0ALe/z29sWJ8ceYALNptTv42wCY5D/X6JfAFfT65S7h9BL3VmYsKvhm0UthQtw8KNSrxwQX8mKzLguybfEzQhoioBAa5KR5xqcpiW1znxHbFfuPhFpFbAIxF9l5xkrtigbDwHp8jXZLJEUOFDmB/bilZ/ozalilJMEXtttJUJYhRSXgjfCyh7tlvnncbxXNTPhfGjIOtEhKOlGyK1LxEkZcFycj2S0a/58g1K6onZ1rcWQ/KGa9Knx5VdFvuYRODHeNI32jXmAJhdxkkETX8Ftgwpbozm0M43xZoIfxM3E0p1kykDiPwwycQP0j1B5XIzh7zQufBcvtDl8iwM39vgW1Pb6RhB+GSl18i3pwjUutRkljwqqD4cStoU/veNyp5aD8ESxpvq6cf9rnTypgwJuhMoDfC1/aGipAMizjxQHGYTlwjW8po+oe6B7ifp++zZnN8CMr1tO8R/uiUX8a5xWtByeF0VeHHZramENo08ARa0R1rhQRN33mVonaCP2uO05Vrt9lteDt7QEpn7Mk5YLTCR6SjwdWu2vbtTxVqk74Ae4nNJP4qQXIkJsvIcTumLvKlCzFur8bhNneIHR4JZcYpN/ltlEEsZrq0FPnNbb6rbFZVMBDm0ga9WAmxs6H4DVpwew6LdzjDqWufFdgZOLl+UCfBgc6JBG3qYetgrQ6RSjPS+5LVqwNcjvTJYIcEVLAcUvG8tIuPbLpukvI+S9hskN5dG/OOkZ9Rz1PH6vr0136rd6PU73Z9bcdh7yij0/eKbUuOWLaq8GOPhuj4kNW5/l2Cn67+dOOyYuLqc9Jk8nvaMy6pg9ed2MjroZbbDhOo7tMA/NjFwPgmY2buHFjgc3LVszbW4MAeYkZblkQ2q2LpOPOdOULOvwDb/JdygayjP4l2SLNgg9gJsHtqpbGVGZ68i7oAUa/+cK2lhqRaxTO61EaapmU4iwqYZ/UDl3m6rGd62Ecl2d5utraHX9e6eSW/N73/MCMElvaGI0WOLJhg+fVRDHC1CPpcg2i7nVXuizrVpHjXLdQqlXtdYWbKl0DsFdEnfF7El3zBq6Tj/lVs6Tp66c0Y7SeXJA6Yx61M6otXjyR6mH1M6GCO3FM3rq6hntVT6jf6V+jg6vn9FTFdAX/Qro6Ekf3bzYv35+1bt+HlI+d95mWnhx66fMUt5rbJ6toqnW5dfX1sMeV7svHnWEBr/8vmjwSltnvIV/6KrHo2Y9dtloVmN3/9FajLx0FeGoowo3sq6pxS0ShK56exZikerVD0D6lt+oXn9rRba2QLj0Snw+6zp4MjgddeTJaRS683w93DOzNTnbno40LydycAf8VusqxanRJAodtYTELxkf2y4EuziybVQHCaJg9NCPz1d9MUcOFYLATPZO7F9L2XWQ/0TKXhiQgQ/vIBqYz3k6qT7gDJaoISzhsL1HsQpx2VS5wAQ1r63IWlR0odXI+KMMm2VVBAkfQo31TBrn1wL1m/J8vWFbX9EMxvi01ADyYTZOs8wSH2i/p4u8WEI/QdOlPnz/HMKAk/KCAZEqF7TralcjRq12tTDYpXX1BOt/rXdoXRBGXcIC8MUHrDi+JD6HsMyigFz1Pxu4ltKPIISd1FewknnGq5+zqGePcgEf4+uHFMfHp/GGVQVF4YQhC0zpZIXc4dpGW8cdhwPp+ny5Y/jdNve2R94De4bdgrZ9Yt0cVpvZsRQNOlEugqh7+BwdMYPj3sSMfIIenVyDuPSvKuFazQsOzR/kaIOdYhOOJquKGH/XiaRKRYt8SSzhFNlpfCvUyRt4QxbKCQFVZwSatiRjOYn5rzQ0AD8OPFvGFfUWN60hueErPFpKtvwofI5/JqdaiL75G1BLAQItABQAAgAIAD1XbklVxUJSqgAAAPoAAAASAAAAAAAAAAAAAAAAAAAAAABDb25maWcvUGFja2FnZS54bWxQSwECLQAUAAIACAA9V25JD8rpq6QAAADpAAAAEwAAAAAAAAAAAAAAAAD2AAAAW0NvbnRlbnRfVHlwZXNdLnhtbFBLAQItABQAAgAIAD1XbkmtHW5N6QgAAJwqAAATAAAAAAAAAAAAAAAAAOcBAABGb3JtdWxhcy9TZWN0aW9uMS5tUEsFBgAAAAADAAMAwgAAAB0LAAAAAA==&quot;" command="SELECT * FROM [Accounting Calendars]"/>
  </connection>
  <connection id="2" keepAlive="1" name="Query - Bud DB List" description="Connection to the 'Bud DB List' query in the workbook." type="5" refreshedVersion="5" background="1" saveData="1">
    <dbPr connection="provider=Microsoft.Mashup.OleDb.1;data source=$EmbeddedMashup(abb1de52-d926-4cae-82b5-907ab9c0fc66)$;location=&quot;Bud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suD2Um4DAACfDQAAEwAcAEZvcm11bGFzL1NlY3Rpb24xLm0gohgAKKAUAAAAAAAAAAAAAAAAAAAAAAAAAAAAtVbbbtpAEH1H4h9WrlTZkkXEc5pIgdCqTUIuIOUB8WDwAFbsXWSvk1jU/97ZNfb6soaQtn7gsjueOXPm7OxEsOQeo2SSfffPu51uJ9o4IbjkizFklIfMJ1fLJYspJ1Nn4YNBLogPvNsh+ExYHC4BV5rGt17EDdPqdjxatq1GGAVbnyUAh10XVh/yqQWCfkyLOBHhIhC5uOxgoGqc0fsS/N4wDkOg/JmFLwvGXkxrNxs7AVzkbvdeM7zzdCaW0X5uS2cYfePQNeKYJluZjzTsTUOHRisWBkPmxwEVm5GZRc5eFM9uV8du2ISjKeHwzlObKMtGkgLjEWtnecDf3o9H12To+EBdJ2w3foDQYy5hK4K/RFYOXR6KfnV3YPP257h993kwqWymFpZex3SLrP5R7XN//6nqBdxxHCzgAPHHqhxsHZp8hrBB7JLrQUHX6WcjWLBWcp4gYK8Y5p5vICQZF5FiaQI+dp/9ck6PjhTjDh1vxI/mMRHJheuyMaa0Bk7kO35CRg+RkVo5pO+ez0Gk/sTeon4di1g023DbBJzlhpizZoA5+XZJaOz7FgY6XRkNWPYOq5onLWvqOhzSVHm/cl20HsYRZ4HyjquZX7MWP6OF3ECSp1HIx1uRWYXDOboTuSgTpIEWf8Qzq9VoTr4S47eBn7NahdRO9nmNefSmbIoSNWcyw7mo792Z654l+BhWEQj8CP46aj21j+NQXOdyaAg428gFXCvKiUpWEv0Rsni7l4KKJVfNJhgblZKXFruCaCoPhVbFse5N4kCrWWsvLSrBpQrAZOt7fB+ALBJyDb4XeKjP0nERJoXUKohtpTRphe9l5oLrQVI4M7EQNnmMGYcJT9DnMHq19KR95NRnxKok7iAU6n+M8cqCEo9jiDi4v5gngLdnqgGS2o2xRWtljOEtc2nYIs6NR93eLaz4fYyeC4Cjd+zZQi/KvACZ7cnfBcm1hDDlUhx1RZQuA9RKlPXxIXNBqqME96h5C5X9Fi41+djNuUaQqJ8utcaf5rJ/Cpn9JpvZ6JIPKXIcSdvWLXXfsdCVbVzTKuSW6hU6yBoKdFLXYMAvzblpFLta4Wr1i85UvTDL10j/6D3WZMA+OtzuGhnWdhtTpHZ4bM6MVb3rndcpqoXRDFa29mqWvmTjLfdUsVrn/PiI1jfO/wBQSwECLQAUAAIACAA9V25JVcVCUqoAAAD6AAAAEgAAAAAAAAAAAAAAAAAAAAAAQ29uZmlnL1BhY2thZ2UueG1sUEsBAi0AFAACAAgAPVduSQ/K6aukAAAA6QAAABMAAAAAAAAAAAAAAAAA9gAAAFtDb250ZW50X1R5cGVzXS54bWxQSwECLQAUAAIACAA9V25JsuD2Um4DAACfDQAAEwAAAAAAAAAAAAAAAADnAQAARm9ybXVsYXMvU2VjdGlvbjEubVBLBQYAAAAAAwADAMIAAACiBQAAAAA=&quot;" command="SELECT * FROM [Bud DB List]"/>
  </connection>
  <connection id="3" keepAlive="1" name="Query - Est DB List" description="Connection to the 'Est DB List' query in the workbook." type="5" refreshedVersion="5" background="1" saveData="1">
    <dbPr connection="provider=Microsoft.Mashup.OleDb.1;data source=$EmbeddedMashup(abb1de52-d926-4cae-82b5-907ab9c0fc66)$;location=&quot;Est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fZX7qXEDAADIDQAAEwAcAEZvcm11bGFzL1NlY3Rpb24xLm0gohgAKKAUAAAAAAAAAAAAAAAAAAAAAAAAAAAAtVZNb9pAEL0j8R9GrlTZkgXinCZSQmjVJpAPkHJAHAxeghV7F9nrJBb1f+/sGnv9sYaQtj6AtTueefPm7exEZMU9RmGa/Q/Oup1uJ9o4IXHhizFklIfMh8vVisWUw8xZ+sSAc/AJ73YAnymLwxXBlabxrRdxw7S6HY+WbasRRsHWZwkhh10XVh/yqQWCfkwLnAi4CATnFx0MVI0zel8RvzeMw5BQ/sTClyVjL6a1m0+cgJznbvdeM7yLdC6W0X5hS2cYfePQZ8QxS7YyH2nYm4UOjdYsDIbMjwMqNiMzi5x9KJ7dro7dsIGjKXDyzlMblGUjSYHxiLWzOuBv78ejzzB0fEJdJ2w3viehx1xga8A3kZVDV4eiX44PbN7+nLTvPl1NK5uphaXXMd0iq39U+9zff6p6AXcSB0tygPhjVQ62Dk0+RVjE4fqqoKvfLy184qQES9ZK1SMJ2CsGveMbEkLGTKQ4mxIfe9F+OSdLR5ExRscb8dI8NCIfL3A4hpFWfgKj+0jaYsbPhZfUylF993xOBBeP7C0a1OGIRbMNug3EWW3AnGuDLuDbBdDY9y2MdbpaGsjsHVY6T13W2cWQaaq8X7ouWg/jiLNAecfVzK9Zi5+xBTck2WdSKMpbw7zC1wK9iVQA86dKeeKZ1wq0gK9g/Dbwd14rj9rJfq8Rfm/GZqhWcy4TW4jijvuu20/wMawiEPEj8vdh6zl9HIjiOFdCQ77ZRi7fWjFO13GbXH+ELN7uNaGCy1Wzic5GyeQ1xpYhOs59oVtxxHvTOGjTr7WXGZUYUoVhuvU9vo8BywSuie8FHmq1dHqESSG7CmhbqU5a4XeZueD/KimcmVgcGx5ixsmUJ+hzGL1aeiKP8leQrZIYk1CchIcYrzRSonJCIiTiF/ME8PZMNUBSuzHWaK2MCXnLXBq2iHPjUbd3S9b8LkbPBcDRO/Z0oSFlXoDM9uR7QXItIUy5FEddIaXLAuUSZZ19yFwiBVKCe9S8hcpBC5eafOzm3CNI1E+fWuNPczk4hcxBk81stMmHGDmupG3rlroBWejKlq5pH3JL9Q8dZA0FOqlrMIhe3zw3jWJXK1ytftGtRAtROZWvlMHRO63JgH10+N01MqztNqbMU4fLqvD1Uepc1eJpJjBbe19LX7IJl5urWK2Tf3yWGxhnfwBQSwECLQAUAAIACAA9V25JVcVCUqoAAAD6AAAAEgAAAAAAAAAAAAAAAAAAAAAAQ29uZmlnL1BhY2thZ2UueG1sUEsBAi0AFAACAAgAPVduSQ/K6aukAAAA6QAAABMAAAAAAAAAAAAAAAAA9gAAAFtDb250ZW50X1R5cGVzXS54bWxQSwECLQAUAAIACAA9V25JfZX7qXEDAADIDQAAEwAAAAAAAAAAAAAAAADnAQAARm9ybXVsYXMvU2VjdGlvbjEubVBLBQYAAAAAAwADAMIAAAClBQAAAAA=&quot;" command="SELECT * FROM [Est DB List]"/>
  </connection>
</connections>
</file>

<file path=xl/sharedStrings.xml><?xml version="1.0" encoding="utf-8"?>
<sst xmlns="http://schemas.openxmlformats.org/spreadsheetml/2006/main" count="1125" uniqueCount="677">
  <si>
    <t>Product</t>
  </si>
  <si>
    <t>Phrase</t>
  </si>
  <si>
    <t>Description</t>
  </si>
  <si>
    <t>Model</t>
  </si>
  <si>
    <t>Preference</t>
  </si>
  <si>
    <t>Books</t>
  </si>
  <si>
    <t>enable one-to-one initiatives</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</si>
  <si>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</si>
  <si>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Ferrari</t>
  </si>
  <si>
    <t>Male</t>
  </si>
  <si>
    <t>Jewelery</t>
  </si>
  <si>
    <t>leverage viral markets</t>
  </si>
  <si>
    <t>Integer tincidunt ante vel ipsum. Praesent blandit lacinia erat. Vestibulum sed magna at nunc commodo placerat.
Praesent blandit. Nam nulla. Integer pede justo, lacinia eget, tincidunt eget, tempus vel, pede.</t>
  </si>
  <si>
    <t>Ford</t>
  </si>
  <si>
    <t>Music</t>
  </si>
  <si>
    <t>Dodge</t>
  </si>
  <si>
    <t>Female</t>
  </si>
  <si>
    <t>Home</t>
  </si>
  <si>
    <t>e-enable web-enabled channels</t>
  </si>
  <si>
    <t>Duis consequat dui nec nisi volutpat eleifend. Donec ut dolor. Morbi vel lectus in quam fringilla rhoncus.</t>
  </si>
  <si>
    <t>Mazda</t>
  </si>
  <si>
    <t>Computers</t>
  </si>
  <si>
    <t>Honda</t>
  </si>
  <si>
    <t>Automotive</t>
  </si>
  <si>
    <t>Pontiac</t>
  </si>
  <si>
    <t>Kids</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</si>
  <si>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</si>
  <si>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Mercedes-Benz</t>
  </si>
  <si>
    <t>Electronics</t>
  </si>
  <si>
    <t>Lexus</t>
  </si>
  <si>
    <t>Clothing</t>
  </si>
  <si>
    <t>Toyota</t>
  </si>
  <si>
    <t>Beauty</t>
  </si>
  <si>
    <t>facilitate user-centric paradigms</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</si>
  <si>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</si>
  <si>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Chevrolet</t>
  </si>
  <si>
    <t>Movies</t>
  </si>
  <si>
    <t>Jeep</t>
  </si>
  <si>
    <t>Sports</t>
  </si>
  <si>
    <t>exploit frictionless paradigms</t>
  </si>
  <si>
    <t>Curabitur gravida nisi at nibh. In hac habitasse platea dictumst. Aliquam augue quam, sollicitudin vitae, consectetuer eget, rutrum at, lorem.</t>
  </si>
  <si>
    <t>Hummer</t>
  </si>
  <si>
    <t>Toys</t>
  </si>
  <si>
    <t>enhance holistic e-business</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</si>
  <si>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</si>
  <si>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Mitsubishi</t>
  </si>
  <si>
    <t>Shoes</t>
  </si>
  <si>
    <t>exploit collaborative functionalities</t>
  </si>
  <si>
    <t>Mauris enim leo, rhoncus sed, vestibulum sit amet, cursus id, turpis. Integer aliquet, massa id lobortis convallis, tortor risus dapibus augue, vel accumsan tellus nisi eu orci. Mauris lacinia sapien quis libero.</t>
  </si>
  <si>
    <t>Nissan</t>
  </si>
  <si>
    <t>Tools</t>
  </si>
  <si>
    <t>incentivize impactful eyeballs</t>
  </si>
  <si>
    <t>Vestibulum ac est lacinia nisi venenatis tristique. Fusce congue, diam id ornare imperdiet, sapien urna pretium nisl, ut volutpat sapien arcu sed augue. Aliquam erat volutpat.</t>
  </si>
  <si>
    <t>GMC</t>
  </si>
  <si>
    <t>Games</t>
  </si>
  <si>
    <t>unleash sexy supply-chains</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</si>
  <si>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</si>
  <si>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Buick</t>
  </si>
  <si>
    <t>Garden</t>
  </si>
  <si>
    <t>repurpose killer applications</t>
  </si>
  <si>
    <t>Phasellus sit amet erat. Nulla tempus. Vivamus in felis eu sapien cursus vestibulum.</t>
  </si>
  <si>
    <t>Volkswagen</t>
  </si>
  <si>
    <t>Baby</t>
  </si>
  <si>
    <t>cultivate dot-com vortals</t>
  </si>
  <si>
    <t>Morbi porttitor lorem id ligula. Suspendisse ornare consequat lectus. In est risus, auctor sed, tristique in, tempus sit amet, sem.
Fusce consequat. Nulla nisl. Nunc nisl.</t>
  </si>
  <si>
    <t>Mercury</t>
  </si>
  <si>
    <t>Outdoors</t>
  </si>
  <si>
    <t>synergize sexy portals</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</si>
  <si>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</si>
  <si>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Isuzu</t>
  </si>
  <si>
    <t>Grocery</t>
  </si>
  <si>
    <t>deliver extensible convergence</t>
  </si>
  <si>
    <t>Oldsmobile</t>
  </si>
  <si>
    <t>Industrial</t>
  </si>
  <si>
    <t>optimize value-added functionalities</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</si>
  <si>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</si>
  <si>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Lincoln</t>
  </si>
  <si>
    <t>Health</t>
  </si>
  <si>
    <t>facilitate killer solutions</t>
  </si>
  <si>
    <t>Etiam vel augue. Vestibulum rutrum rutrum neque. Aenean auctor gravida sem.
Praesent id massa id nisl venenatis lacinia. Aenean sit amet justo. Morbi ut odio.</t>
  </si>
  <si>
    <t>Subaru</t>
  </si>
  <si>
    <t>mesh turn-key eyeballs</t>
  </si>
  <si>
    <t>Proin leo odio, porttitor id, consequat in, consequat ut, nulla. Sed accumsan felis. Ut at dolor quis odio consequat varius.
Integer ac leo. Pellentesque ultrices mattis odio. Donec vitae nisi.</t>
  </si>
  <si>
    <t>BMW</t>
  </si>
  <si>
    <t>revolutionize open-source infrastructures</t>
  </si>
  <si>
    <t>Vestibulum ac est lacinia nisi venenatis tristique. Fusce congue, diam id ornare imperdiet, sapien urna pretium nisl, ut volutpat sapien arcu sed augue. Aliquam erat volutpat.
In congue. Etiam justo. Etiam pretium iaculis justo.</t>
  </si>
  <si>
    <t>Cadillac</t>
  </si>
  <si>
    <t>envisioneer integrated communities</t>
  </si>
  <si>
    <t>Volvo</t>
  </si>
  <si>
    <t>deploy web-enabled deliverables</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</si>
  <si>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</si>
  <si>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MINI</t>
  </si>
  <si>
    <t>whiteboard mission-critical relationships</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</si>
  <si>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</si>
  <si>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Acura</t>
  </si>
  <si>
    <t>implement frictionless bandwidth</t>
  </si>
  <si>
    <t>Fusce posuere felis sed lacus. Morbi sem mauris, laoreet ut, rhoncus aliquet, pulvinar sed, nisl. Nunc rhoncus dui vel sem.</t>
  </si>
  <si>
    <t>Suzuki</t>
  </si>
  <si>
    <t>cultivate e-business web services</t>
  </si>
  <si>
    <t>Proin interdum mauris non ligula pellentesque ultrices. Phasellus id sapien in sapien iaculis congue. Vivamus metus arcu, adipiscing molestie, hendrerit at, vulputate vitae, nisl.
Aenean lectus. Pellentesque eget nunc. Donec quis orci eget orci vehicula condimentum.</t>
  </si>
  <si>
    <t>Audi</t>
  </si>
  <si>
    <t>drive bleeding-edge functionalities</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</si>
  <si>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</si>
  <si>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Land Rover</t>
  </si>
  <si>
    <t>deploy dynamic users</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</si>
  <si>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</si>
  <si>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Scion</t>
  </si>
  <si>
    <t>target e-business channels</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</si>
  <si>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</si>
  <si>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Hyundai</t>
  </si>
  <si>
    <t>whiteboard turn-key architectures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</si>
  <si>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</si>
  <si>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Lamborghini</t>
  </si>
  <si>
    <t>incentivize out-of-the-box markets</t>
  </si>
  <si>
    <t>Pellentesque at nulla. Suspendisse potenti. Cras in purus eu magna vulputate luctus.</t>
  </si>
  <si>
    <t>morph back-end deliverables</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</si>
  <si>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</si>
  <si>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benchmark efficient niches</t>
  </si>
  <si>
    <t>monetize wireless experiences</t>
  </si>
  <si>
    <t>Fusce consequat. Nulla nisl. Nunc nisl.
Duis bibendum, felis sed interdum venenatis, turpis enim blandit mi, in porttitor pede justo eu massa. Donec dapibus. Duis at velit eu est congue elementum.</t>
  </si>
  <si>
    <t>revolutionize seamless networks</t>
  </si>
  <si>
    <t>deploy 24/7 relationships</t>
  </si>
  <si>
    <t>maximize 24/365 mindshare</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</si>
  <si>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</si>
  <si>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enhance proactive supply-chains</t>
  </si>
  <si>
    <t>Integer tincidunt ante vel ipsum. Praesent blandit lacinia erat. Vestibulum sed magna at nunc commodo placerat.</t>
  </si>
  <si>
    <t>unleash virtual e-commerce</t>
  </si>
  <si>
    <t>Nullam porttitor lacus at turpis. Donec posuere metus vitae ipsum. Aliquam non mauris.
Morbi non lectus. Aliquam sit amet diam in magna bibendum imperdiet. Nullam orci pede, venenatis non, sodales sed, tincidunt eu, felis.</t>
  </si>
  <si>
    <t>integrate world-class bandwidth</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</si>
  <si>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</si>
  <si>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aggregate bricks-and-clicks bandwidth</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</si>
  <si>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</si>
  <si>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iterate sexy ROI</t>
  </si>
  <si>
    <t>seize efficient functionalities</t>
  </si>
  <si>
    <t>In sagittis dui vel nisl. Duis ac nibh. Fusce lacus purus, aliquet at, feugiat non, pretium quis, lectus.
Suspendisse potenti. In eleifend quam a odio. In hac habitasse platea dictumst.</t>
  </si>
  <si>
    <t>brand viral ROI</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</si>
  <si>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</si>
  <si>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matrix visionary action-items</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</si>
  <si>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</si>
  <si>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reinvent compelling vortals</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</si>
  <si>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</si>
  <si>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empower visionary synergies</t>
  </si>
  <si>
    <t>evolve back-end e-services</t>
  </si>
  <si>
    <t>aggregate wireless markets</t>
  </si>
  <si>
    <t>integrate impactful infrastructures</t>
  </si>
  <si>
    <t>syndicate e-business functionalities</t>
  </si>
  <si>
    <t>In hac habitasse platea dictumst. Morbi vestibulum, velit id pretium iaculis, diam erat fermentum justo, nec condimentum neque sapien placerat ante. Nulla justo.
Aliquam quis turpis eget elit sodales scelerisque. Mauris sit amet eros. Suspendisse accumsan tortor quis turpis.</t>
  </si>
  <si>
    <t>integrate back-end applications</t>
  </si>
  <si>
    <t>Quisque porta volutpat erat. Quisque erat eros, viverra eget, congue eget, semper rutrum, nulla. Nunc purus.</t>
  </si>
  <si>
    <t>redefine seamless e-tailers</t>
  </si>
  <si>
    <t>Lorem ipsum dolor sit amet, consectetuer adipiscing elit. Proin risus. Praesent lectus.</t>
  </si>
  <si>
    <t>enable holistic infrastructures</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</si>
  <si>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</si>
  <si>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envisioneer B2C experiences</t>
  </si>
  <si>
    <t>Fusce consequat. Nulla nisl. Nunc nisl.</t>
  </si>
  <si>
    <t>extend end-to-end deliverables</t>
  </si>
  <si>
    <t>incentivize cutting-edge functionalities</t>
  </si>
  <si>
    <t>target granular functionalities</t>
  </si>
  <si>
    <t>recontextualize end-to-end initiatives</t>
  </si>
  <si>
    <t>Suspendisse potenti. In eleifend quam a odio. In hac habitasse platea dictumst.
Maecenas ut massa quis augue luctus tincidunt. Nulla mollis molestie lorem. Quisque ut erat.</t>
  </si>
  <si>
    <t>cultivate back-end bandwidth</t>
  </si>
  <si>
    <t>utilize real-time models</t>
  </si>
  <si>
    <t>matrix viral systems</t>
  </si>
  <si>
    <t>synergize killer platforms</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</si>
  <si>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</si>
  <si>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disintermediate best-of-breed schemas</t>
  </si>
  <si>
    <t>iterate strategic deliverables</t>
  </si>
  <si>
    <t>Morbi porttitor lorem id ligula. Suspendisse ornare consequat lectus. In est risus, auctor sed, tristique in, tempus sit amet, sem.</t>
  </si>
  <si>
    <t>engineer compelling functionalities</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</si>
  <si>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</si>
  <si>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expedite leading-edge e-business</t>
  </si>
  <si>
    <t>syndicate cross-platform interfaces</t>
  </si>
  <si>
    <t>Nullam sit amet turpis elementum ligula vehicula consequat. Morbi a ipsum. Integer a nibh.</t>
  </si>
  <si>
    <t>scale visionary metrics</t>
  </si>
  <si>
    <t>drive B2C metrics</t>
  </si>
  <si>
    <t>Nulla ut erat id mauris vulputate elementum. Nullam varius. Nulla facilisi.</t>
  </si>
  <si>
    <t>reinvent enterprise convergence</t>
  </si>
  <si>
    <t>Nullam porttitor lacus at turpis. Donec posuere metus vitae ipsum. Aliquam non mauris.</t>
  </si>
  <si>
    <t>unleash global niches</t>
  </si>
  <si>
    <t>exploit one-to-one e-tailers</t>
  </si>
  <si>
    <t>Vestibulum quam sapien, varius ut, blandit non, interdum in, ante. Vestibulum ante ipsum primis in faucibus orci luctus et ultrices posuere cubilia Curae; Duis faucibus accumsan odio. Curabitur convallis.</t>
  </si>
  <si>
    <t>disintermediate out-of-the-box e-markets</t>
  </si>
  <si>
    <t>seize killer niches</t>
  </si>
  <si>
    <t>Maecenas tristique, est et tempus semper, est quam pharetra magna, ac consequat metus sapien ut nunc. Vestibulum ante ipsum primis in faucibus orci luctus et ultrices posuere cubilia Curae; Mauris viverra diam vitae quam. Suspendisse potenti.</t>
  </si>
  <si>
    <t>revolutionize magnetic communities</t>
  </si>
  <si>
    <t>engineer world-class infrastructures</t>
  </si>
  <si>
    <t>Phasellus in felis. Donec semper sapien a libero. Nam dui.
Proin leo odio, porttitor id, consequat in, consequat ut, nulla. Sed accumsan felis. Ut at dolor quis odio consequat varius.</t>
  </si>
  <si>
    <t>morph transparent deliverables</t>
  </si>
  <si>
    <t>Phasellus in felis. Donec semper sapien a libero. Nam dui.</t>
  </si>
  <si>
    <t>unleash one-to-one technologies</t>
  </si>
  <si>
    <t>Quisque id justo sit amet sapien dignissim vestibulum. Vestibulum ante ipsum primis in faucibus orci luctus et ultrices posuere cubilia Curae; Nulla dapibus dolor vel est. Donec odio justo, sollicitudin ut, suscipit a, feugiat et, eros.</t>
  </si>
  <si>
    <t>strategize killer partnerships</t>
  </si>
  <si>
    <t>Praesent blandit. Nam nulla. Integer pede justo, lacinia eget, tincidunt eget, tempus vel, pede.
Morbi porttitor lorem id ligula. Suspendisse ornare consequat lectus. In est risus, auctor sed, tristique in, tempus sit amet, sem.
Fusce consequat. Nulla nisl. Nunc nisl.</t>
  </si>
  <si>
    <t>syndicate enterprise experiences</t>
  </si>
  <si>
    <t>Praesent blandit. Nam nulla. Integer pede justo, lacinia eget, tincidunt eget, tempus vel, pede.
Morbi porttitor lorem id ligula. Suspendisse ornare consequat lectus. In est risus, auctor sed, tristique in, tempus sit amet, sem.</t>
  </si>
  <si>
    <t>deliver strategic communities</t>
  </si>
  <si>
    <t>optimize out-of-the-box bandwidth</t>
  </si>
  <si>
    <t>grow value-added deliverables</t>
  </si>
  <si>
    <t>enable magnetic applications</t>
  </si>
  <si>
    <t>expedite value-added applications</t>
  </si>
  <si>
    <t>e-enable robust convergence</t>
  </si>
  <si>
    <t>unleash e-business content</t>
  </si>
  <si>
    <t>Cum sociis natoque penatibus et magnis dis parturient montes, nascetur ridiculus mus. Vivamus vestibulum sagittis sapien. Cum sociis natoque penatibus et magnis dis parturient montes, nascetur ridiculus mus.</t>
  </si>
  <si>
    <t>streamline 24/365 bandwidth</t>
  </si>
  <si>
    <t>Aliquam quis turpis eget elit sodales scelerisque. Mauris sit amet eros. Suspendisse accumsan tortor quis turpis._x000D_
_x000D_
Sed ante. Vivamus tortor. Duis mattis egestas metus._x000D_
_x000D_
Aenean fermentum. Donec ut mauris eget massa tempor convallis. Nulla neque libero, convallis eget, eleifend luctus, ultricies eu, nibh.</t>
  </si>
  <si>
    <t>Integer tincidunt ante vel ipsum. Praesent blandit lacinia erat. Vestibulum sed magna at nunc commodo placerat._x000D_
_x000D_
Praesent blandit. Nam nulla. Integer pede justo, lacinia eget, tincidunt eget, tempus vel, pede.</t>
  </si>
  <si>
    <t>[Color 0]</t>
  </si>
  <si>
    <t>#FFFFFF#FFFFFF</t>
  </si>
  <si>
    <t>[Color 0)</t>
  </si>
  <si>
    <t>[Color 1]</t>
  </si>
  <si>
    <t>#000000#000000</t>
  </si>
  <si>
    <t>[Color 1)</t>
  </si>
  <si>
    <t>[Color 2]</t>
  </si>
  <si>
    <t>[Color 2)</t>
  </si>
  <si>
    <t>[Color 3]</t>
  </si>
  <si>
    <t>#FF0000#FF0000</t>
  </si>
  <si>
    <t>[Color 3)</t>
  </si>
  <si>
    <t>[Color 4]</t>
  </si>
  <si>
    <t>#00FF00#00FF00</t>
  </si>
  <si>
    <t>[Color 4)</t>
  </si>
  <si>
    <t>[Color 5]</t>
  </si>
  <si>
    <t>#0000FF#0000FF</t>
  </si>
  <si>
    <t>[Color 5)</t>
  </si>
  <si>
    <t>[Color 6]</t>
  </si>
  <si>
    <t>#FFFF00#FFFF00</t>
  </si>
  <si>
    <t>[Color 6)</t>
  </si>
  <si>
    <t>[Color 7]</t>
  </si>
  <si>
    <t>#FF00FF#FF00FF</t>
  </si>
  <si>
    <t>[Color 7)</t>
  </si>
  <si>
    <t>[Color 8]</t>
  </si>
  <si>
    <t>#00FFFF#00FFFF</t>
  </si>
  <si>
    <t>[Color 8)</t>
  </si>
  <si>
    <t>[Color 9]</t>
  </si>
  <si>
    <t>#800000#800000</t>
  </si>
  <si>
    <t>[Color 9)</t>
  </si>
  <si>
    <t>[Color 10]</t>
  </si>
  <si>
    <t>#008000#008000</t>
  </si>
  <si>
    <t>[Color 10)</t>
  </si>
  <si>
    <t>[Color 11]</t>
  </si>
  <si>
    <t>#000080#000080</t>
  </si>
  <si>
    <t>[Color 11)</t>
  </si>
  <si>
    <t>[Color 12]</t>
  </si>
  <si>
    <t>#808000#808000</t>
  </si>
  <si>
    <t>[Color 12)</t>
  </si>
  <si>
    <t>[Color 13]</t>
  </si>
  <si>
    <t>#800080#800080</t>
  </si>
  <si>
    <t>[Color 13)</t>
  </si>
  <si>
    <t>[Color 14]</t>
  </si>
  <si>
    <t>#008080#008080</t>
  </si>
  <si>
    <t>[Color 14)</t>
  </si>
  <si>
    <t>[Color 15]</t>
  </si>
  <si>
    <t>#C0C0C0#C0C0C0</t>
  </si>
  <si>
    <t>[Color 15)</t>
  </si>
  <si>
    <t>[Color 16]</t>
  </si>
  <si>
    <t>#808080#808080</t>
  </si>
  <si>
    <t>[Color 16)</t>
  </si>
  <si>
    <t>[Color 17]</t>
  </si>
  <si>
    <t>#9999FF#9999FF</t>
  </si>
  <si>
    <t>[Color 17)</t>
  </si>
  <si>
    <t>[Color 18]</t>
  </si>
  <si>
    <t>#993366#993366</t>
  </si>
  <si>
    <t>[Color 18)</t>
  </si>
  <si>
    <t>[Color 19]</t>
  </si>
  <si>
    <t>#FFFFCC#FFFFCC</t>
  </si>
  <si>
    <t>[Color 19)</t>
  </si>
  <si>
    <t>[Color 20]</t>
  </si>
  <si>
    <t>#CCFFFF#CCFFFF</t>
  </si>
  <si>
    <t>[Color 20)</t>
  </si>
  <si>
    <t>[Color 21]</t>
  </si>
  <si>
    <t>#660066#660066</t>
  </si>
  <si>
    <t>[Color 21)</t>
  </si>
  <si>
    <t>[Color 22]</t>
  </si>
  <si>
    <t>#FF8080#FF8080</t>
  </si>
  <si>
    <t>[Color 22)</t>
  </si>
  <si>
    <t>[Color 23]</t>
  </si>
  <si>
    <t>#0066CC#0066CC</t>
  </si>
  <si>
    <t>[Color 23)</t>
  </si>
  <si>
    <t>[Color 24]</t>
  </si>
  <si>
    <t>#CCCCFF#CCCCFF</t>
  </si>
  <si>
    <t>[Color 24)</t>
  </si>
  <si>
    <t>[Color 25]</t>
  </si>
  <si>
    <t>[Color 25)</t>
  </si>
  <si>
    <t>[Color 26]</t>
  </si>
  <si>
    <t>[Color 26)</t>
  </si>
  <si>
    <t>[Color 27]</t>
  </si>
  <si>
    <t>[Color 27)</t>
  </si>
  <si>
    <t>[Color 28]</t>
  </si>
  <si>
    <t>[Color 28)</t>
  </si>
  <si>
    <t>[Color 29]</t>
  </si>
  <si>
    <t>[Color 29)</t>
  </si>
  <si>
    <t>[Color 30]</t>
  </si>
  <si>
    <t>[Color 30)</t>
  </si>
  <si>
    <t>[Color 31]</t>
  </si>
  <si>
    <t>[Color 31)</t>
  </si>
  <si>
    <t>[Color 32]</t>
  </si>
  <si>
    <t>[Color 32)</t>
  </si>
  <si>
    <t>[Color 33]</t>
  </si>
  <si>
    <t>#00CCFF#00CCFF</t>
  </si>
  <si>
    <t>[Color 33)</t>
  </si>
  <si>
    <t>[Color 34]</t>
  </si>
  <si>
    <t>[Color 34)</t>
  </si>
  <si>
    <t>[Color 35]</t>
  </si>
  <si>
    <t>#CCFFCC#CCFFCC</t>
  </si>
  <si>
    <t>[Color 35)</t>
  </si>
  <si>
    <t>[Color 36]</t>
  </si>
  <si>
    <t>#FFFF99#FFFF99</t>
  </si>
  <si>
    <t>[Color 36)</t>
  </si>
  <si>
    <t>[Color 37]</t>
  </si>
  <si>
    <t>#99CCFF#99CCFF</t>
  </si>
  <si>
    <t>[Color 37)</t>
  </si>
  <si>
    <t>[Color 38]</t>
  </si>
  <si>
    <t>#FF99CC#FF99CC</t>
  </si>
  <si>
    <t>[Color 38)</t>
  </si>
  <si>
    <t>[Color 39]</t>
  </si>
  <si>
    <t>#CC99FF#CC99FF</t>
  </si>
  <si>
    <t>[Color 39)</t>
  </si>
  <si>
    <t>[Color 40]</t>
  </si>
  <si>
    <t>#FFCC99#FFCC99</t>
  </si>
  <si>
    <t>[Color 40)</t>
  </si>
  <si>
    <t>[Color 41]</t>
  </si>
  <si>
    <t>#3366FF#3366FF</t>
  </si>
  <si>
    <t>[Color 41)</t>
  </si>
  <si>
    <t>[Color 42]</t>
  </si>
  <si>
    <t>#33CCCC#33CCCC</t>
  </si>
  <si>
    <t>[Color 42)</t>
  </si>
  <si>
    <t>[Color 43]</t>
  </si>
  <si>
    <t>#99CC00#99CC00</t>
  </si>
  <si>
    <t>[Color 43)</t>
  </si>
  <si>
    <t>[Color 44]</t>
  </si>
  <si>
    <t>#FFCC00#FFCC00</t>
  </si>
  <si>
    <t>[Color 44)</t>
  </si>
  <si>
    <t>[Color 45]</t>
  </si>
  <si>
    <t>#FF9900#FF9900</t>
  </si>
  <si>
    <t>[Color 45)</t>
  </si>
  <si>
    <t>[Color 46]</t>
  </si>
  <si>
    <t>#FF6600#FF6600</t>
  </si>
  <si>
    <t>[Color 46)</t>
  </si>
  <si>
    <t>[Color 47]</t>
  </si>
  <si>
    <t>#666699#666699</t>
  </si>
  <si>
    <t>[Color 47)</t>
  </si>
  <si>
    <t>[Color 48]</t>
  </si>
  <si>
    <t>#969696#969696</t>
  </si>
  <si>
    <t>[Color 48)</t>
  </si>
  <si>
    <t>[Color 49]</t>
  </si>
  <si>
    <t>#003366#003366</t>
  </si>
  <si>
    <t>[Color 49)</t>
  </si>
  <si>
    <t>[Color 50]</t>
  </si>
  <si>
    <t>#339966#339966</t>
  </si>
  <si>
    <t>[Color 50)</t>
  </si>
  <si>
    <t>[Color 51]</t>
  </si>
  <si>
    <t>#003300#003300</t>
  </si>
  <si>
    <t>[Color 51)</t>
  </si>
  <si>
    <t>[Color 52]</t>
  </si>
  <si>
    <t>#333300#333300</t>
  </si>
  <si>
    <t>[Color 52)</t>
  </si>
  <si>
    <t>[Color 53]</t>
  </si>
  <si>
    <t>#993300#993300</t>
  </si>
  <si>
    <t>[Color 53)</t>
  </si>
  <si>
    <t>[Color 54]</t>
  </si>
  <si>
    <t>[Color 54)</t>
  </si>
  <si>
    <t>[Color 55]</t>
  </si>
  <si>
    <t>#333399#333399</t>
  </si>
  <si>
    <t>[Color 55)</t>
  </si>
  <si>
    <t>[Color 56]</t>
  </si>
  <si>
    <t>#333333#333333</t>
  </si>
  <si>
    <t>[Color 56)</t>
  </si>
  <si>
    <t>interior</t>
  </si>
  <si>
    <t>font</t>
  </si>
  <si>
    <t>red</t>
  </si>
  <si>
    <t>green</t>
  </si>
  <si>
    <t>blue</t>
  </si>
  <si>
    <t>rleadbeater2r@elegantthemes.com</t>
  </si>
  <si>
    <t>Leadbeater</t>
  </si>
  <si>
    <t>Riki</t>
  </si>
  <si>
    <t>fmartinello2q@google.com.br</t>
  </si>
  <si>
    <t>Martinello</t>
  </si>
  <si>
    <t>Ferdinanda</t>
  </si>
  <si>
    <t>qbozworth2p@netvibes.com</t>
  </si>
  <si>
    <t>Bozworth</t>
  </si>
  <si>
    <t>Quent</t>
  </si>
  <si>
    <t>rcasari2o@tinypic.com</t>
  </si>
  <si>
    <t>Casari</t>
  </si>
  <si>
    <t>Renado</t>
  </si>
  <si>
    <t>spitkeathley2n@wikia.com</t>
  </si>
  <si>
    <t>Pitkeathley</t>
  </si>
  <si>
    <t>Sal</t>
  </si>
  <si>
    <t>bpagett2m@freewebs.com</t>
  </si>
  <si>
    <t>Pagett</t>
  </si>
  <si>
    <t>Blinnie</t>
  </si>
  <si>
    <t>kroo2l@nhs.uk</t>
  </si>
  <si>
    <t>Roo</t>
  </si>
  <si>
    <t>Kip</t>
  </si>
  <si>
    <t>cmillbank2k@uiuc.edu</t>
  </si>
  <si>
    <t>Millbank</t>
  </si>
  <si>
    <t>Carlota</t>
  </si>
  <si>
    <t>fmapledoore2j@scientificamerican.com</t>
  </si>
  <si>
    <t>Mapledoore</t>
  </si>
  <si>
    <t>Foster</t>
  </si>
  <si>
    <t>lspender2i@forbes.com</t>
  </si>
  <si>
    <t>Spender</t>
  </si>
  <si>
    <t>Lexis</t>
  </si>
  <si>
    <t>btomlett2h@goodreads.com</t>
  </si>
  <si>
    <t>Tomlett</t>
  </si>
  <si>
    <t>Bobbee</t>
  </si>
  <si>
    <t>rhugle2g@studiopress.com</t>
  </si>
  <si>
    <t>Hugle</t>
  </si>
  <si>
    <t>Renaud</t>
  </si>
  <si>
    <t>memslie2f@china.com.cn</t>
  </si>
  <si>
    <t>Emslie</t>
  </si>
  <si>
    <t>Minnie</t>
  </si>
  <si>
    <t>scaudrey2e@washingtonpost.com</t>
  </si>
  <si>
    <t>Caudrey</t>
  </si>
  <si>
    <t>Slade</t>
  </si>
  <si>
    <t>rwelds2d@answers.com</t>
  </si>
  <si>
    <t>Welds</t>
  </si>
  <si>
    <t>Rogers</t>
  </si>
  <si>
    <t>pgundrey2c@epa.gov</t>
  </si>
  <si>
    <t>Gundrey</t>
  </si>
  <si>
    <t>Prudy</t>
  </si>
  <si>
    <t>cllywarch2b@shop-pro.jp</t>
  </si>
  <si>
    <t>Llywarch</t>
  </si>
  <si>
    <t>Cindy</t>
  </si>
  <si>
    <t>mciementini2a@earthlink.net</t>
  </si>
  <si>
    <t>Ciementini</t>
  </si>
  <si>
    <t>Marylin</t>
  </si>
  <si>
    <t>mmay29@nbcnews.com</t>
  </si>
  <si>
    <t>May</t>
  </si>
  <si>
    <t>Marylou</t>
  </si>
  <si>
    <t>bmilberry28@webmd.com</t>
  </si>
  <si>
    <t>Milberry</t>
  </si>
  <si>
    <t>Bruce</t>
  </si>
  <si>
    <t>cfullegar27@pinterest.com</t>
  </si>
  <si>
    <t>Fullegar</t>
  </si>
  <si>
    <t>Corney</t>
  </si>
  <si>
    <t>eszabo26@cdbaby.com</t>
  </si>
  <si>
    <t>Szabo</t>
  </si>
  <si>
    <t>Emmeline</t>
  </si>
  <si>
    <t>bwhithalgh25@sphinn.com</t>
  </si>
  <si>
    <t>Whithalgh</t>
  </si>
  <si>
    <t>Barde</t>
  </si>
  <si>
    <t>eshearwood24@desdev.cn</t>
  </si>
  <si>
    <t>Shearwood</t>
  </si>
  <si>
    <t>Evania</t>
  </si>
  <si>
    <t>kveevers23@hao123.com</t>
  </si>
  <si>
    <t>Veevers</t>
  </si>
  <si>
    <t>Konstanze</t>
  </si>
  <si>
    <t>jkingswood22@hao123.com</t>
  </si>
  <si>
    <t>Kingswood</t>
  </si>
  <si>
    <t>Joane</t>
  </si>
  <si>
    <t>rgrahlman21@cornell.edu</t>
  </si>
  <si>
    <t>Grahlman</t>
  </si>
  <si>
    <t>Rouvin</t>
  </si>
  <si>
    <t>socorrigane20@alexa.com</t>
  </si>
  <si>
    <t>O'Corrigane</t>
  </si>
  <si>
    <t>Shannen</t>
  </si>
  <si>
    <t>wcabrales1z@mozilla.org</t>
  </si>
  <si>
    <t>Cabrales</t>
  </si>
  <si>
    <t>Willette</t>
  </si>
  <si>
    <t>bspeller1y@fc2.com</t>
  </si>
  <si>
    <t>Speller</t>
  </si>
  <si>
    <t>Bernadene</t>
  </si>
  <si>
    <t>jchesley1x@google.com.hk</t>
  </si>
  <si>
    <t>Chesley</t>
  </si>
  <si>
    <t>Jenica</t>
  </si>
  <si>
    <t>mkennham1w@clickbank.net</t>
  </si>
  <si>
    <t>Kennham</t>
  </si>
  <si>
    <t>Morgen</t>
  </si>
  <si>
    <t>irenard1v@privacy.gov.au</t>
  </si>
  <si>
    <t>Renard</t>
  </si>
  <si>
    <t>Ingrid</t>
  </si>
  <si>
    <t>bestable1u@army.mil</t>
  </si>
  <si>
    <t>Estable</t>
  </si>
  <si>
    <t>Barry</t>
  </si>
  <si>
    <t>ischneidar1t@europa.eu</t>
  </si>
  <si>
    <t>Schneidar</t>
  </si>
  <si>
    <t>Ivonne</t>
  </si>
  <si>
    <t>prove1s@apache.org</t>
  </si>
  <si>
    <t>Rove</t>
  </si>
  <si>
    <t>Peta</t>
  </si>
  <si>
    <t>tharder1r@china.com.cn</t>
  </si>
  <si>
    <t>Harder</t>
  </si>
  <si>
    <t>Tamma</t>
  </si>
  <si>
    <t>ybenko1q@businessweek.com</t>
  </si>
  <si>
    <t>Benko</t>
  </si>
  <si>
    <t>Yasmin</t>
  </si>
  <si>
    <t>mruvel1p@weibo.com</t>
  </si>
  <si>
    <t>Ruvel</t>
  </si>
  <si>
    <t>Mac</t>
  </si>
  <si>
    <t>bglading1o@desdev.cn</t>
  </si>
  <si>
    <t>Glading</t>
  </si>
  <si>
    <t>Benedikta</t>
  </si>
  <si>
    <t>sdowsey1n@ameblo.jp</t>
  </si>
  <si>
    <t>Dowsey</t>
  </si>
  <si>
    <t>Stacey</t>
  </si>
  <si>
    <t>gduffan1m@oaic.gov.au</t>
  </si>
  <si>
    <t>Duffan</t>
  </si>
  <si>
    <t>Guenna</t>
  </si>
  <si>
    <t>dcliburn1l@accuweather.com</t>
  </si>
  <si>
    <t>Cliburn</t>
  </si>
  <si>
    <t>Des</t>
  </si>
  <si>
    <t>wleonard1k@psu.edu</t>
  </si>
  <si>
    <t>Leonard</t>
  </si>
  <si>
    <t>Wadsworth</t>
  </si>
  <si>
    <t>flarking1j@dedecms.com</t>
  </si>
  <si>
    <t>Larking</t>
  </si>
  <si>
    <t>Fayette</t>
  </si>
  <si>
    <t>rmacsherry1i@hud.gov</t>
  </si>
  <si>
    <t>MacSherry</t>
  </si>
  <si>
    <t>Row</t>
  </si>
  <si>
    <t>cbaxter1h@flickr.com</t>
  </si>
  <si>
    <t>Baxter</t>
  </si>
  <si>
    <t>Costanza</t>
  </si>
  <si>
    <t>smagauran1g@imdb.com</t>
  </si>
  <si>
    <t>Magauran</t>
  </si>
  <si>
    <t>Saidee</t>
  </si>
  <si>
    <t>lraffles1f@engadget.com</t>
  </si>
  <si>
    <t>Raffles</t>
  </si>
  <si>
    <t>Laughton</t>
  </si>
  <si>
    <t>acheel1e@ca.gov</t>
  </si>
  <si>
    <t>Cheel</t>
  </si>
  <si>
    <t>Adelbert</t>
  </si>
  <si>
    <t>agrundwater1d@gov.uk</t>
  </si>
  <si>
    <t>Grundwater</t>
  </si>
  <si>
    <t>Ashil</t>
  </si>
  <si>
    <t>fruddy1c@posterous.com</t>
  </si>
  <si>
    <t>Ruddy</t>
  </si>
  <si>
    <t>Frank</t>
  </si>
  <si>
    <t>mnormant1b@webnode.com</t>
  </si>
  <si>
    <t>Normant</t>
  </si>
  <si>
    <t>Maren</t>
  </si>
  <si>
    <t>gfranzettoini1a@chronoengine.com</t>
  </si>
  <si>
    <t>Franzettoini</t>
  </si>
  <si>
    <t>Garner</t>
  </si>
  <si>
    <t>twilcot19@opera.com</t>
  </si>
  <si>
    <t>Wilcot</t>
  </si>
  <si>
    <t>Terza</t>
  </si>
  <si>
    <t>olaird18@opera.com</t>
  </si>
  <si>
    <t>Laird</t>
  </si>
  <si>
    <t>Onfroi</t>
  </si>
  <si>
    <t>sszapiro17@slate.com</t>
  </si>
  <si>
    <t>Szapiro</t>
  </si>
  <si>
    <t>Shoshana</t>
  </si>
  <si>
    <t>sgatling16@ed.gov</t>
  </si>
  <si>
    <t>Gatling</t>
  </si>
  <si>
    <t>Sonya</t>
  </si>
  <si>
    <t>awestphal15@go.com</t>
  </si>
  <si>
    <t>Westphal</t>
  </si>
  <si>
    <t>Arney</t>
  </si>
  <si>
    <t>etommei14@sogou.com</t>
  </si>
  <si>
    <t>Tommei</t>
  </si>
  <si>
    <t>Emmaline</t>
  </si>
  <si>
    <t>sedmeads13@ucsd.edu</t>
  </si>
  <si>
    <t>Edmeads</t>
  </si>
  <si>
    <t>Shaine</t>
  </si>
  <si>
    <t>llaurentin12@gov.uk</t>
  </si>
  <si>
    <t>Laurentin</t>
  </si>
  <si>
    <t>Luz</t>
  </si>
  <si>
    <t>ckeoghane11@discuz.net</t>
  </si>
  <si>
    <t>Keoghane</t>
  </si>
  <si>
    <t>Claiborne</t>
  </si>
  <si>
    <t>trouzet10@mashable.com</t>
  </si>
  <si>
    <t>Rouzet</t>
  </si>
  <si>
    <t>Tammi</t>
  </si>
  <si>
    <t>skevisz@youtu.be</t>
  </si>
  <si>
    <t>Kevis</t>
  </si>
  <si>
    <t>Saraann</t>
  </si>
  <si>
    <t>wwarrickery@godaddy.com</t>
  </si>
  <si>
    <t>Warricker</t>
  </si>
  <si>
    <t>Wes</t>
  </si>
  <si>
    <t>ipressx@dedecms.com</t>
  </si>
  <si>
    <t>Press</t>
  </si>
  <si>
    <t>Izaak</t>
  </si>
  <si>
    <t>fmaconw@odnoklassniki.ru</t>
  </si>
  <si>
    <t>Macon</t>
  </si>
  <si>
    <t>Fara</t>
  </si>
  <si>
    <t>kperrenv@chicagotribune.com</t>
  </si>
  <si>
    <t>Perren</t>
  </si>
  <si>
    <t>Katrine</t>
  </si>
  <si>
    <t>ssimononskyu@paypal.com</t>
  </si>
  <si>
    <t>Simononsky</t>
  </si>
  <si>
    <t>Silvio</t>
  </si>
  <si>
    <t>fgriggt@theatlantic.com</t>
  </si>
  <si>
    <t>Grigg</t>
  </si>
  <si>
    <t>Frasier</t>
  </si>
  <si>
    <t>karistides@livejournal.com</t>
  </si>
  <si>
    <t>Aristide</t>
  </si>
  <si>
    <t>Kipper</t>
  </si>
  <si>
    <t>dcochetr@google.com.au</t>
  </si>
  <si>
    <t>Cochet</t>
  </si>
  <si>
    <t>Danni</t>
  </si>
  <si>
    <t>btidcombeq@npr.org</t>
  </si>
  <si>
    <t>Tidcombe</t>
  </si>
  <si>
    <t>Bink</t>
  </si>
  <si>
    <t>mfickenp@seesaa.net</t>
  </si>
  <si>
    <t>Ficken</t>
  </si>
  <si>
    <t>Manda</t>
  </si>
  <si>
    <t>llinko@studiopress.com</t>
  </si>
  <si>
    <t>Link</t>
  </si>
  <si>
    <t>Lillis</t>
  </si>
  <si>
    <t>hempringhamn@sakura.ne.jp</t>
  </si>
  <si>
    <t>Empringham</t>
  </si>
  <si>
    <t>Harlan</t>
  </si>
  <si>
    <t>bmacfadzeanm@sohu.com</t>
  </si>
  <si>
    <t>MacFadzean</t>
  </si>
  <si>
    <t>Beck</t>
  </si>
  <si>
    <t>udriscolll@icio.us</t>
  </si>
  <si>
    <t>Driscoll</t>
  </si>
  <si>
    <t>Ulrica</t>
  </si>
  <si>
    <t>laltoftsk@histats.com</t>
  </si>
  <si>
    <t>Altofts</t>
  </si>
  <si>
    <t>Leicester</t>
  </si>
  <si>
    <t>lprettyj@dailymotion.com</t>
  </si>
  <si>
    <t>Pretty</t>
  </si>
  <si>
    <t>Lanae</t>
  </si>
  <si>
    <t>nbeeversi@yellowbook.com</t>
  </si>
  <si>
    <t>Beevers</t>
  </si>
  <si>
    <t>Noellyn</t>
  </si>
  <si>
    <t>womonahanh@ovh.net</t>
  </si>
  <si>
    <t>O'Monahan</t>
  </si>
  <si>
    <t>Whitaker</t>
  </si>
  <si>
    <t>bspragueg@nyu.edu</t>
  </si>
  <si>
    <t>Sprague</t>
  </si>
  <si>
    <t>Biddie</t>
  </si>
  <si>
    <t>bcruxtonf@hostgator.com</t>
  </si>
  <si>
    <t>Cruxton</t>
  </si>
  <si>
    <t>Bram</t>
  </si>
  <si>
    <t>mcurrome@blogtalkradio.com</t>
  </si>
  <si>
    <t>Currom</t>
  </si>
  <si>
    <t>Marni</t>
  </si>
  <si>
    <t>mdunsmuird@google.pl</t>
  </si>
  <si>
    <t>Dunsmuir</t>
  </si>
  <si>
    <t>Merell</t>
  </si>
  <si>
    <t>ageorgiusc@seattletimes.com</t>
  </si>
  <si>
    <t>Georgius</t>
  </si>
  <si>
    <t>Adore</t>
  </si>
  <si>
    <t>cmuckleyb@seattletimes.com</t>
  </si>
  <si>
    <t>Muckley</t>
  </si>
  <si>
    <t>Cornela</t>
  </si>
  <si>
    <t>kwhetlanda@ebay.com</t>
  </si>
  <si>
    <t>Whetland</t>
  </si>
  <si>
    <t>Kelley</t>
  </si>
  <si>
    <t>fchislett9@quantcast.com</t>
  </si>
  <si>
    <t>Chislett</t>
  </si>
  <si>
    <t>Fayre</t>
  </si>
  <si>
    <t>fappleford8@twitpic.com</t>
  </si>
  <si>
    <t>Appleford</t>
  </si>
  <si>
    <t>Fonsie</t>
  </si>
  <si>
    <t>amatonin7@amazon.de</t>
  </si>
  <si>
    <t>Matonin</t>
  </si>
  <si>
    <t>jjerzyk6@histats.com</t>
  </si>
  <si>
    <t>Jerzyk</t>
  </si>
  <si>
    <t>Johnette</t>
  </si>
  <si>
    <t>ktrudgion5@digg.com</t>
  </si>
  <si>
    <t>Trudgion</t>
  </si>
  <si>
    <t>Kennith</t>
  </si>
  <si>
    <t>ryaxley4@shutterfly.com</t>
  </si>
  <si>
    <t>Yaxley</t>
  </si>
  <si>
    <t>Ruthy</t>
  </si>
  <si>
    <t>jcowp3@mapquest.com</t>
  </si>
  <si>
    <t>Cowp</t>
  </si>
  <si>
    <t>Jessalin</t>
  </si>
  <si>
    <t>lvanbaaren2@youku.com</t>
  </si>
  <si>
    <t>Van Baaren</t>
  </si>
  <si>
    <t>Lloyd</t>
  </si>
  <si>
    <t>lmelloy1@linkedin.com</t>
  </si>
  <si>
    <t>Melloy</t>
  </si>
  <si>
    <t>Lesli</t>
  </si>
  <si>
    <t>vaizic0@drupal.org</t>
  </si>
  <si>
    <t>Aizic</t>
  </si>
  <si>
    <t>Virgie</t>
  </si>
  <si>
    <t>Birth Date</t>
  </si>
  <si>
    <t>Gender</t>
  </si>
  <si>
    <t>Email</t>
  </si>
  <si>
    <t>Last Name</t>
  </si>
  <si>
    <t>First Name</t>
  </si>
  <si>
    <t>Identifier</t>
  </si>
  <si>
    <t>Product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</si>
</sst>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4" formatCode="_(&quot;$&quot;* #,##0.00_);_(&quot;$&quot;* \(#,##0.00\);_(&quot;$&quot;* &quot;-&quot;??_);_(@_)"/>
    <numFmt numFmtId="43" formatCode="_(* #,##0.00_);_(* \(#,##0.00\);_(* &quot;-&quot;??_);_(@_)"/>
    <numFmt numFmtId="164" formatCode="_-* #,##0\ &quot;F&quot;_-;\-* #,##0\ &quot;F&quot;_-;_-* &quot;-&quot;\ &quot;F&quot;_-;_-@_-"/>
    <numFmt numFmtId="165" formatCode="_-* #,##0\ _F_-;\-* #,##0\ _F_-;_-* &quot;-&quot;\ _F_-;_-@_-"/>
    <numFmt numFmtId="166" formatCode="_-* #,##0.00\ &quot;F&quot;_-;\-* #,##0.00\ &quot;F&quot;_-;_-* &quot;-&quot;??\ &quot;F&quot;_-;_-@_-"/>
    <numFmt numFmtId="167" formatCode="_-* #,##0.00\ _F_-;\-* #,##0.00\ _F_-;_-* &quot;-&quot;??\ _F_-;_-@_-"/>
    <numFmt numFmtId="168" formatCode="0.00_)"/>
    <numFmt numFmtId="169" formatCode="###0.000000_);[Red]\(###0.000000\)"/>
    <numFmt numFmtId="170" formatCode="###0.0000000_);[Red]\(###0.0000000\)"/>
    <numFmt numFmtId="171" formatCode="###0.00000000_);[Red]\(###0.00000000\)"/>
  </numFmts>
  <fonts count="132">
    <font>
      <sz val="11"/>
      <color theme="1"/>
      <name val="Calibri"/>
      <family val="2"/>
      <scheme val="minor"/>
    </font>
    <font>
      <sz val="11"/>
      <color theme="1"/>
      <name val="Calibri"/>
      <family val="2"/>
      <scheme val="minor"/>
    </font>
    <font>
      <sz val="10"/>
      <name val="Arial"/>
      <family val="2"/>
    </font>
    <font>
      <sz val="8"/>
      <name val="Arial"/>
      <family val="2"/>
    </font>
    <font>
      <sz val="12"/>
      <name val="Helv"/>
    </font>
    <font>
      <b/>
      <sz val="12"/>
      <name val="Arial"/>
      <family val="2"/>
    </font>
    <font>
      <sz val="10"/>
      <name val="Geneva"/>
    </font>
    <font>
      <b/>
      <i/>
      <sz val="16"/>
      <name val="Helv"/>
    </font>
    <font>
      <b/>
      <sz val="12"/>
      <color indexed="8"/>
      <name val="Arial"/>
      <family val="2"/>
    </font>
    <font>
      <sz val="12"/>
      <color indexed="8"/>
      <name val="Arial"/>
      <family val="2"/>
    </font>
    <font>
      <sz val="10"/>
      <color indexed="8"/>
      <name val="Arial"/>
      <family val="2"/>
    </font>
    <font>
      <b/>
      <sz val="19"/>
      <name val="Arial"/>
      <family val="2"/>
    </font>
    <font>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MS Sans Serif"/>
      <family val="2"/>
    </font>
    <font>
      <b/>
      <sz val="10"/>
      <name val="MS Sans Serif"/>
      <family val="2"/>
    </font>
    <font>
      <sz val="10"/>
      <color indexed="10"/>
      <name val="Arial"/>
      <family val="2"/>
    </font>
    <font>
      <sz val="10"/>
      <color indexed="39"/>
      <name val="Arial"/>
      <family val="2"/>
    </font>
    <font>
      <b/>
      <sz val="10"/>
      <color indexed="8"/>
      <name val="Arial"/>
      <family val="2"/>
    </font>
    <font>
      <b/>
      <sz val="16"/>
      <name val="Arial"/>
      <family val="2"/>
    </font>
    <font>
      <sz val="10"/>
      <name val="Helv"/>
      <family val="2"/>
    </font>
    <font>
      <sz val="11"/>
      <color indexed="16"/>
      <name val="Calibri"/>
      <family val="2"/>
    </font>
    <font>
      <b/>
      <sz val="11"/>
      <color indexed="53"/>
      <name val="Calibri"/>
      <family val="2"/>
    </font>
    <font>
      <i/>
      <sz val="10"/>
      <color rgb="FF7F7F7F"/>
      <name val="Arial"/>
      <family val="2"/>
    </font>
    <font>
      <b/>
      <sz val="15"/>
      <color indexed="62"/>
      <name val="Calibri"/>
      <family val="2"/>
    </font>
    <font>
      <b/>
      <sz val="13"/>
      <color indexed="62"/>
      <name val="Calibri"/>
      <family val="2"/>
    </font>
    <font>
      <b/>
      <sz val="11"/>
      <color indexed="62"/>
      <name val="Calibri"/>
      <family val="2"/>
    </font>
    <font>
      <sz val="11"/>
      <color indexed="48"/>
      <name val="Calibri"/>
      <family val="2"/>
    </font>
    <font>
      <sz val="11"/>
      <color indexed="53"/>
      <name val="Calibri"/>
      <family val="2"/>
    </font>
    <font>
      <b/>
      <sz val="10"/>
      <color indexed="39"/>
      <name val="Arial"/>
      <family val="2"/>
    </font>
    <font>
      <sz val="19"/>
      <color indexed="48"/>
      <name val="Arial"/>
      <family val="2"/>
    </font>
    <font>
      <b/>
      <sz val="18"/>
      <color indexed="62"/>
      <name val="Cambria"/>
      <family val="2"/>
    </font>
    <font>
      <sz val="11"/>
      <name val="Calibri"/>
      <family val="2"/>
    </font>
    <font>
      <sz val="10"/>
      <name val="Arial"/>
      <family val="2"/>
    </font>
    <font>
      <sz val="10"/>
      <color rgb="FF000000"/>
      <name val="Arial"/>
      <family val="2"/>
    </font>
    <font>
      <sz val="10"/>
      <name val="Arial Unicode MS"/>
      <family val="2"/>
    </font>
    <font>
      <u/>
      <sz val="10"/>
      <color rgb="FF800080"/>
      <name val="Arial"/>
      <family val="2"/>
    </font>
    <font>
      <u/>
      <sz val="9"/>
      <color theme="10"/>
      <name val="Tahoma"/>
      <family val="2"/>
    </font>
    <font>
      <u/>
      <sz val="10"/>
      <color rgb="FF0000FF"/>
      <name val="Arial"/>
      <family val="2"/>
    </font>
    <font>
      <sz val="10"/>
      <color theme="1"/>
      <name val="Tahoma"/>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sz val="10"/>
      <color indexed="8"/>
      <name val="MS Sans Serif"/>
      <family val="2"/>
    </font>
    <font>
      <i/>
      <sz val="10"/>
      <color indexed="23"/>
      <name val="Calibri"/>
      <family val="2"/>
    </font>
    <font>
      <sz val="10"/>
      <color indexed="17"/>
      <name val="Calibri"/>
      <family val="2"/>
    </font>
    <font>
      <sz val="10"/>
      <color indexed="62"/>
      <name val="Calibri"/>
      <family val="2"/>
    </font>
    <font>
      <sz val="10"/>
      <color indexed="52"/>
      <name val="Calibri"/>
      <family val="2"/>
    </font>
    <font>
      <sz val="10"/>
      <color indexed="60"/>
      <name val="Calibri"/>
      <family val="2"/>
    </font>
    <font>
      <sz val="10"/>
      <color rgb="FF000000"/>
      <name val="Times New Roman"/>
      <family val="1"/>
    </font>
    <font>
      <sz val="10"/>
      <color theme="1"/>
      <name val="Calibri"/>
      <family val="2"/>
      <scheme val="minor"/>
    </font>
    <font>
      <b/>
      <sz val="10"/>
      <color indexed="63"/>
      <name val="Calibri"/>
      <family val="2"/>
    </font>
    <font>
      <b/>
      <sz val="10"/>
      <color indexed="8"/>
      <name val="Calibri"/>
      <family val="2"/>
    </font>
    <font>
      <sz val="10"/>
      <color indexed="10"/>
      <name val="Calibri"/>
      <family val="2"/>
    </font>
    <font>
      <sz val="10"/>
      <name val="Geneva"/>
      <family val="2"/>
    </font>
    <font>
      <sz val="11"/>
      <color rgb="FF000000"/>
      <name val="Calibri"/>
      <family val="2"/>
    </font>
    <font>
      <sz val="11"/>
      <name val="Calibri"/>
      <family val="2"/>
      <scheme val="minor"/>
    </font>
    <font>
      <sz val="11"/>
      <color indexed="8"/>
      <name val="Calibri"/>
      <family val="2"/>
      <scheme val="minor"/>
    </font>
    <font>
      <sz val="11"/>
      <color indexed="9"/>
      <name val="Calibri"/>
      <family val="2"/>
      <scheme val="minor"/>
    </font>
    <font>
      <sz val="11"/>
      <color indexed="10"/>
      <name val="Calibri"/>
      <family val="2"/>
      <scheme val="minor"/>
    </font>
    <font>
      <sz val="11"/>
      <color indexed="11"/>
      <name val="Calibri"/>
      <family val="2"/>
      <scheme val="minor"/>
    </font>
    <font>
      <sz val="11"/>
      <color indexed="12"/>
      <name val="Calibri"/>
      <family val="2"/>
      <scheme val="minor"/>
    </font>
    <font>
      <sz val="11"/>
      <color indexed="13"/>
      <name val="Calibri"/>
      <family val="2"/>
      <scheme val="minor"/>
    </font>
    <font>
      <sz val="11"/>
      <color indexed="14"/>
      <name val="Calibri"/>
      <family val="2"/>
      <scheme val="minor"/>
    </font>
    <font>
      <sz val="11"/>
      <color indexed="15"/>
      <name val="Calibri"/>
      <family val="2"/>
      <scheme val="minor"/>
    </font>
    <font>
      <sz val="11"/>
      <color indexed="16"/>
      <name val="Calibri"/>
      <family val="2"/>
      <scheme val="minor"/>
    </font>
    <font>
      <sz val="11"/>
      <color indexed="17"/>
      <name val="Calibri"/>
      <family val="2"/>
      <scheme val="minor"/>
    </font>
    <font>
      <sz val="11"/>
      <color indexed="18"/>
      <name val="Calibri"/>
      <family val="2"/>
      <scheme val="minor"/>
    </font>
    <font>
      <sz val="11"/>
      <color indexed="19"/>
      <name val="Calibri"/>
      <family val="2"/>
      <scheme val="minor"/>
    </font>
    <font>
      <sz val="11"/>
      <color indexed="20"/>
      <name val="Calibri"/>
      <family val="2"/>
      <scheme val="minor"/>
    </font>
    <font>
      <sz val="11"/>
      <color indexed="21"/>
      <name val="Calibri"/>
      <family val="2"/>
      <scheme val="minor"/>
    </font>
    <font>
      <sz val="11"/>
      <color indexed="22"/>
      <name val="Calibri"/>
      <family val="2"/>
      <scheme val="minor"/>
    </font>
    <font>
      <sz val="11"/>
      <color indexed="23"/>
      <name val="Calibri"/>
      <family val="2"/>
      <scheme val="minor"/>
    </font>
    <font>
      <sz val="11"/>
      <color indexed="24"/>
      <name val="Calibri"/>
      <family val="2"/>
      <scheme val="minor"/>
    </font>
    <font>
      <sz val="11"/>
      <color indexed="25"/>
      <name val="Calibri"/>
      <family val="2"/>
      <scheme val="minor"/>
    </font>
    <font>
      <sz val="11"/>
      <color indexed="26"/>
      <name val="Calibri"/>
      <family val="2"/>
      <scheme val="minor"/>
    </font>
    <font>
      <sz val="11"/>
      <color indexed="27"/>
      <name val="Calibri"/>
      <family val="2"/>
      <scheme val="minor"/>
    </font>
    <font>
      <sz val="11"/>
      <color indexed="28"/>
      <name val="Calibri"/>
      <family val="2"/>
      <scheme val="minor"/>
    </font>
    <font>
      <sz val="11"/>
      <color indexed="29"/>
      <name val="Calibri"/>
      <family val="2"/>
      <scheme val="minor"/>
    </font>
    <font>
      <sz val="11"/>
      <color indexed="30"/>
      <name val="Calibri"/>
      <family val="2"/>
      <scheme val="minor"/>
    </font>
    <font>
      <sz val="11"/>
      <color indexed="31"/>
      <name val="Calibri"/>
      <family val="2"/>
      <scheme val="minor"/>
    </font>
    <font>
      <sz val="11"/>
      <color indexed="32"/>
      <name val="Calibri"/>
      <family val="2"/>
      <scheme val="minor"/>
    </font>
    <font>
      <sz val="11"/>
      <color indexed="33"/>
      <name val="Calibri"/>
      <family val="2"/>
      <scheme val="minor"/>
    </font>
    <font>
      <sz val="11"/>
      <color indexed="34"/>
      <name val="Calibri"/>
      <family val="2"/>
      <scheme val="minor"/>
    </font>
    <font>
      <sz val="11"/>
      <color indexed="35"/>
      <name val="Calibri"/>
      <family val="2"/>
      <scheme val="minor"/>
    </font>
    <font>
      <sz val="11"/>
      <color indexed="36"/>
      <name val="Calibri"/>
      <family val="2"/>
      <scheme val="minor"/>
    </font>
    <font>
      <sz val="11"/>
      <color indexed="37"/>
      <name val="Calibri"/>
      <family val="2"/>
      <scheme val="minor"/>
    </font>
    <font>
      <sz val="11"/>
      <color indexed="38"/>
      <name val="Calibri"/>
      <family val="2"/>
      <scheme val="minor"/>
    </font>
    <font>
      <sz val="11"/>
      <color indexed="39"/>
      <name val="Calibri"/>
      <family val="2"/>
      <scheme val="minor"/>
    </font>
    <font>
      <sz val="11"/>
      <color indexed="40"/>
      <name val="Calibri"/>
      <family val="2"/>
      <scheme val="minor"/>
    </font>
    <font>
      <sz val="11"/>
      <color indexed="41"/>
      <name val="Calibri"/>
      <family val="2"/>
      <scheme val="minor"/>
    </font>
    <font>
      <sz val="11"/>
      <color indexed="42"/>
      <name val="Calibri"/>
      <family val="2"/>
      <scheme val="minor"/>
    </font>
    <font>
      <sz val="11"/>
      <color indexed="43"/>
      <name val="Calibri"/>
      <family val="2"/>
      <scheme val="minor"/>
    </font>
    <font>
      <sz val="11"/>
      <color indexed="44"/>
      <name val="Calibri"/>
      <family val="2"/>
      <scheme val="minor"/>
    </font>
    <font>
      <sz val="11"/>
      <color indexed="45"/>
      <name val="Calibri"/>
      <family val="2"/>
      <scheme val="minor"/>
    </font>
    <font>
      <sz val="11"/>
      <color indexed="46"/>
      <name val="Calibri"/>
      <family val="2"/>
      <scheme val="minor"/>
    </font>
    <font>
      <sz val="11"/>
      <color indexed="47"/>
      <name val="Calibri"/>
      <family val="2"/>
      <scheme val="minor"/>
    </font>
    <font>
      <sz val="11"/>
      <color indexed="48"/>
      <name val="Calibri"/>
      <family val="2"/>
      <scheme val="minor"/>
    </font>
    <font>
      <sz val="11"/>
      <color indexed="49"/>
      <name val="Calibri"/>
      <family val="2"/>
      <scheme val="minor"/>
    </font>
    <font>
      <sz val="11"/>
      <color indexed="50"/>
      <name val="Calibri"/>
      <family val="2"/>
      <scheme val="minor"/>
    </font>
    <font>
      <sz val="11"/>
      <color indexed="51"/>
      <name val="Calibri"/>
      <family val="2"/>
      <scheme val="minor"/>
    </font>
    <font>
      <sz val="11"/>
      <color indexed="52"/>
      <name val="Calibri"/>
      <family val="2"/>
      <scheme val="minor"/>
    </font>
    <font>
      <sz val="11"/>
      <color indexed="53"/>
      <name val="Calibri"/>
      <family val="2"/>
      <scheme val="minor"/>
    </font>
    <font>
      <sz val="11"/>
      <color indexed="54"/>
      <name val="Calibri"/>
      <family val="2"/>
      <scheme val="minor"/>
    </font>
    <font>
      <sz val="11"/>
      <color indexed="55"/>
      <name val="Calibri"/>
      <family val="2"/>
      <scheme val="minor"/>
    </font>
    <font>
      <sz val="11"/>
      <color indexed="56"/>
      <name val="Calibri"/>
      <family val="2"/>
      <scheme val="minor"/>
    </font>
    <font>
      <sz val="11"/>
      <color indexed="57"/>
      <name val="Calibri"/>
      <family val="2"/>
      <scheme val="minor"/>
    </font>
    <font>
      <sz val="11"/>
      <color indexed="58"/>
      <name val="Calibri"/>
      <family val="2"/>
      <scheme val="minor"/>
    </font>
    <font>
      <sz val="11"/>
      <color indexed="59"/>
      <name val="Calibri"/>
      <family val="2"/>
      <scheme val="minor"/>
    </font>
    <font>
      <sz val="11"/>
      <color indexed="60"/>
      <name val="Calibri"/>
      <family val="2"/>
      <scheme val="minor"/>
    </font>
    <font>
      <sz val="11"/>
      <color indexed="61"/>
      <name val="Calibri"/>
      <family val="2"/>
      <scheme val="minor"/>
    </font>
    <font>
      <sz val="11"/>
      <color indexed="62"/>
      <name val="Calibri"/>
      <family val="2"/>
      <scheme val="minor"/>
    </font>
    <font>
      <sz val="11"/>
      <color indexed="63"/>
      <name val="Calibri"/>
      <family val="2"/>
      <scheme val="minor"/>
    </font>
    <font>
      <sz val="11"/>
      <color theme="1"/>
      <name val="Calibri"/>
      <family val="2"/>
      <scheme val="minor"/>
    </font>
  </fonts>
  <fills count="10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54"/>
        <bgColor indexed="64"/>
      </patternFill>
    </fill>
    <fill>
      <patternFill patternType="solid">
        <fgColor indexed="23"/>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48"/>
        <bgColor indexed="44"/>
      </patternFill>
    </fill>
    <fill>
      <patternFill patternType="lightUp">
        <fgColor indexed="22"/>
        <bgColor indexed="35"/>
      </patternFill>
    </fill>
    <fill>
      <patternFill patternType="solid">
        <fgColor indexed="44"/>
        <bgColor indexed="64"/>
      </patternFill>
    </fill>
    <fill>
      <patternFill patternType="solid">
        <fgColor indexed="35"/>
        <bgColor indexed="64"/>
      </patternFill>
    </fill>
    <fill>
      <patternFill patternType="solid">
        <fgColor indexed="31"/>
        <bgColor indexed="64"/>
      </patternFill>
    </fill>
    <fill>
      <patternFill patternType="solid">
        <fgColor indexed="23"/>
        <bgColor indexed="64"/>
      </patternFill>
    </fill>
    <fill>
      <patternFill patternType="solid">
        <fgColor indexed="55"/>
        <bgColor indexed="64"/>
      </patternFill>
    </fill>
    <fill>
      <patternFill patternType="solid">
        <fgColor indexed="41"/>
        <bgColor indexed="64"/>
      </patternFill>
    </fill>
    <fill>
      <patternFill patternType="solid">
        <fgColor indexed="45"/>
        <bgColor indexed="45"/>
      </patternFill>
    </fill>
    <fill>
      <patternFill patternType="solid">
        <fgColor indexed="9"/>
        <bgColor indexed="9"/>
      </patternFill>
    </fill>
    <fill>
      <patternFill patternType="solid">
        <fgColor indexed="55"/>
        <bgColor indexed="55"/>
      </patternFill>
    </fill>
    <fill>
      <patternFill patternType="solid">
        <fgColor indexed="42"/>
        <bgColor indexed="42"/>
      </patternFill>
    </fill>
    <fill>
      <patternFill patternType="solid">
        <fgColor indexed="47"/>
        <bgColor indexed="47"/>
      </patternFill>
    </fill>
    <fill>
      <patternFill patternType="solid">
        <fgColor indexed="26"/>
        <bgColor indexed="26"/>
      </patternFill>
    </fill>
    <fill>
      <patternFill patternType="solid">
        <fgColor indexed="40"/>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54"/>
      </patternFill>
    </fill>
    <fill>
      <patternFill patternType="solid">
        <fgColor indexed="9"/>
      </patternFill>
    </fill>
    <fill>
      <patternFill patternType="solid">
        <fgColor indexed="1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8"/>
        <bgColor indexed="64"/>
      </patternFill>
    </fill>
    <fill>
      <patternFill patternType="solid">
        <fgColor indexed="9"/>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4"/>
        <bgColor indexed="64"/>
      </patternFill>
    </fill>
    <fill>
      <patternFill patternType="solid">
        <fgColor indexed="25"/>
        <bgColor indexed="64"/>
      </patternFill>
    </fill>
    <fill>
      <patternFill patternType="solid">
        <fgColor indexed="27"/>
        <bgColor indexed="64"/>
      </patternFill>
    </fill>
    <fill>
      <patternFill patternType="solid">
        <fgColor indexed="28"/>
        <bgColor indexed="64"/>
      </patternFill>
    </fill>
    <fill>
      <patternFill patternType="solid">
        <fgColor indexed="30"/>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s>
  <borders count="24">
    <border>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63"/>
      </left>
      <right style="thin">
        <color indexed="63"/>
      </right>
      <top style="thin">
        <color indexed="64"/>
      </top>
      <bottom style="thin">
        <color indexed="63"/>
      </bottom>
      <diagonal/>
    </border>
    <border>
      <left/>
      <right/>
      <top style="thin">
        <color indexed="48"/>
      </top>
      <bottom style="thin">
        <color indexed="48"/>
      </bottom>
      <diagonal/>
    </border>
    <border>
      <left/>
      <right/>
      <top style="thin">
        <color indexed="62"/>
      </top>
      <bottom style="double">
        <color indexed="62"/>
      </bottom>
      <diagonal/>
    </border>
    <border>
      <left/>
      <right/>
      <top/>
      <bottom style="thick">
        <color indexed="48"/>
      </bottom>
      <diagonal/>
    </border>
    <border>
      <left/>
      <right/>
      <top/>
      <bottom style="medium">
        <color indexed="24"/>
      </bottom>
      <diagonal/>
    </border>
    <border>
      <left/>
      <right/>
      <top/>
      <bottom style="double">
        <color indexed="53"/>
      </bottom>
      <diagonal/>
    </border>
    <border>
      <left/>
      <right/>
      <top style="thin">
        <color indexed="48"/>
      </top>
      <bottom style="double">
        <color indexed="48"/>
      </bottom>
      <diagonal/>
    </border>
    <border>
      <left style="thin">
        <color rgb="FFB2B2B2"/>
      </left>
      <right style="thin">
        <color rgb="FFB2B2B2"/>
      </right>
      <top style="thin">
        <color rgb="FFB2B2B2"/>
      </top>
      <bottom style="thin">
        <color rgb="FFB2B2B2"/>
      </bottom>
      <diagonal/>
    </border>
  </borders>
  <cellStyleXfs count="39817">
    <xf numFmtId="0" fontId="0" fillId="0" borderId="0"/>
    <xf numFmtId="0" fontId="2" fillId="0" borderId="0"/>
    <xf numFmtId="0" fontId="2" fillId="0" borderId="0"/>
    <xf numFmtId="0" fontId="13" fillId="2" borderId="0" applyNumberFormat="0" applyBorder="0" applyAlignment="0" applyProtection="0"/>
    <xf numFmtId="0" fontId="13" fillId="2" borderId="0" applyNumberFormat="0" applyBorder="0" applyAlignment="0" applyProtection="0"/>
    <xf numFmtId="0" fontId="13" fillId="3"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4" fillId="0" borderId="1" applyBorder="0"/>
    <xf numFmtId="0" fontId="14" fillId="16"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6" fillId="20" borderId="2" applyNumberFormat="0" applyAlignment="0" applyProtection="0"/>
    <xf numFmtId="0" fontId="17" fillId="21" borderId="3"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19" fillId="4" borderId="0" applyNumberFormat="0" applyBorder="0" applyAlignment="0" applyProtection="0"/>
    <xf numFmtId="38" fontId="3" fillId="22" borderId="0" applyNumberFormat="0" applyBorder="0" applyAlignment="0" applyProtection="0"/>
    <xf numFmtId="0" fontId="5" fillId="0" borderId="4" applyNumberFormat="0" applyAlignment="0" applyProtection="0">
      <alignment horizontal="left" vertical="center"/>
    </xf>
    <xf numFmtId="0" fontId="5" fillId="0" borderId="5">
      <alignment horizontal="left" vertical="center"/>
    </xf>
    <xf numFmtId="0" fontId="20" fillId="0" borderId="6" applyNumberFormat="0" applyFill="0" applyAlignment="0" applyProtection="0"/>
    <xf numFmtId="0" fontId="20" fillId="0" borderId="6" applyNumberFormat="0" applyFill="0" applyAlignment="0" applyProtection="0"/>
    <xf numFmtId="0" fontId="21" fillId="0" borderId="7"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7" borderId="2" applyNumberFormat="0" applyAlignment="0" applyProtection="0"/>
    <xf numFmtId="10" fontId="3" fillId="23" borderId="9" applyNumberFormat="0" applyBorder="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4" fillId="0" borderId="10" applyNumberFormat="0" applyFill="0" applyAlignment="0" applyProtection="0"/>
    <xf numFmtId="0" fontId="24" fillId="0" borderId="10" applyNumberFormat="0" applyFill="0" applyAlignment="0" applyProtection="0"/>
    <xf numFmtId="171" fontId="6" fillId="0" borderId="0" applyFont="0" applyFill="0" applyBorder="0" applyAlignment="0" applyProtection="0"/>
    <xf numFmtId="170" fontId="6" fillId="0" borderId="0" applyFont="0" applyFill="0" applyBorder="0" applyAlignment="0" applyProtection="0"/>
    <xf numFmtId="165" fontId="2" fillId="0" borderId="0" applyFont="0" applyFill="0" applyBorder="0" applyAlignment="0" applyProtection="0"/>
    <xf numFmtId="167" fontId="2" fillId="0" borderId="0" applyFont="0" applyFill="0" applyBorder="0" applyAlignment="0" applyProtection="0"/>
    <xf numFmtId="170" fontId="6" fillId="0" borderId="0" applyFont="0" applyFill="0" applyBorder="0" applyAlignment="0" applyProtection="0"/>
    <xf numFmtId="169" fontId="6"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0" fontId="25" fillId="24" borderId="0" applyNumberFormat="0" applyBorder="0" applyAlignment="0" applyProtection="0"/>
    <xf numFmtId="0" fontId="25" fillId="24" borderId="0" applyNumberFormat="0" applyBorder="0" applyAlignment="0" applyProtection="0"/>
    <xf numFmtId="168"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13" fillId="0" borderId="0"/>
    <xf numFmtId="0" fontId="13" fillId="0" borderId="0"/>
    <xf numFmtId="0" fontId="1" fillId="0" borderId="0"/>
    <xf numFmtId="0" fontId="13" fillId="0" borderId="0"/>
    <xf numFmtId="0" fontId="13"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13" fillId="0" borderId="0"/>
    <xf numFmtId="0" fontId="2" fillId="0" borderId="0"/>
    <xf numFmtId="0" fontId="1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30" fillId="0" borderId="0" applyNumberFormat="0" applyFont="0" applyFill="0" applyBorder="0" applyAlignment="0" applyProtection="0">
      <alignment horizontal="left"/>
    </xf>
    <xf numFmtId="0" fontId="30" fillId="0" borderId="0" applyNumberFormat="0" applyFont="0" applyFill="0" applyBorder="0" applyAlignment="0" applyProtection="0">
      <alignment horizontal="left"/>
    </xf>
    <xf numFmtId="15" fontId="30" fillId="0" borderId="0" applyFont="0" applyFill="0" applyBorder="0" applyAlignment="0" applyProtection="0"/>
    <xf numFmtId="15" fontId="30" fillId="0" borderId="0" applyFont="0" applyFill="0" applyBorder="0" applyAlignment="0" applyProtection="0"/>
    <xf numFmtId="4" fontId="30" fillId="0" borderId="0" applyFont="0" applyFill="0" applyBorder="0" applyAlignment="0" applyProtection="0"/>
    <xf numFmtId="4" fontId="30" fillId="0" borderId="0" applyFont="0" applyFill="0" applyBorder="0" applyAlignment="0" applyProtection="0"/>
    <xf numFmtId="0" fontId="31" fillId="0" borderId="13">
      <alignment horizontal="center"/>
    </xf>
    <xf numFmtId="0" fontId="31" fillId="0" borderId="13">
      <alignment horizont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33" fillId="26" borderId="12" applyNumberFormat="0" applyProtection="0">
      <alignment vertical="center"/>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4"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4" fontId="9" fillId="27" borderId="0" applyNumberFormat="0" applyProtection="0">
      <alignment horizontal="left" vertical="center" indent="1"/>
    </xf>
    <xf numFmtId="4" fontId="10" fillId="29" borderId="12" applyNumberFormat="0" applyProtection="0">
      <alignment horizontal="right" vertical="center"/>
    </xf>
    <xf numFmtId="4" fontId="10" fillId="29" borderId="12" applyNumberFormat="0" applyProtection="0">
      <alignment horizontal="right" vertical="center"/>
    </xf>
    <xf numFmtId="4" fontId="10" fillId="29"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vertical="center"/>
    </xf>
    <xf numFmtId="4" fontId="10" fillId="23" borderId="12" applyNumberFormat="0" applyProtection="0">
      <alignment vertical="center"/>
    </xf>
    <xf numFmtId="4" fontId="33"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5" borderId="14" applyNumberFormat="0" applyProtection="0">
      <alignment horizontal="right" vertical="center"/>
    </xf>
    <xf numFmtId="4" fontId="33" fillId="41" borderId="12" applyNumberFormat="0" applyProtection="0">
      <alignment horizontal="right" vertical="center"/>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4" fontId="32" fillId="41" borderId="12" applyNumberFormat="0" applyProtection="0">
      <alignment horizontal="right" vertical="center"/>
    </xf>
    <xf numFmtId="0" fontId="36" fillId="0" borderId="0"/>
    <xf numFmtId="0" fontId="27" fillId="0" borderId="0" applyNumberFormat="0" applyFill="0" applyBorder="0" applyAlignment="0" applyProtection="0"/>
    <xf numFmtId="0" fontId="27" fillId="0" borderId="0" applyNumberFormat="0" applyFill="0" applyBorder="0" applyAlignment="0" applyProtection="0"/>
    <xf numFmtId="0" fontId="28" fillId="0" borderId="18" applyNumberFormat="0" applyFill="0" applyAlignment="0" applyProtection="0"/>
    <xf numFmtId="0" fontId="28" fillId="0" borderId="18"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40" fillId="0" borderId="19" applyNumberFormat="0" applyFill="0" applyAlignment="0" applyProtection="0"/>
    <xf numFmtId="0" fontId="41" fillId="0" borderId="7" applyNumberFormat="0" applyFill="0" applyAlignment="0" applyProtection="0"/>
    <xf numFmtId="0" fontId="42" fillId="0" borderId="20" applyNumberFormat="0" applyFill="0" applyAlignment="0" applyProtection="0"/>
    <xf numFmtId="0" fontId="42" fillId="0" borderId="0" applyNumberFormat="0" applyFill="0" applyBorder="0" applyAlignment="0" applyProtection="0"/>
    <xf numFmtId="0" fontId="19" fillId="49" borderId="0" applyNumberFormat="0" applyBorder="0" applyAlignment="0" applyProtection="0"/>
    <xf numFmtId="0" fontId="37" fillId="46" borderId="0" applyNumberFormat="0" applyBorder="0" applyAlignment="0" applyProtection="0"/>
    <xf numFmtId="0" fontId="25" fillId="50" borderId="0" applyNumberFormat="0" applyBorder="0" applyAlignment="0" applyProtection="0"/>
    <xf numFmtId="0" fontId="43" fillId="50" borderId="2" applyNumberFormat="0" applyAlignment="0" applyProtection="0"/>
    <xf numFmtId="0" fontId="26" fillId="47" borderId="12" applyNumberFormat="0" applyAlignment="0" applyProtection="0"/>
    <xf numFmtId="0" fontId="38" fillId="47" borderId="2" applyNumberFormat="0" applyAlignment="0" applyProtection="0"/>
    <xf numFmtId="0" fontId="44" fillId="0" borderId="21" applyNumberFormat="0" applyFill="0" applyAlignment="0" applyProtection="0"/>
    <xf numFmtId="0" fontId="17" fillId="48" borderId="3" applyNumberFormat="0" applyAlignment="0" applyProtection="0"/>
    <xf numFmtId="0" fontId="2" fillId="51" borderId="11" applyNumberFormat="0" applyFont="0" applyAlignment="0" applyProtection="0"/>
    <xf numFmtId="0" fontId="39" fillId="0" borderId="0" applyNumberFormat="0" applyFill="0" applyBorder="0" applyAlignment="0" applyProtection="0"/>
    <xf numFmtId="0" fontId="28" fillId="0" borderId="22" applyNumberFormat="0" applyFill="0" applyAlignment="0" applyProtection="0"/>
    <xf numFmtId="4" fontId="34" fillId="24" borderId="14" applyNumberFormat="0" applyProtection="0">
      <alignment vertical="center"/>
    </xf>
    <xf numFmtId="4" fontId="45" fillId="24" borderId="14" applyNumberFormat="0" applyProtection="0">
      <alignment vertical="center"/>
    </xf>
    <xf numFmtId="4" fontId="34" fillId="24" borderId="14" applyNumberFormat="0" applyProtection="0">
      <alignment horizontal="left" vertical="center" indent="1"/>
    </xf>
    <xf numFmtId="0" fontId="34" fillId="24" borderId="14" applyNumberFormat="0" applyProtection="0">
      <alignment horizontal="left" vertical="top" indent="1"/>
    </xf>
    <xf numFmtId="4" fontId="34" fillId="52" borderId="0" applyNumberFormat="0" applyProtection="0">
      <alignment horizontal="left" vertical="center" indent="1"/>
    </xf>
    <xf numFmtId="4" fontId="10" fillId="3" borderId="14" applyNumberFormat="0" applyProtection="0">
      <alignment horizontal="right" vertical="center"/>
    </xf>
    <xf numFmtId="4" fontId="10" fillId="9" borderId="14" applyNumberFormat="0" applyProtection="0">
      <alignment horizontal="right" vertical="center"/>
    </xf>
    <xf numFmtId="4" fontId="10" fillId="17" borderId="14" applyNumberFormat="0" applyProtection="0">
      <alignment horizontal="right" vertical="center"/>
    </xf>
    <xf numFmtId="4" fontId="10" fillId="11" borderId="14" applyNumberFormat="0" applyProtection="0">
      <alignment horizontal="right" vertical="center"/>
    </xf>
    <xf numFmtId="4" fontId="10" fillId="15" borderId="14" applyNumberFormat="0" applyProtection="0">
      <alignment horizontal="right" vertical="center"/>
    </xf>
    <xf numFmtId="4" fontId="10" fillId="19" borderId="14" applyNumberFormat="0" applyProtection="0">
      <alignment horizontal="right" vertical="center"/>
    </xf>
    <xf numFmtId="4" fontId="10" fillId="18" borderId="14" applyNumberFormat="0" applyProtection="0">
      <alignment horizontal="right" vertical="center"/>
    </xf>
    <xf numFmtId="4" fontId="10" fillId="53" borderId="14" applyNumberFormat="0" applyProtection="0">
      <alignment horizontal="right" vertical="center"/>
    </xf>
    <xf numFmtId="4" fontId="10" fillId="10" borderId="14" applyNumberFormat="0" applyProtection="0">
      <alignment horizontal="right" vertical="center"/>
    </xf>
    <xf numFmtId="4" fontId="34" fillId="54" borderId="15" applyNumberFormat="0" applyProtection="0">
      <alignment horizontal="left" vertical="center" indent="1"/>
    </xf>
    <xf numFmtId="4" fontId="10" fillId="55" borderId="0"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7" borderId="9" applyNumberFormat="0">
      <protection locked="0"/>
    </xf>
    <xf numFmtId="4" fontId="10" fillId="25" borderId="14" applyNumberFormat="0" applyProtection="0">
      <alignment vertical="center"/>
    </xf>
    <xf numFmtId="4" fontId="33" fillId="25" borderId="14" applyNumberFormat="0" applyProtection="0">
      <alignment vertical="center"/>
    </xf>
    <xf numFmtId="4" fontId="10" fillId="25" borderId="14" applyNumberFormat="0" applyProtection="0">
      <alignment horizontal="left" vertical="center" indent="1"/>
    </xf>
    <xf numFmtId="0" fontId="10" fillId="25" borderId="14" applyNumberFormat="0" applyProtection="0">
      <alignment horizontal="left" vertical="top" indent="1"/>
    </xf>
    <xf numFmtId="4" fontId="10" fillId="55" borderId="14" applyNumberFormat="0" applyProtection="0">
      <alignment horizontal="right" vertical="center"/>
    </xf>
    <xf numFmtId="4" fontId="33" fillId="55" borderId="14" applyNumberFormat="0" applyProtection="0">
      <alignment horizontal="right" vertical="center"/>
    </xf>
    <xf numFmtId="4" fontId="10" fillId="52" borderId="14" applyNumberFormat="0" applyProtection="0">
      <alignment horizontal="left" vertical="center" indent="1"/>
    </xf>
    <xf numFmtId="0" fontId="10" fillId="52" borderId="14" applyNumberFormat="0" applyProtection="0">
      <alignment horizontal="left" vertical="top" indent="1"/>
    </xf>
    <xf numFmtId="4" fontId="46" fillId="58" borderId="0" applyNumberFormat="0" applyProtection="0">
      <alignment horizontal="left" vertical="center" indent="1"/>
    </xf>
    <xf numFmtId="4" fontId="32" fillId="55" borderId="14" applyNumberFormat="0" applyProtection="0">
      <alignment horizontal="right" vertical="center"/>
    </xf>
    <xf numFmtId="0" fontId="47" fillId="0" borderId="0" applyNumberFormat="0" applyFill="0" applyBorder="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2"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43" fillId="50" borderId="2" applyNumberFormat="0" applyAlignment="0" applyProtection="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2" fillId="0" borderId="0"/>
    <xf numFmtId="0" fontId="43" fillId="50" borderId="2"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43" fillId="50" borderId="2" applyNumberFormat="0" applyAlignment="0" applyProtection="0"/>
    <xf numFmtId="0" fontId="43" fillId="50" borderId="2"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43" fillId="50" borderId="2" applyNumberFormat="0" applyAlignment="0" applyProtection="0"/>
    <xf numFmtId="0" fontId="2" fillId="0" borderId="0"/>
    <xf numFmtId="0" fontId="2"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4" fontId="10" fillId="26" borderId="12" applyNumberFormat="0" applyProtection="0">
      <alignment horizontal="left" vertical="center" indent="1"/>
    </xf>
    <xf numFmtId="4" fontId="10" fillId="29"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4" fontId="10" fillId="52" borderId="0" applyNumberFormat="0" applyProtection="0">
      <alignment horizontal="left" vertical="center" indent="1"/>
    </xf>
    <xf numFmtId="4" fontId="10" fillId="55" borderId="0" applyNumberFormat="0" applyProtection="0">
      <alignment horizontal="left" vertical="center" indent="1"/>
    </xf>
    <xf numFmtId="4" fontId="10" fillId="52" borderId="14" applyNumberFormat="0" applyProtection="0">
      <alignment horizontal="right" vertical="center"/>
    </xf>
    <xf numFmtId="4" fontId="8" fillId="56" borderId="0" applyNumberFormat="0" applyProtection="0">
      <alignment horizontal="left" vertical="center" indent="1"/>
    </xf>
    <xf numFmtId="0" fontId="2" fillId="56" borderId="14" applyNumberFormat="0" applyProtection="0">
      <alignment horizontal="left" vertical="center" indent="1"/>
    </xf>
    <xf numFmtId="0" fontId="2" fillId="8" borderId="14" applyNumberFormat="0" applyProtection="0">
      <alignment horizontal="left" vertical="center" indent="1"/>
    </xf>
    <xf numFmtId="0" fontId="43" fillId="50" borderId="2" applyNumberFormat="0" applyAlignment="0" applyProtection="0"/>
    <xf numFmtId="0" fontId="2" fillId="52" borderId="14" applyNumberFormat="0" applyProtection="0">
      <alignment horizontal="left" vertical="top" indent="1"/>
    </xf>
    <xf numFmtId="0" fontId="2" fillId="52" borderId="14" applyNumberFormat="0" applyProtection="0">
      <alignment horizontal="left" vertical="center" indent="1"/>
    </xf>
    <xf numFmtId="0" fontId="2" fillId="0" borderId="0"/>
    <xf numFmtId="0" fontId="2" fillId="56" borderId="14" applyNumberFormat="0" applyProtection="0">
      <alignment horizontal="left" vertical="top"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43" fillId="50" borderId="2" applyNumberFormat="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1" fillId="0" borderId="0"/>
    <xf numFmtId="0" fontId="2" fillId="0" borderId="0"/>
    <xf numFmtId="4" fontId="10" fillId="52" borderId="14" applyNumberFormat="0" applyProtection="0">
      <alignment horizontal="right" vertical="center"/>
    </xf>
    <xf numFmtId="0" fontId="2" fillId="8" borderId="14" applyNumberFormat="0" applyProtection="0">
      <alignment horizontal="left" vertical="top" indent="1"/>
    </xf>
    <xf numFmtId="0" fontId="2" fillId="52" borderId="14" applyNumberFormat="0" applyProtection="0">
      <alignment horizontal="left" vertical="top" indent="1"/>
    </xf>
    <xf numFmtId="0" fontId="2" fillId="0" borderId="0"/>
    <xf numFmtId="0" fontId="2" fillId="52" borderId="14" applyNumberFormat="0" applyProtection="0">
      <alignment horizontal="left" vertical="top" indent="1"/>
    </xf>
    <xf numFmtId="0" fontId="43" fillId="50" borderId="2" applyNumberFormat="0" applyAlignment="0" applyProtection="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0" borderId="0"/>
    <xf numFmtId="0" fontId="2" fillId="52" borderId="14" applyNumberFormat="0" applyProtection="0">
      <alignment horizontal="left" vertical="top" indent="1"/>
    </xf>
    <xf numFmtId="0" fontId="2" fillId="8" borderId="14" applyNumberFormat="0" applyProtection="0">
      <alignment horizontal="left" vertical="top" indent="1"/>
    </xf>
    <xf numFmtId="0" fontId="2" fillId="8" borderId="14" applyNumberFormat="0" applyProtection="0">
      <alignment horizontal="left" vertical="top" indent="1"/>
    </xf>
    <xf numFmtId="0" fontId="2" fillId="0" borderId="0"/>
    <xf numFmtId="0" fontId="2" fillId="55" borderId="14"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0" borderId="0"/>
    <xf numFmtId="0" fontId="2" fillId="55" borderId="14" applyNumberFormat="0" applyProtection="0">
      <alignment horizontal="left" vertical="top" indent="1"/>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center" indent="1"/>
    </xf>
    <xf numFmtId="0" fontId="2" fillId="56"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1" fillId="0" borderId="0"/>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43" fontId="2" fillId="0" borderId="0" applyFont="0" applyFill="0" applyBorder="0" applyAlignment="0" applyProtection="0"/>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2" fillId="55" borderId="14" applyNumberFormat="0" applyProtection="0">
      <alignment horizontal="left" vertical="top" indent="1"/>
    </xf>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43" fillId="50" borderId="2" applyNumberFormat="0" applyAlignment="0" applyProtection="0"/>
    <xf numFmtId="0" fontId="10" fillId="52" borderId="14" applyNumberFormat="0" applyProtection="0">
      <alignment horizontal="left" vertical="top" indent="1"/>
    </xf>
    <xf numFmtId="4" fontId="10" fillId="52" borderId="14" applyNumberFormat="0" applyProtection="0">
      <alignment horizontal="right" vertical="center"/>
    </xf>
    <xf numFmtId="0" fontId="10" fillId="52" borderId="14" applyNumberFormat="0" applyProtection="0">
      <alignment horizontal="left" vertical="top" indent="1"/>
    </xf>
    <xf numFmtId="0" fontId="48" fillId="0" borderId="0"/>
    <xf numFmtId="44" fontId="48" fillId="0" borderId="0" applyFont="0" applyFill="0" applyBorder="0" applyAlignment="0" applyProtection="0"/>
    <xf numFmtId="0" fontId="2" fillId="0" borderId="0">
      <alignment vertical="center"/>
    </xf>
    <xf numFmtId="0" fontId="2" fillId="0" borderId="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52" borderId="14" applyNumberFormat="0" applyProtection="0">
      <alignment horizontal="left" vertical="top" indent="1"/>
    </xf>
    <xf numFmtId="0" fontId="2" fillId="55" borderId="14" applyNumberFormat="0" applyProtection="0">
      <alignment horizontal="left" vertical="top" indent="1"/>
    </xf>
    <xf numFmtId="4" fontId="10" fillId="52" borderId="14" applyNumberFormat="0" applyProtection="0">
      <alignment horizontal="right" vertical="center"/>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top" indent="1"/>
    </xf>
    <xf numFmtId="0" fontId="2" fillId="0" borderId="0"/>
    <xf numFmtId="0" fontId="2" fillId="8" borderId="14" applyNumberFormat="0" applyProtection="0">
      <alignment horizontal="left" vertical="center" indent="1"/>
    </xf>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10" fillId="52" borderId="14" applyNumberFormat="0" applyProtection="0">
      <alignment horizontal="left" vertical="top" indent="1"/>
    </xf>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25" borderId="11" applyNumberFormat="0" applyFont="0" applyAlignment="0" applyProtection="0"/>
    <xf numFmtId="0" fontId="26" fillId="20" borderId="12" applyNumberFormat="0" applyAlignment="0" applyProtection="0"/>
    <xf numFmtId="0" fontId="1" fillId="0" borderId="0"/>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43"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2"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0" fontId="2" fillId="0" borderId="0"/>
    <xf numFmtId="0" fontId="2" fillId="0" borderId="0"/>
    <xf numFmtId="0" fontId="2" fillId="0" borderId="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2" fillId="0" borderId="0"/>
    <xf numFmtId="0" fontId="2" fillId="0" borderId="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49" fillId="0" borderId="0"/>
    <xf numFmtId="43" fontId="49" fillId="0" borderId="0" applyFont="0" applyFill="0" applyBorder="0" applyAlignment="0" applyProtection="0"/>
    <xf numFmtId="0" fontId="48" fillId="0" borderId="0"/>
    <xf numFmtId="0" fontId="50" fillId="0" borderId="0"/>
    <xf numFmtId="0" fontId="2" fillId="0" borderId="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alignment vertical="top"/>
      <protection locked="0"/>
    </xf>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1" fillId="0" borderId="0"/>
    <xf numFmtId="0" fontId="51" fillId="0" borderId="0"/>
    <xf numFmtId="0" fontId="51" fillId="0" borderId="0"/>
    <xf numFmtId="0" fontId="51" fillId="0" borderId="0"/>
    <xf numFmtId="0" fontId="48" fillId="0" borderId="0"/>
    <xf numFmtId="0" fontId="2" fillId="0" borderId="0">
      <alignment vertical="top"/>
    </xf>
    <xf numFmtId="0" fontId="2" fillId="0" borderId="0">
      <alignment vertical="top"/>
    </xf>
    <xf numFmtId="0" fontId="2" fillId="0" borderId="0"/>
    <xf numFmtId="0" fontId="2" fillId="0" borderId="0"/>
    <xf numFmtId="0" fontId="2" fillId="0" borderId="0">
      <alignment vertical="top"/>
    </xf>
    <xf numFmtId="0" fontId="55" fillId="0" borderId="0"/>
    <xf numFmtId="0" fontId="2" fillId="0" borderId="0">
      <alignment vertical="top"/>
    </xf>
    <xf numFmtId="0" fontId="51" fillId="0" borderId="0"/>
    <xf numFmtId="0" fontId="5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50" fillId="0" borderId="0"/>
    <xf numFmtId="0" fontId="2" fillId="0" borderId="0"/>
    <xf numFmtId="0" fontId="2" fillId="0" borderId="0"/>
    <xf numFmtId="0" fontId="51" fillId="0" borderId="0"/>
    <xf numFmtId="0" fontId="2" fillId="0" borderId="0"/>
    <xf numFmtId="0" fontId="2" fillId="0" borderId="0"/>
    <xf numFmtId="0" fontId="2" fillId="0" borderId="0"/>
    <xf numFmtId="0" fontId="51" fillId="0" borderId="0"/>
    <xf numFmtId="0" fontId="51" fillId="0" borderId="0"/>
    <xf numFmtId="0" fontId="51" fillId="0" borderId="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48" fillId="0" borderId="0"/>
    <xf numFmtId="0" fontId="2" fillId="0" borderId="0">
      <alignment vertical="top"/>
    </xf>
    <xf numFmtId="0" fontId="2" fillId="0" borderId="0"/>
    <xf numFmtId="0" fontId="50" fillId="0" borderId="0"/>
    <xf numFmtId="0" fontId="2" fillId="0" borderId="0"/>
    <xf numFmtId="0" fontId="56" fillId="2" borderId="0" applyNumberFormat="0" applyBorder="0" applyAlignment="0" applyProtection="0"/>
    <xf numFmtId="0" fontId="56" fillId="2"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56" fillId="3" borderId="0" applyNumberFormat="0" applyBorder="0" applyAlignment="0" applyProtection="0"/>
    <xf numFmtId="0" fontId="56" fillId="3"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56" fillId="4" borderId="0" applyNumberFormat="0" applyBorder="0" applyAlignment="0" applyProtection="0"/>
    <xf numFmtId="0" fontId="56" fillId="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56" fillId="6" borderId="0" applyNumberFormat="0" applyBorder="0" applyAlignment="0" applyProtection="0"/>
    <xf numFmtId="0" fontId="56" fillId="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56" fillId="7" borderId="0" applyNumberFormat="0" applyBorder="0" applyAlignment="0" applyProtection="0"/>
    <xf numFmtId="0" fontId="56" fillId="7"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56" fillId="9" borderId="0" applyNumberFormat="0" applyBorder="0" applyAlignment="0" applyProtection="0"/>
    <xf numFmtId="0" fontId="56" fillId="9"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56" fillId="10" borderId="0" applyNumberFormat="0" applyBorder="0" applyAlignment="0" applyProtection="0"/>
    <xf numFmtId="0" fontId="56" fillId="10"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56" fillId="11" borderId="0" applyNumberFormat="0" applyBorder="0" applyAlignment="0" applyProtection="0"/>
    <xf numFmtId="0" fontId="56" fillId="1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57" fillId="12" borderId="0" applyNumberFormat="0" applyBorder="0" applyAlignment="0" applyProtection="0"/>
    <xf numFmtId="0" fontId="57" fillId="12" borderId="0" applyNumberFormat="0" applyBorder="0" applyAlignment="0" applyProtection="0"/>
    <xf numFmtId="0" fontId="57" fillId="9" borderId="0" applyNumberFormat="0" applyBorder="0" applyAlignment="0" applyProtection="0"/>
    <xf numFmtId="0" fontId="57" fillId="9" borderId="0" applyNumberFormat="0" applyBorder="0" applyAlignment="0" applyProtection="0"/>
    <xf numFmtId="0" fontId="57" fillId="10" borderId="0" applyNumberFormat="0" applyBorder="0" applyAlignment="0" applyProtection="0"/>
    <xf numFmtId="0" fontId="57" fillId="10"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5" borderId="0" applyNumberFormat="0" applyBorder="0" applyAlignment="0" applyProtection="0"/>
    <xf numFmtId="0" fontId="57" fillId="15" borderId="0" applyNumberFormat="0" applyBorder="0" applyAlignment="0" applyProtection="0"/>
    <xf numFmtId="0" fontId="57" fillId="16" borderId="0" applyNumberFormat="0" applyBorder="0" applyAlignment="0" applyProtection="0"/>
    <xf numFmtId="0" fontId="57" fillId="16" borderId="0" applyNumberFormat="0" applyBorder="0" applyAlignment="0" applyProtection="0"/>
    <xf numFmtId="0" fontId="57" fillId="17" borderId="0" applyNumberFormat="0" applyBorder="0" applyAlignment="0" applyProtection="0"/>
    <xf numFmtId="0" fontId="57" fillId="17" borderId="0" applyNumberFormat="0" applyBorder="0" applyAlignment="0" applyProtection="0"/>
    <xf numFmtId="0" fontId="57" fillId="18" borderId="0" applyNumberFormat="0" applyBorder="0" applyAlignment="0" applyProtection="0"/>
    <xf numFmtId="0" fontId="57" fillId="18"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9" borderId="0" applyNumberFormat="0" applyBorder="0" applyAlignment="0" applyProtection="0"/>
    <xf numFmtId="0" fontId="57" fillId="19" borderId="0" applyNumberFormat="0" applyBorder="0" applyAlignment="0" applyProtection="0"/>
    <xf numFmtId="0" fontId="58" fillId="3" borderId="0" applyNumberFormat="0" applyBorder="0" applyAlignment="0" applyProtection="0"/>
    <xf numFmtId="0" fontId="58" fillId="3" borderId="0" applyNumberFormat="0" applyBorder="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60" fillId="21" borderId="3" applyNumberFormat="0" applyAlignment="0" applyProtection="0"/>
    <xf numFmtId="0" fontId="60" fillId="21" borderId="3" applyNumberFormat="0" applyAlignment="0" applyProtection="0"/>
    <xf numFmtId="43" fontId="6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3" fillId="4" borderId="0" applyNumberFormat="0" applyBorder="0" applyAlignment="0" applyProtection="0"/>
    <xf numFmtId="0" fontId="63"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5" fillId="0" borderId="10" applyNumberFormat="0" applyFill="0" applyAlignment="0" applyProtection="0"/>
    <xf numFmtId="0" fontId="65" fillId="0" borderId="10" applyNumberFormat="0" applyFill="0" applyAlignment="0" applyProtection="0"/>
    <xf numFmtId="0" fontId="66" fillId="24" borderId="0" applyNumberFormat="0" applyBorder="0" applyAlignment="0" applyProtection="0"/>
    <xf numFmtId="0" fontId="66" fillId="24" borderId="0" applyNumberFormat="0" applyBorder="0" applyAlignment="0" applyProtection="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67" fillId="0" borderId="0"/>
    <xf numFmtId="0" fontId="2" fillId="0" borderId="0"/>
    <xf numFmtId="0" fontId="2" fillId="0" borderId="0"/>
    <xf numFmtId="0" fontId="6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6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8"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0" fillId="0" borderId="0">
      <alignment vertical="top"/>
    </xf>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9" fontId="61" fillId="0" borderId="0" applyFont="0" applyFill="0" applyBorder="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1" fillId="0" borderId="0"/>
    <xf numFmtId="0" fontId="1" fillId="0" borderId="0"/>
    <xf numFmtId="0" fontId="2" fillId="0" borderId="0"/>
    <xf numFmtId="0" fontId="2"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9" fontId="2" fillId="0" borderId="0" applyFont="0" applyFill="0" applyBorder="0" applyAlignment="0" applyProtection="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3" fillId="0" borderId="0"/>
    <xf numFmtId="40" fontId="72" fillId="0" borderId="0" applyFont="0" applyFill="0" applyBorder="0" applyAlignment="0" applyProtection="0"/>
    <xf numFmtId="40" fontId="72" fillId="0" borderId="0" applyFont="0" applyFill="0" applyBorder="0" applyAlignment="0" applyProtection="0"/>
    <xf numFmtId="0" fontId="72" fillId="0" borderId="0"/>
    <xf numFmtId="0" fontId="3" fillId="0" borderId="0"/>
    <xf numFmtId="0" fontId="72" fillId="0" borderId="0"/>
    <xf numFmtId="0" fontId="6" fillId="0" borderId="0"/>
    <xf numFmtId="9" fontId="72" fillId="0" borderId="0" applyFont="0" applyFill="0" applyBorder="0" applyAlignment="0" applyProtection="0"/>
    <xf numFmtId="9" fontId="72" fillId="0" borderId="0" applyFont="0" applyFill="0" applyBorder="0" applyAlignment="0" applyProtection="0"/>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3"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2" fillId="0" borderId="0"/>
    <xf numFmtId="0" fontId="51" fillId="0" borderId="0"/>
    <xf numFmtId="0" fontId="5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0" fontId="2" fillId="0" borderId="0" applyFont="0" applyFill="0" applyBorder="0" applyAlignment="0" applyProtection="0"/>
    <xf numFmtId="10"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9" fontId="2" fillId="0" borderId="0" applyFont="0" applyFill="0" applyBorder="0" applyAlignment="0" applyProtection="0"/>
    <xf numFmtId="0" fontId="2" fillId="0" borderId="0"/>
    <xf numFmtId="0" fontId="50" fillId="0" borderId="0"/>
    <xf numFmtId="0" fontId="2" fillId="0" borderId="0">
      <alignment vertical="top"/>
    </xf>
    <xf numFmtId="0" fontId="48" fillId="0" borderId="0"/>
    <xf numFmtId="0" fontId="2" fillId="0" borderId="0">
      <alignment vertical="top"/>
    </xf>
    <xf numFmtId="0" fontId="2" fillId="0" borderId="0">
      <alignment vertical="top"/>
    </xf>
    <xf numFmtId="0" fontId="50" fillId="0" borderId="0"/>
    <xf numFmtId="0" fontId="50" fillId="0" borderId="0"/>
    <xf numFmtId="0" fontId="2" fillId="0" borderId="0"/>
    <xf numFmtId="0" fontId="2" fillId="0" borderId="0"/>
    <xf numFmtId="0" fontId="2" fillId="0" borderId="0"/>
    <xf numFmtId="43" fontId="13"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0" fontId="2" fillId="0" borderId="0"/>
    <xf numFmtId="0" fontId="13"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4" fontId="11" fillId="0" borderId="17" applyNumberFormat="0" applyProtection="0">
      <alignment horizontal="left" vertical="center" indent="1"/>
    </xf>
  </cellStyleXfs>
  <cellXfs count="124">
    <xf numFmtId="0" fontId="0" fillId="0" borderId="0" xfId="0"/>
    <xf numFmtId="0" fontId="0" fillId="0" borderId="0" xfId="0" applyProtection="1">
      <protection locked="0"/>
    </xf>
    <xf numFmtId="0" fontId="0" fillId="0" borderId="0" xfId="0" applyFill="1"/>
    <xf numFmtId="0" fontId="74" fillId="0" borderId="0" xfId="0" applyFont="1"/>
    <xf numFmtId="0" fontId="0" fillId="72" borderId="0" xfId="0" applyFill="1"/>
    <xf numFmtId="0" fontId="75" fillId="0" borderId="0" xfId="0" applyFont="1"/>
    <xf numFmtId="0" fontId="0" fillId="73" borderId="0" xfId="0" applyFill="1"/>
    <xf numFmtId="0" fontId="76" fillId="0" borderId="0" xfId="0" applyFont="1"/>
    <xf numFmtId="0" fontId="0" fillId="31" borderId="0" xfId="0" applyFill="1"/>
    <xf numFmtId="0" fontId="77" fillId="0" borderId="0" xfId="0" applyFont="1"/>
    <xf numFmtId="0" fontId="0" fillId="37" borderId="0" xfId="0" applyFill="1"/>
    <xf numFmtId="0" fontId="78" fillId="0" borderId="0" xfId="0" applyFont="1"/>
    <xf numFmtId="0" fontId="0" fillId="74" borderId="0" xfId="0" applyFill="1"/>
    <xf numFmtId="0" fontId="79" fillId="0" borderId="0" xfId="0" applyFont="1"/>
    <xf numFmtId="0" fontId="0" fillId="75" borderId="0" xfId="0" applyFill="1"/>
    <xf numFmtId="0" fontId="80" fillId="0" borderId="0" xfId="0" applyFont="1"/>
    <xf numFmtId="0" fontId="0" fillId="76" borderId="0" xfId="0" applyFill="1"/>
    <xf numFmtId="0" fontId="81" fillId="0" borderId="0" xfId="0" applyFont="1"/>
    <xf numFmtId="0" fontId="0" fillId="77" borderId="0" xfId="0" applyFill="1"/>
    <xf numFmtId="0" fontId="82" fillId="0" borderId="0" xfId="0" applyFont="1"/>
    <xf numFmtId="0" fontId="0" fillId="78" borderId="0" xfId="0" applyFill="1"/>
    <xf numFmtId="0" fontId="83" fillId="0" borderId="0" xfId="0" applyFont="1"/>
    <xf numFmtId="0" fontId="0" fillId="79" borderId="0" xfId="0" applyFill="1"/>
    <xf numFmtId="0" fontId="84" fillId="0" borderId="0" xfId="0" applyFont="1"/>
    <xf numFmtId="0" fontId="0" fillId="80" borderId="0" xfId="0" applyFill="1"/>
    <xf numFmtId="0" fontId="85" fillId="0" borderId="0" xfId="0" applyFont="1"/>
    <xf numFmtId="0" fontId="0" fillId="81" borderId="0" xfId="0" applyFill="1"/>
    <xf numFmtId="0" fontId="86" fillId="0" borderId="0" xfId="0" applyFont="1"/>
    <xf numFmtId="0" fontId="0" fillId="82" borderId="0" xfId="0" applyFill="1"/>
    <xf numFmtId="0" fontId="87" fillId="0" borderId="0" xfId="0" applyFont="1"/>
    <xf numFmtId="0" fontId="0" fillId="83" borderId="0" xfId="0" applyFill="1"/>
    <xf numFmtId="0" fontId="88" fillId="0" borderId="0" xfId="0" applyFont="1"/>
    <xf numFmtId="0" fontId="0" fillId="22" borderId="0" xfId="0" applyFill="1"/>
    <xf numFmtId="0" fontId="89" fillId="0" borderId="0" xfId="0" applyFont="1"/>
    <xf numFmtId="0" fontId="0" fillId="43" borderId="0" xfId="0" applyFill="1"/>
    <xf numFmtId="0" fontId="90" fillId="0" borderId="0" xfId="0" applyFont="1"/>
    <xf numFmtId="0" fontId="0" fillId="84" borderId="0" xfId="0" applyFill="1"/>
    <xf numFmtId="0" fontId="91" fillId="0" borderId="0" xfId="0" applyFont="1"/>
    <xf numFmtId="0" fontId="0" fillId="85" borderId="0" xfId="0" applyFill="1"/>
    <xf numFmtId="0" fontId="92" fillId="0" borderId="0" xfId="0" applyFont="1"/>
    <xf numFmtId="0" fontId="0" fillId="23" borderId="0" xfId="0" applyFill="1"/>
    <xf numFmtId="0" fontId="93" fillId="0" borderId="0" xfId="0" applyFont="1"/>
    <xf numFmtId="0" fontId="0" fillId="86" borderId="0" xfId="0" applyFill="1"/>
    <xf numFmtId="0" fontId="94" fillId="0" borderId="0" xfId="0" applyFont="1"/>
    <xf numFmtId="0" fontId="0" fillId="87" borderId="0" xfId="0" applyFill="1"/>
    <xf numFmtId="0" fontId="95" fillId="0" borderId="0" xfId="0" applyFont="1"/>
    <xf numFmtId="0" fontId="0" fillId="30" borderId="0" xfId="0" applyFill="1"/>
    <xf numFmtId="0" fontId="96" fillId="0" borderId="0" xfId="0" applyFont="1"/>
    <xf numFmtId="0" fontId="0" fillId="88" borderId="0" xfId="0" applyFill="1"/>
    <xf numFmtId="0" fontId="97" fillId="0" borderId="0" xfId="0" applyFont="1"/>
    <xf numFmtId="0" fontId="0" fillId="42" borderId="0" xfId="0" applyFill="1"/>
    <xf numFmtId="0" fontId="98" fillId="0" borderId="0" xfId="0" applyFont="1"/>
    <xf numFmtId="0" fontId="0" fillId="89" borderId="0" xfId="0" applyFill="1"/>
    <xf numFmtId="0" fontId="99" fillId="0" borderId="0" xfId="0" applyFont="1"/>
    <xf numFmtId="0" fontId="0" fillId="90" borderId="0" xfId="0" applyFill="1"/>
    <xf numFmtId="0" fontId="100" fillId="0" borderId="0" xfId="0" applyFont="1"/>
    <xf numFmtId="0" fontId="0" fillId="91" borderId="0" xfId="0" applyFill="1"/>
    <xf numFmtId="0" fontId="101" fillId="0" borderId="0" xfId="0" applyFont="1"/>
    <xf numFmtId="0" fontId="0" fillId="41" borderId="0" xfId="0" applyFill="1"/>
    <xf numFmtId="0" fontId="102" fillId="0" borderId="0" xfId="0" applyFont="1"/>
    <xf numFmtId="0" fontId="0" fillId="92" borderId="0" xfId="0" applyFill="1"/>
    <xf numFmtId="0" fontId="103" fillId="0" borderId="0" xfId="0" applyFont="1"/>
    <xf numFmtId="0" fontId="0" fillId="93" borderId="0" xfId="0" applyFill="1"/>
    <xf numFmtId="0" fontId="104" fillId="0" borderId="0" xfId="0" applyFont="1"/>
    <xf numFmtId="0" fontId="0" fillId="94" borderId="0" xfId="0" applyFill="1"/>
    <xf numFmtId="0" fontId="105" fillId="0" borderId="0" xfId="0" applyFont="1"/>
    <xf numFmtId="0" fontId="0" fillId="95" borderId="0" xfId="0" applyFill="1"/>
    <xf numFmtId="0" fontId="106" fillId="0" borderId="0" xfId="0" applyFont="1"/>
    <xf numFmtId="0" fontId="0" fillId="96" borderId="0" xfId="0" applyFill="1"/>
    <xf numFmtId="0" fontId="107" fillId="0" borderId="0" xfId="0" applyFont="1"/>
    <xf numFmtId="0" fontId="0" fillId="45" borderId="0" xfId="0" applyFill="1"/>
    <xf numFmtId="0" fontId="108" fillId="0" borderId="0" xfId="0" applyFont="1"/>
    <xf numFmtId="0" fontId="0" fillId="97" borderId="0" xfId="0" applyFill="1"/>
    <xf numFmtId="0" fontId="109" fillId="0" borderId="0" xfId="0" applyFont="1"/>
    <xf numFmtId="0" fontId="0" fillId="26" borderId="0" xfId="0" applyFill="1"/>
    <xf numFmtId="0" fontId="110" fillId="0" borderId="0" xfId="0" applyFont="1"/>
    <xf numFmtId="0" fontId="0" fillId="40" borderId="0" xfId="0" applyFill="1"/>
    <xf numFmtId="0" fontId="111" fillId="0" borderId="0" xfId="0" applyFont="1"/>
    <xf numFmtId="0" fontId="0" fillId="29" borderId="0" xfId="0" applyFill="1"/>
    <xf numFmtId="0" fontId="112" fillId="0" borderId="0" xfId="0" applyFont="1"/>
    <xf numFmtId="0" fontId="0" fillId="98" borderId="0" xfId="0" applyFill="1"/>
    <xf numFmtId="0" fontId="113" fillId="0" borderId="0" xfId="0" applyFont="1"/>
    <xf numFmtId="0" fontId="0" fillId="99" borderId="0" xfId="0" applyFill="1"/>
    <xf numFmtId="0" fontId="114" fillId="0" borderId="0" xfId="0" applyFont="1"/>
    <xf numFmtId="0" fontId="0" fillId="100" borderId="0" xfId="0" applyFill="1"/>
    <xf numFmtId="0" fontId="115" fillId="0" borderId="0" xfId="0" applyFont="1"/>
    <xf numFmtId="0" fontId="0" fillId="101" borderId="0" xfId="0" applyFill="1"/>
    <xf numFmtId="0" fontId="116" fillId="0" borderId="0" xfId="0" applyFont="1"/>
    <xf numFmtId="0" fontId="0" fillId="36" borderId="0" xfId="0" applyFill="1"/>
    <xf numFmtId="0" fontId="117" fillId="0" borderId="0" xfId="0" applyFont="1"/>
    <xf numFmtId="0" fontId="0" fillId="32" borderId="0" xfId="0" applyFill="1"/>
    <xf numFmtId="0" fontId="118" fillId="0" borderId="0" xfId="0" applyFont="1"/>
    <xf numFmtId="0" fontId="0" fillId="33" borderId="0" xfId="0" applyFill="1"/>
    <xf numFmtId="0" fontId="119" fillId="0" borderId="0" xfId="0" applyFont="1"/>
    <xf numFmtId="0" fontId="0" fillId="34" borderId="0" xfId="0" applyFill="1"/>
    <xf numFmtId="0" fontId="120" fillId="0" borderId="0" xfId="0" applyFont="1"/>
    <xf numFmtId="0" fontId="0" fillId="27" borderId="0" xfId="0" applyFill="1"/>
    <xf numFmtId="0" fontId="121" fillId="0" borderId="0" xfId="0" applyFont="1"/>
    <xf numFmtId="0" fontId="0" fillId="44" borderId="0" xfId="0" applyFill="1"/>
    <xf numFmtId="0" fontId="122" fillId="0" borderId="0" xfId="0" applyFont="1"/>
    <xf numFmtId="0" fontId="0" fillId="102" borderId="0" xfId="0" applyFill="1"/>
    <xf numFmtId="0" fontId="123" fillId="0" borderId="0" xfId="0" applyFont="1"/>
    <xf numFmtId="0" fontId="0" fillId="35" borderId="0" xfId="0" applyFill="1"/>
    <xf numFmtId="0" fontId="124" fillId="0" borderId="0" xfId="0" applyFont="1"/>
    <xf numFmtId="0" fontId="0" fillId="103" borderId="0" xfId="0" applyFill="1"/>
    <xf numFmtId="0" fontId="125" fillId="0" borderId="0" xfId="0" applyFont="1"/>
    <xf numFmtId="0" fontId="0" fillId="104" borderId="0" xfId="0" applyFill="1"/>
    <xf numFmtId="0" fontId="126" fillId="0" borderId="0" xfId="0" applyFont="1"/>
    <xf numFmtId="0" fontId="0" fillId="105" borderId="0" xfId="0" applyFill="1"/>
    <xf numFmtId="0" fontId="127" fillId="0" borderId="0" xfId="0" applyFont="1"/>
    <xf numFmtId="0" fontId="0" fillId="106" borderId="0" xfId="0" applyFill="1"/>
    <xf numFmtId="0" fontId="128" fillId="0" borderId="0" xfId="0" applyFont="1"/>
    <xf numFmtId="0" fontId="0" fillId="107" borderId="0" xfId="0" applyFill="1"/>
    <xf numFmtId="0" fontId="129" fillId="0" borderId="0" xfId="0" applyFont="1"/>
    <xf numFmtId="0" fontId="0" fillId="108" borderId="0" xfId="0" applyFill="1"/>
    <xf numFmtId="0" fontId="130" fillId="0" borderId="0" xfId="0" applyFont="1"/>
    <xf numFmtId="14" fontId="0" fillId="0" borderId="0" xfId="0" applyNumberFormat="1" applyProtection="1"/>
    <xf numFmtId="0" fontId="131" fillId="0" borderId="0" xfId="0" applyFont="1"/>
    <xf numFmtId="0" fontId="131" fillId="0" borderId="0" xfId="0" applyFont="1" applyProtection="1">
      <protection locked="0"/>
    </xf>
    <xf numFmtId="0" fontId="131" fillId="0" borderId="0" xfId="0" applyFont="1" applyAlignment="1" applyProtection="1">
      <alignment wrapText="1"/>
      <protection locked="0"/>
    </xf>
    <xf numFmtId="0" fontId="0" fillId="0" borderId="0" xfId="0" applyFont="1" applyAlignment="1" applyProtection="1">
      <alignment wrapText="1"/>
      <protection locked="0"/>
    </xf>
    <xf numFmtId="0" fontId="0" fillId="0" borderId="0" xfId="0" applyFont="1" applyProtection="1">
      <protection locked="0"/>
    </xf>
    <xf numFmtId="0" fontId="0" fillId="0" borderId="0" xfId="0" applyFont="1"/>
    <xf numFmtId="0" fontId="131" fillId="0" borderId="0" xfId="0" applyFont="1" applyProtection="1"/>
  </cellXfs>
  <cellStyles count="39817">
    <cellStyle name="20% - Accent1 2" xfId="4"/>
    <cellStyle name="20% - Accent1 2 2" xfId="2105"/>
    <cellStyle name="20% - Accent1 2 2 2" xfId="2106"/>
    <cellStyle name="20% - Accent1 2 2 2 2" xfId="2107"/>
    <cellStyle name="20% - Accent1 2 2 2 2 2" xfId="2108"/>
    <cellStyle name="20% - Accent1 2 2 2 2 2 2" xfId="2109"/>
    <cellStyle name="20% - Accent1 2 2 2 2 2 3" xfId="2110"/>
    <cellStyle name="20% - Accent1 2 2 2 2 3" xfId="2111"/>
    <cellStyle name="20% - Accent1 2 2 2 2 4" xfId="2112"/>
    <cellStyle name="20% - Accent1 2 2 2 3" xfId="2113"/>
    <cellStyle name="20% - Accent1 2 2 2 3 2" xfId="2114"/>
    <cellStyle name="20% - Accent1 2 2 2 3 3" xfId="2115"/>
    <cellStyle name="20% - Accent1 2 2 2 4" xfId="2116"/>
    <cellStyle name="20% - Accent1 2 2 2 5" xfId="2117"/>
    <cellStyle name="20% - Accent1 2 2 3" xfId="2118"/>
    <cellStyle name="20% - Accent1 2 2 3 2" xfId="2119"/>
    <cellStyle name="20% - Accent1 2 2 3 2 2" xfId="2120"/>
    <cellStyle name="20% - Accent1 2 2 3 2 3" xfId="2121"/>
    <cellStyle name="20% - Accent1 2 2 3 3" xfId="2122"/>
    <cellStyle name="20% - Accent1 2 2 3 4" xfId="2123"/>
    <cellStyle name="20% - Accent1 2 2 4" xfId="2124"/>
    <cellStyle name="20% - Accent1 2 2 4 2" xfId="2125"/>
    <cellStyle name="20% - Accent1 2 2 4 3" xfId="2126"/>
    <cellStyle name="20% - Accent1 2 2 5" xfId="2127"/>
    <cellStyle name="20% - Accent1 2 2 6" xfId="2128"/>
    <cellStyle name="20% - Accent1 2 3" xfId="2129"/>
    <cellStyle name="20% - Accent1 2 3 2" xfId="2130"/>
    <cellStyle name="20% - Accent1 2 3 2 2" xfId="2131"/>
    <cellStyle name="20% - Accent1 2 3 2 2 2" xfId="2132"/>
    <cellStyle name="20% - Accent1 2 3 2 2 3" xfId="2133"/>
    <cellStyle name="20% - Accent1 2 3 2 3" xfId="2134"/>
    <cellStyle name="20% - Accent1 2 3 2 4" xfId="2135"/>
    <cellStyle name="20% - Accent1 2 3 3" xfId="2136"/>
    <cellStyle name="20% - Accent1 2 3 3 2" xfId="2137"/>
    <cellStyle name="20% - Accent1 2 3 3 3" xfId="2138"/>
    <cellStyle name="20% - Accent1 2 3 4" xfId="2139"/>
    <cellStyle name="20% - Accent1 2 3 5" xfId="2140"/>
    <cellStyle name="20% - Accent1 2 4" xfId="2141"/>
    <cellStyle name="20% - Accent1 2 4 2" xfId="2142"/>
    <cellStyle name="20% - Accent1 2 4 2 2" xfId="2143"/>
    <cellStyle name="20% - Accent1 2 4 2 3" xfId="2144"/>
    <cellStyle name="20% - Accent1 2 4 3" xfId="2145"/>
    <cellStyle name="20% - Accent1 2 4 4" xfId="2146"/>
    <cellStyle name="20% - Accent1 2 5" xfId="2147"/>
    <cellStyle name="20% - Accent1 2 5 2" xfId="2148"/>
    <cellStyle name="20% - Accent1 2 5 3" xfId="2149"/>
    <cellStyle name="20% - Accent1 2 6" xfId="2150"/>
    <cellStyle name="20% - Accent1 2 7" xfId="2151"/>
    <cellStyle name="20% - Accent1 2 8" xfId="2104"/>
    <cellStyle name="20% - Accent1 2 9" xfId="3698"/>
    <cellStyle name="20% - Accent1 3" xfId="849"/>
    <cellStyle name="20% - Accent1 3 2" xfId="2153"/>
    <cellStyle name="20% - Accent1 3 2 2" xfId="2154"/>
    <cellStyle name="20% - Accent1 3 2 2 2" xfId="2155"/>
    <cellStyle name="20% - Accent1 3 2 2 2 2" xfId="2156"/>
    <cellStyle name="20% - Accent1 3 2 2 2 3" xfId="2157"/>
    <cellStyle name="20% - Accent1 3 2 2 3" xfId="2158"/>
    <cellStyle name="20% - Accent1 3 2 2 4" xfId="2159"/>
    <cellStyle name="20% - Accent1 3 2 3" xfId="2160"/>
    <cellStyle name="20% - Accent1 3 2 3 2" xfId="2161"/>
    <cellStyle name="20% - Accent1 3 2 3 3" xfId="2162"/>
    <cellStyle name="20% - Accent1 3 2 4" xfId="2163"/>
    <cellStyle name="20% - Accent1 3 2 5" xfId="2164"/>
    <cellStyle name="20% - Accent1 3 3" xfId="2165"/>
    <cellStyle name="20% - Accent1 3 3 2" xfId="2166"/>
    <cellStyle name="20% - Accent1 3 3 2 2" xfId="2167"/>
    <cellStyle name="20% - Accent1 3 3 2 3" xfId="2168"/>
    <cellStyle name="20% - Accent1 3 3 3" xfId="2169"/>
    <cellStyle name="20% - Accent1 3 3 4" xfId="2170"/>
    <cellStyle name="20% - Accent1 3 4" xfId="2171"/>
    <cellStyle name="20% - Accent1 3 4 2" xfId="2172"/>
    <cellStyle name="20% - Accent1 3 4 3" xfId="2173"/>
    <cellStyle name="20% - Accent1 3 5" xfId="2174"/>
    <cellStyle name="20% - Accent1 3 6" xfId="2175"/>
    <cellStyle name="20% - Accent1 3 7" xfId="2152"/>
    <cellStyle name="20% - Accent1 3 8" xfId="3699"/>
    <cellStyle name="20% - Accent1 4" xfId="1934"/>
    <cellStyle name="20% - Accent1 4 2" xfId="2177"/>
    <cellStyle name="20% - Accent1 4 2 2" xfId="2178"/>
    <cellStyle name="20% - Accent1 4 2 2 2" xfId="2179"/>
    <cellStyle name="20% - Accent1 4 2 2 3" xfId="2180"/>
    <cellStyle name="20% - Accent1 4 2 3" xfId="2181"/>
    <cellStyle name="20% - Accent1 4 2 4" xfId="2182"/>
    <cellStyle name="20% - Accent1 4 3" xfId="2183"/>
    <cellStyle name="20% - Accent1 4 3 2" xfId="2184"/>
    <cellStyle name="20% - Accent1 4 3 3" xfId="2185"/>
    <cellStyle name="20% - Accent1 4 4" xfId="2186"/>
    <cellStyle name="20% - Accent1 4 4 2" xfId="3700"/>
    <cellStyle name="20% - Accent1 4 5" xfId="2187"/>
    <cellStyle name="20% - Accent1 4 6" xfId="2176"/>
    <cellStyle name="20% - Accent1 5" xfId="3"/>
    <cellStyle name="20% - Accent1 5 2" xfId="2189"/>
    <cellStyle name="20% - Accent1 5 2 2" xfId="2190"/>
    <cellStyle name="20% - Accent1 5 2 2 2" xfId="2191"/>
    <cellStyle name="20% - Accent1 5 2 2 3" xfId="2192"/>
    <cellStyle name="20% - Accent1 5 2 3" xfId="2193"/>
    <cellStyle name="20% - Accent1 5 2 4" xfId="2194"/>
    <cellStyle name="20% - Accent1 5 3" xfId="2195"/>
    <cellStyle name="20% - Accent1 5 3 2" xfId="2196"/>
    <cellStyle name="20% - Accent1 5 3 3" xfId="2197"/>
    <cellStyle name="20% - Accent1 5 4" xfId="2198"/>
    <cellStyle name="20% - Accent1 5 4 2" xfId="3701"/>
    <cellStyle name="20% - Accent1 5 5" xfId="2199"/>
    <cellStyle name="20% - Accent1 5 6" xfId="2188"/>
    <cellStyle name="20% - Accent1 6" xfId="2200"/>
    <cellStyle name="20% - Accent1 6 2" xfId="2201"/>
    <cellStyle name="20% - Accent1 6 2 2" xfId="2202"/>
    <cellStyle name="20% - Accent1 6 2 3" xfId="2203"/>
    <cellStyle name="20% - Accent1 6 3" xfId="2204"/>
    <cellStyle name="20% - Accent1 6 4" xfId="2205"/>
    <cellStyle name="20% - Accent1 7" xfId="2206"/>
    <cellStyle name="20% - Accent1 7 2" xfId="2207"/>
    <cellStyle name="20% - Accent1 7 3" xfId="2208"/>
    <cellStyle name="20% - Accent1 8" xfId="2209"/>
    <cellStyle name="20% - Accent2 2" xfId="6"/>
    <cellStyle name="20% - Accent2 2 2" xfId="2211"/>
    <cellStyle name="20% - Accent2 2 2 2" xfId="2212"/>
    <cellStyle name="20% - Accent2 2 2 2 2" xfId="2213"/>
    <cellStyle name="20% - Accent2 2 2 2 2 2" xfId="2214"/>
    <cellStyle name="20% - Accent2 2 2 2 2 2 2" xfId="2215"/>
    <cellStyle name="20% - Accent2 2 2 2 2 2 3" xfId="2216"/>
    <cellStyle name="20% - Accent2 2 2 2 2 3" xfId="2217"/>
    <cellStyle name="20% - Accent2 2 2 2 2 4" xfId="2218"/>
    <cellStyle name="20% - Accent2 2 2 2 3" xfId="2219"/>
    <cellStyle name="20% - Accent2 2 2 2 3 2" xfId="2220"/>
    <cellStyle name="20% - Accent2 2 2 2 3 3" xfId="2221"/>
    <cellStyle name="20% - Accent2 2 2 2 4" xfId="2222"/>
    <cellStyle name="20% - Accent2 2 2 2 5" xfId="2223"/>
    <cellStyle name="20% - Accent2 2 2 3" xfId="2224"/>
    <cellStyle name="20% - Accent2 2 2 3 2" xfId="2225"/>
    <cellStyle name="20% - Accent2 2 2 3 2 2" xfId="2226"/>
    <cellStyle name="20% - Accent2 2 2 3 2 3" xfId="2227"/>
    <cellStyle name="20% - Accent2 2 2 3 3" xfId="2228"/>
    <cellStyle name="20% - Accent2 2 2 3 4" xfId="2229"/>
    <cellStyle name="20% - Accent2 2 2 4" xfId="2230"/>
    <cellStyle name="20% - Accent2 2 2 4 2" xfId="2231"/>
    <cellStyle name="20% - Accent2 2 2 4 3" xfId="2232"/>
    <cellStyle name="20% - Accent2 2 2 5" xfId="2233"/>
    <cellStyle name="20% - Accent2 2 2 6" xfId="2234"/>
    <cellStyle name="20% - Accent2 2 3" xfId="2235"/>
    <cellStyle name="20% - Accent2 2 3 2" xfId="2236"/>
    <cellStyle name="20% - Accent2 2 3 2 2" xfId="2237"/>
    <cellStyle name="20% - Accent2 2 3 2 2 2" xfId="2238"/>
    <cellStyle name="20% - Accent2 2 3 2 2 3" xfId="2239"/>
    <cellStyle name="20% - Accent2 2 3 2 3" xfId="2240"/>
    <cellStyle name="20% - Accent2 2 3 2 4" xfId="2241"/>
    <cellStyle name="20% - Accent2 2 3 3" xfId="2242"/>
    <cellStyle name="20% - Accent2 2 3 3 2" xfId="2243"/>
    <cellStyle name="20% - Accent2 2 3 3 3" xfId="2244"/>
    <cellStyle name="20% - Accent2 2 3 4" xfId="2245"/>
    <cellStyle name="20% - Accent2 2 3 5" xfId="2246"/>
    <cellStyle name="20% - Accent2 2 4" xfId="2247"/>
    <cellStyle name="20% - Accent2 2 4 2" xfId="2248"/>
    <cellStyle name="20% - Accent2 2 4 2 2" xfId="2249"/>
    <cellStyle name="20% - Accent2 2 4 2 3" xfId="2250"/>
    <cellStyle name="20% - Accent2 2 4 3" xfId="2251"/>
    <cellStyle name="20% - Accent2 2 4 4" xfId="2252"/>
    <cellStyle name="20% - Accent2 2 5" xfId="2253"/>
    <cellStyle name="20% - Accent2 2 5 2" xfId="2254"/>
    <cellStyle name="20% - Accent2 2 5 3" xfId="2255"/>
    <cellStyle name="20% - Accent2 2 6" xfId="2256"/>
    <cellStyle name="20% - Accent2 2 7" xfId="2257"/>
    <cellStyle name="20% - Accent2 2 8" xfId="2210"/>
    <cellStyle name="20% - Accent2 2 9" xfId="3702"/>
    <cellStyle name="20% - Accent2 3" xfId="850"/>
    <cellStyle name="20% - Accent2 3 2" xfId="2259"/>
    <cellStyle name="20% - Accent2 3 2 2" xfId="2260"/>
    <cellStyle name="20% - Accent2 3 2 2 2" xfId="2261"/>
    <cellStyle name="20% - Accent2 3 2 2 2 2" xfId="2262"/>
    <cellStyle name="20% - Accent2 3 2 2 2 3" xfId="2263"/>
    <cellStyle name="20% - Accent2 3 2 2 3" xfId="2264"/>
    <cellStyle name="20% - Accent2 3 2 2 4" xfId="2265"/>
    <cellStyle name="20% - Accent2 3 2 3" xfId="2266"/>
    <cellStyle name="20% - Accent2 3 2 3 2" xfId="2267"/>
    <cellStyle name="20% - Accent2 3 2 3 3" xfId="2268"/>
    <cellStyle name="20% - Accent2 3 2 4" xfId="2269"/>
    <cellStyle name="20% - Accent2 3 2 5" xfId="2270"/>
    <cellStyle name="20% - Accent2 3 3" xfId="2271"/>
    <cellStyle name="20% - Accent2 3 3 2" xfId="2272"/>
    <cellStyle name="20% - Accent2 3 3 2 2" xfId="2273"/>
    <cellStyle name="20% - Accent2 3 3 2 3" xfId="2274"/>
    <cellStyle name="20% - Accent2 3 3 3" xfId="2275"/>
    <cellStyle name="20% - Accent2 3 3 4" xfId="2276"/>
    <cellStyle name="20% - Accent2 3 4" xfId="2277"/>
    <cellStyle name="20% - Accent2 3 4 2" xfId="2278"/>
    <cellStyle name="20% - Accent2 3 4 3" xfId="2279"/>
    <cellStyle name="20% - Accent2 3 5" xfId="2280"/>
    <cellStyle name="20% - Accent2 3 6" xfId="2281"/>
    <cellStyle name="20% - Accent2 3 7" xfId="2258"/>
    <cellStyle name="20% - Accent2 3 8" xfId="3703"/>
    <cellStyle name="20% - Accent2 4" xfId="1935"/>
    <cellStyle name="20% - Accent2 4 2" xfId="2283"/>
    <cellStyle name="20% - Accent2 4 2 2" xfId="2284"/>
    <cellStyle name="20% - Accent2 4 2 2 2" xfId="2285"/>
    <cellStyle name="20% - Accent2 4 2 2 3" xfId="2286"/>
    <cellStyle name="20% - Accent2 4 2 3" xfId="2287"/>
    <cellStyle name="20% - Accent2 4 2 4" xfId="2288"/>
    <cellStyle name="20% - Accent2 4 3" xfId="2289"/>
    <cellStyle name="20% - Accent2 4 3 2" xfId="2290"/>
    <cellStyle name="20% - Accent2 4 3 3" xfId="2291"/>
    <cellStyle name="20% - Accent2 4 4" xfId="2292"/>
    <cellStyle name="20% - Accent2 4 4 2" xfId="3704"/>
    <cellStyle name="20% - Accent2 4 5" xfId="2293"/>
    <cellStyle name="20% - Accent2 4 6" xfId="2282"/>
    <cellStyle name="20% - Accent2 5" xfId="5"/>
    <cellStyle name="20% - Accent2 5 2" xfId="2295"/>
    <cellStyle name="20% - Accent2 5 2 2" xfId="2296"/>
    <cellStyle name="20% - Accent2 5 2 2 2" xfId="2297"/>
    <cellStyle name="20% - Accent2 5 2 2 3" xfId="2298"/>
    <cellStyle name="20% - Accent2 5 2 3" xfId="2299"/>
    <cellStyle name="20% - Accent2 5 2 4" xfId="2300"/>
    <cellStyle name="20% - Accent2 5 3" xfId="2301"/>
    <cellStyle name="20% - Accent2 5 3 2" xfId="2302"/>
    <cellStyle name="20% - Accent2 5 3 3" xfId="2303"/>
    <cellStyle name="20% - Accent2 5 4" xfId="2304"/>
    <cellStyle name="20% - Accent2 5 4 2" xfId="3705"/>
    <cellStyle name="20% - Accent2 5 5" xfId="2305"/>
    <cellStyle name="20% - Accent2 5 6" xfId="2294"/>
    <cellStyle name="20% - Accent2 6" xfId="2306"/>
    <cellStyle name="20% - Accent2 6 2" xfId="2307"/>
    <cellStyle name="20% - Accent2 6 2 2" xfId="2308"/>
    <cellStyle name="20% - Accent2 6 2 3" xfId="2309"/>
    <cellStyle name="20% - Accent2 6 3" xfId="2310"/>
    <cellStyle name="20% - Accent2 6 4" xfId="2311"/>
    <cellStyle name="20% - Accent2 7" xfId="2312"/>
    <cellStyle name="20% - Accent2 7 2" xfId="2313"/>
    <cellStyle name="20% - Accent2 7 3" xfId="2314"/>
    <cellStyle name="20% - Accent2 8" xfId="2315"/>
    <cellStyle name="20% - Accent3 2" xfId="8"/>
    <cellStyle name="20% - Accent3 2 2" xfId="2317"/>
    <cellStyle name="20% - Accent3 2 2 2" xfId="2318"/>
    <cellStyle name="20% - Accent3 2 2 2 2" xfId="2319"/>
    <cellStyle name="20% - Accent3 2 2 2 2 2" xfId="2320"/>
    <cellStyle name="20% - Accent3 2 2 2 2 2 2" xfId="2321"/>
    <cellStyle name="20% - Accent3 2 2 2 2 2 3" xfId="2322"/>
    <cellStyle name="20% - Accent3 2 2 2 2 3" xfId="2323"/>
    <cellStyle name="20% - Accent3 2 2 2 2 4" xfId="2324"/>
    <cellStyle name="20% - Accent3 2 2 2 3" xfId="2325"/>
    <cellStyle name="20% - Accent3 2 2 2 3 2" xfId="2326"/>
    <cellStyle name="20% - Accent3 2 2 2 3 3" xfId="2327"/>
    <cellStyle name="20% - Accent3 2 2 2 4" xfId="2328"/>
    <cellStyle name="20% - Accent3 2 2 2 5" xfId="2329"/>
    <cellStyle name="20% - Accent3 2 2 3" xfId="2330"/>
    <cellStyle name="20% - Accent3 2 2 3 2" xfId="2331"/>
    <cellStyle name="20% - Accent3 2 2 3 2 2" xfId="2332"/>
    <cellStyle name="20% - Accent3 2 2 3 2 3" xfId="2333"/>
    <cellStyle name="20% - Accent3 2 2 3 3" xfId="2334"/>
    <cellStyle name="20% - Accent3 2 2 3 4" xfId="2335"/>
    <cellStyle name="20% - Accent3 2 2 4" xfId="2336"/>
    <cellStyle name="20% - Accent3 2 2 4 2" xfId="2337"/>
    <cellStyle name="20% - Accent3 2 2 4 3" xfId="2338"/>
    <cellStyle name="20% - Accent3 2 2 5" xfId="2339"/>
    <cellStyle name="20% - Accent3 2 2 6" xfId="2340"/>
    <cellStyle name="20% - Accent3 2 3" xfId="2341"/>
    <cellStyle name="20% - Accent3 2 3 2" xfId="2342"/>
    <cellStyle name="20% - Accent3 2 3 2 2" xfId="2343"/>
    <cellStyle name="20% - Accent3 2 3 2 2 2" xfId="2344"/>
    <cellStyle name="20% - Accent3 2 3 2 2 3" xfId="2345"/>
    <cellStyle name="20% - Accent3 2 3 2 3" xfId="2346"/>
    <cellStyle name="20% - Accent3 2 3 2 4" xfId="2347"/>
    <cellStyle name="20% - Accent3 2 3 3" xfId="2348"/>
    <cellStyle name="20% - Accent3 2 3 3 2" xfId="2349"/>
    <cellStyle name="20% - Accent3 2 3 3 3" xfId="2350"/>
    <cellStyle name="20% - Accent3 2 3 4" xfId="2351"/>
    <cellStyle name="20% - Accent3 2 3 5" xfId="2352"/>
    <cellStyle name="20% - Accent3 2 4" xfId="2353"/>
    <cellStyle name="20% - Accent3 2 4 2" xfId="2354"/>
    <cellStyle name="20% - Accent3 2 4 2 2" xfId="2355"/>
    <cellStyle name="20% - Accent3 2 4 2 3" xfId="2356"/>
    <cellStyle name="20% - Accent3 2 4 3" xfId="2357"/>
    <cellStyle name="20% - Accent3 2 4 4" xfId="2358"/>
    <cellStyle name="20% - Accent3 2 5" xfId="2359"/>
    <cellStyle name="20% - Accent3 2 5 2" xfId="2360"/>
    <cellStyle name="20% - Accent3 2 5 3" xfId="2361"/>
    <cellStyle name="20% - Accent3 2 6" xfId="2362"/>
    <cellStyle name="20% - Accent3 2 7" xfId="2363"/>
    <cellStyle name="20% - Accent3 2 8" xfId="2316"/>
    <cellStyle name="20% - Accent3 2 9" xfId="3706"/>
    <cellStyle name="20% - Accent3 3" xfId="851"/>
    <cellStyle name="20% - Accent3 3 2" xfId="2365"/>
    <cellStyle name="20% - Accent3 3 2 2" xfId="2366"/>
    <cellStyle name="20% - Accent3 3 2 2 2" xfId="2367"/>
    <cellStyle name="20% - Accent3 3 2 2 2 2" xfId="2368"/>
    <cellStyle name="20% - Accent3 3 2 2 2 3" xfId="2369"/>
    <cellStyle name="20% - Accent3 3 2 2 3" xfId="2370"/>
    <cellStyle name="20% - Accent3 3 2 2 4" xfId="2371"/>
    <cellStyle name="20% - Accent3 3 2 3" xfId="2372"/>
    <cellStyle name="20% - Accent3 3 2 3 2" xfId="2373"/>
    <cellStyle name="20% - Accent3 3 2 3 3" xfId="2374"/>
    <cellStyle name="20% - Accent3 3 2 4" xfId="2375"/>
    <cellStyle name="20% - Accent3 3 2 5" xfId="2376"/>
    <cellStyle name="20% - Accent3 3 3" xfId="2377"/>
    <cellStyle name="20% - Accent3 3 3 2" xfId="2378"/>
    <cellStyle name="20% - Accent3 3 3 2 2" xfId="2379"/>
    <cellStyle name="20% - Accent3 3 3 2 3" xfId="2380"/>
    <cellStyle name="20% - Accent3 3 3 3" xfId="2381"/>
    <cellStyle name="20% - Accent3 3 3 4" xfId="2382"/>
    <cellStyle name="20% - Accent3 3 4" xfId="2383"/>
    <cellStyle name="20% - Accent3 3 4 2" xfId="2384"/>
    <cellStyle name="20% - Accent3 3 4 3" xfId="2385"/>
    <cellStyle name="20% - Accent3 3 5" xfId="2386"/>
    <cellStyle name="20% - Accent3 3 6" xfId="2387"/>
    <cellStyle name="20% - Accent3 3 7" xfId="2364"/>
    <cellStyle name="20% - Accent3 3 8" xfId="3707"/>
    <cellStyle name="20% - Accent3 4" xfId="1936"/>
    <cellStyle name="20% - Accent3 4 2" xfId="2389"/>
    <cellStyle name="20% - Accent3 4 2 2" xfId="2390"/>
    <cellStyle name="20% - Accent3 4 2 2 2" xfId="2391"/>
    <cellStyle name="20% - Accent3 4 2 2 3" xfId="2392"/>
    <cellStyle name="20% - Accent3 4 2 3" xfId="2393"/>
    <cellStyle name="20% - Accent3 4 2 4" xfId="2394"/>
    <cellStyle name="20% - Accent3 4 3" xfId="2395"/>
    <cellStyle name="20% - Accent3 4 3 2" xfId="2396"/>
    <cellStyle name="20% - Accent3 4 3 3" xfId="2397"/>
    <cellStyle name="20% - Accent3 4 4" xfId="2398"/>
    <cellStyle name="20% - Accent3 4 4 2" xfId="3708"/>
    <cellStyle name="20% - Accent3 4 5" xfId="2399"/>
    <cellStyle name="20% - Accent3 4 6" xfId="2388"/>
    <cellStyle name="20% - Accent3 5" xfId="7"/>
    <cellStyle name="20% - Accent3 5 2" xfId="2401"/>
    <cellStyle name="20% - Accent3 5 2 2" xfId="2402"/>
    <cellStyle name="20% - Accent3 5 2 2 2" xfId="2403"/>
    <cellStyle name="20% - Accent3 5 2 2 3" xfId="2404"/>
    <cellStyle name="20% - Accent3 5 2 3" xfId="2405"/>
    <cellStyle name="20% - Accent3 5 2 4" xfId="2406"/>
    <cellStyle name="20% - Accent3 5 3" xfId="2407"/>
    <cellStyle name="20% - Accent3 5 3 2" xfId="2408"/>
    <cellStyle name="20% - Accent3 5 3 3" xfId="2409"/>
    <cellStyle name="20% - Accent3 5 4" xfId="2410"/>
    <cellStyle name="20% - Accent3 5 4 2" xfId="3709"/>
    <cellStyle name="20% - Accent3 5 5" xfId="2411"/>
    <cellStyle name="20% - Accent3 5 6" xfId="2400"/>
    <cellStyle name="20% - Accent3 6" xfId="2412"/>
    <cellStyle name="20% - Accent3 6 2" xfId="2413"/>
    <cellStyle name="20% - Accent3 6 2 2" xfId="2414"/>
    <cellStyle name="20% - Accent3 6 2 3" xfId="2415"/>
    <cellStyle name="20% - Accent3 6 3" xfId="2416"/>
    <cellStyle name="20% - Accent3 6 4" xfId="2417"/>
    <cellStyle name="20% - Accent3 7" xfId="2418"/>
    <cellStyle name="20% - Accent3 7 2" xfId="2419"/>
    <cellStyle name="20% - Accent3 7 3" xfId="2420"/>
    <cellStyle name="20% - Accent3 8" xfId="2421"/>
    <cellStyle name="20% - Accent4 2" xfId="10"/>
    <cellStyle name="20% - Accent4 2 2" xfId="2423"/>
    <cellStyle name="20% - Accent4 2 2 2" xfId="2424"/>
    <cellStyle name="20% - Accent4 2 2 2 2" xfId="2425"/>
    <cellStyle name="20% - Accent4 2 2 2 2 2" xfId="2426"/>
    <cellStyle name="20% - Accent4 2 2 2 2 2 2" xfId="2427"/>
    <cellStyle name="20% - Accent4 2 2 2 2 2 3" xfId="2428"/>
    <cellStyle name="20% - Accent4 2 2 2 2 3" xfId="2429"/>
    <cellStyle name="20% - Accent4 2 2 2 2 4" xfId="2430"/>
    <cellStyle name="20% - Accent4 2 2 2 3" xfId="2431"/>
    <cellStyle name="20% - Accent4 2 2 2 3 2" xfId="2432"/>
    <cellStyle name="20% - Accent4 2 2 2 3 3" xfId="2433"/>
    <cellStyle name="20% - Accent4 2 2 2 4" xfId="2434"/>
    <cellStyle name="20% - Accent4 2 2 2 5" xfId="2435"/>
    <cellStyle name="20% - Accent4 2 2 3" xfId="2436"/>
    <cellStyle name="20% - Accent4 2 2 3 2" xfId="2437"/>
    <cellStyle name="20% - Accent4 2 2 3 2 2" xfId="2438"/>
    <cellStyle name="20% - Accent4 2 2 3 2 3" xfId="2439"/>
    <cellStyle name="20% - Accent4 2 2 3 3" xfId="2440"/>
    <cellStyle name="20% - Accent4 2 2 3 4" xfId="2441"/>
    <cellStyle name="20% - Accent4 2 2 4" xfId="2442"/>
    <cellStyle name="20% - Accent4 2 2 4 2" xfId="2443"/>
    <cellStyle name="20% - Accent4 2 2 4 3" xfId="2444"/>
    <cellStyle name="20% - Accent4 2 2 5" xfId="2445"/>
    <cellStyle name="20% - Accent4 2 2 6" xfId="2446"/>
    <cellStyle name="20% - Accent4 2 3" xfId="2447"/>
    <cellStyle name="20% - Accent4 2 3 2" xfId="2448"/>
    <cellStyle name="20% - Accent4 2 3 2 2" xfId="2449"/>
    <cellStyle name="20% - Accent4 2 3 2 2 2" xfId="2450"/>
    <cellStyle name="20% - Accent4 2 3 2 2 3" xfId="2451"/>
    <cellStyle name="20% - Accent4 2 3 2 3" xfId="2452"/>
    <cellStyle name="20% - Accent4 2 3 2 4" xfId="2453"/>
    <cellStyle name="20% - Accent4 2 3 3" xfId="2454"/>
    <cellStyle name="20% - Accent4 2 3 3 2" xfId="2455"/>
    <cellStyle name="20% - Accent4 2 3 3 3" xfId="2456"/>
    <cellStyle name="20% - Accent4 2 3 4" xfId="2457"/>
    <cellStyle name="20% - Accent4 2 3 5" xfId="2458"/>
    <cellStyle name="20% - Accent4 2 4" xfId="2459"/>
    <cellStyle name="20% - Accent4 2 4 2" xfId="2460"/>
    <cellStyle name="20% - Accent4 2 4 2 2" xfId="2461"/>
    <cellStyle name="20% - Accent4 2 4 2 3" xfId="2462"/>
    <cellStyle name="20% - Accent4 2 4 3" xfId="2463"/>
    <cellStyle name="20% - Accent4 2 4 4" xfId="2464"/>
    <cellStyle name="20% - Accent4 2 5" xfId="2465"/>
    <cellStyle name="20% - Accent4 2 5 2" xfId="2466"/>
    <cellStyle name="20% - Accent4 2 5 3" xfId="2467"/>
    <cellStyle name="20% - Accent4 2 6" xfId="2468"/>
    <cellStyle name="20% - Accent4 2 7" xfId="2469"/>
    <cellStyle name="20% - Accent4 2 8" xfId="2422"/>
    <cellStyle name="20% - Accent4 2 9" xfId="3710"/>
    <cellStyle name="20% - Accent4 3" xfId="852"/>
    <cellStyle name="20% - Accent4 3 2" xfId="2471"/>
    <cellStyle name="20% - Accent4 3 2 2" xfId="2472"/>
    <cellStyle name="20% - Accent4 3 2 2 2" xfId="2473"/>
    <cellStyle name="20% - Accent4 3 2 2 2 2" xfId="2474"/>
    <cellStyle name="20% - Accent4 3 2 2 2 3" xfId="2475"/>
    <cellStyle name="20% - Accent4 3 2 2 3" xfId="2476"/>
    <cellStyle name="20% - Accent4 3 2 2 4" xfId="2477"/>
    <cellStyle name="20% - Accent4 3 2 3" xfId="2478"/>
    <cellStyle name="20% - Accent4 3 2 3 2" xfId="2479"/>
    <cellStyle name="20% - Accent4 3 2 3 3" xfId="2480"/>
    <cellStyle name="20% - Accent4 3 2 4" xfId="2481"/>
    <cellStyle name="20% - Accent4 3 2 5" xfId="2482"/>
    <cellStyle name="20% - Accent4 3 3" xfId="2483"/>
    <cellStyle name="20% - Accent4 3 3 2" xfId="2484"/>
    <cellStyle name="20% - Accent4 3 3 2 2" xfId="2485"/>
    <cellStyle name="20% - Accent4 3 3 2 3" xfId="2486"/>
    <cellStyle name="20% - Accent4 3 3 3" xfId="2487"/>
    <cellStyle name="20% - Accent4 3 3 4" xfId="2488"/>
    <cellStyle name="20% - Accent4 3 4" xfId="2489"/>
    <cellStyle name="20% - Accent4 3 4 2" xfId="2490"/>
    <cellStyle name="20% - Accent4 3 4 3" xfId="2491"/>
    <cellStyle name="20% - Accent4 3 5" xfId="2492"/>
    <cellStyle name="20% - Accent4 3 6" xfId="2493"/>
    <cellStyle name="20% - Accent4 3 7" xfId="2470"/>
    <cellStyle name="20% - Accent4 3 8" xfId="3711"/>
    <cellStyle name="20% - Accent4 4" xfId="1937"/>
    <cellStyle name="20% - Accent4 4 2" xfId="2495"/>
    <cellStyle name="20% - Accent4 4 2 2" xfId="2496"/>
    <cellStyle name="20% - Accent4 4 2 2 2" xfId="2497"/>
    <cellStyle name="20% - Accent4 4 2 2 3" xfId="2498"/>
    <cellStyle name="20% - Accent4 4 2 3" xfId="2499"/>
    <cellStyle name="20% - Accent4 4 2 4" xfId="2500"/>
    <cellStyle name="20% - Accent4 4 3" xfId="2501"/>
    <cellStyle name="20% - Accent4 4 3 2" xfId="2502"/>
    <cellStyle name="20% - Accent4 4 3 3" xfId="2503"/>
    <cellStyle name="20% - Accent4 4 4" xfId="2504"/>
    <cellStyle name="20% - Accent4 4 4 2" xfId="3712"/>
    <cellStyle name="20% - Accent4 4 5" xfId="2505"/>
    <cellStyle name="20% - Accent4 4 6" xfId="2494"/>
    <cellStyle name="20% - Accent4 5" xfId="9"/>
    <cellStyle name="20% - Accent4 5 2" xfId="2507"/>
    <cellStyle name="20% - Accent4 5 2 2" xfId="2508"/>
    <cellStyle name="20% - Accent4 5 2 2 2" xfId="2509"/>
    <cellStyle name="20% - Accent4 5 2 2 3" xfId="2510"/>
    <cellStyle name="20% - Accent4 5 2 3" xfId="2511"/>
    <cellStyle name="20% - Accent4 5 2 4" xfId="2512"/>
    <cellStyle name="20% - Accent4 5 3" xfId="2513"/>
    <cellStyle name="20% - Accent4 5 3 2" xfId="2514"/>
    <cellStyle name="20% - Accent4 5 3 3" xfId="2515"/>
    <cellStyle name="20% - Accent4 5 4" xfId="2516"/>
    <cellStyle name="20% - Accent4 5 4 2" xfId="3713"/>
    <cellStyle name="20% - Accent4 5 5" xfId="2517"/>
    <cellStyle name="20% - Accent4 5 6" xfId="2506"/>
    <cellStyle name="20% - Accent4 6" xfId="2518"/>
    <cellStyle name="20% - Accent4 6 2" xfId="2519"/>
    <cellStyle name="20% - Accent4 6 2 2" xfId="2520"/>
    <cellStyle name="20% - Accent4 6 2 3" xfId="2521"/>
    <cellStyle name="20% - Accent4 6 3" xfId="2522"/>
    <cellStyle name="20% - Accent4 6 4" xfId="2523"/>
    <cellStyle name="20% - Accent4 7" xfId="2524"/>
    <cellStyle name="20% - Accent4 7 2" xfId="2525"/>
    <cellStyle name="20% - Accent4 7 3" xfId="2526"/>
    <cellStyle name="20% - Accent4 8" xfId="2527"/>
    <cellStyle name="20% - Accent5 2" xfId="12"/>
    <cellStyle name="20% - Accent5 2 2" xfId="2529"/>
    <cellStyle name="20% - Accent5 2 2 2" xfId="2530"/>
    <cellStyle name="20% - Accent5 2 2 2 2" xfId="2531"/>
    <cellStyle name="20% - Accent5 2 2 2 2 2" xfId="2532"/>
    <cellStyle name="20% - Accent5 2 2 2 2 2 2" xfId="2533"/>
    <cellStyle name="20% - Accent5 2 2 2 2 2 3" xfId="2534"/>
    <cellStyle name="20% - Accent5 2 2 2 2 3" xfId="2535"/>
    <cellStyle name="20% - Accent5 2 2 2 2 4" xfId="2536"/>
    <cellStyle name="20% - Accent5 2 2 2 3" xfId="2537"/>
    <cellStyle name="20% - Accent5 2 2 2 3 2" xfId="2538"/>
    <cellStyle name="20% - Accent5 2 2 2 3 3" xfId="2539"/>
    <cellStyle name="20% - Accent5 2 2 2 4" xfId="2540"/>
    <cellStyle name="20% - Accent5 2 2 2 5" xfId="2541"/>
    <cellStyle name="20% - Accent5 2 2 3" xfId="2542"/>
    <cellStyle name="20% - Accent5 2 2 3 2" xfId="2543"/>
    <cellStyle name="20% - Accent5 2 2 3 2 2" xfId="2544"/>
    <cellStyle name="20% - Accent5 2 2 3 2 3" xfId="2545"/>
    <cellStyle name="20% - Accent5 2 2 3 3" xfId="2546"/>
    <cellStyle name="20% - Accent5 2 2 3 4" xfId="2547"/>
    <cellStyle name="20% - Accent5 2 2 4" xfId="2548"/>
    <cellStyle name="20% - Accent5 2 2 4 2" xfId="2549"/>
    <cellStyle name="20% - Accent5 2 2 4 3" xfId="2550"/>
    <cellStyle name="20% - Accent5 2 2 5" xfId="2551"/>
    <cellStyle name="20% - Accent5 2 2 6" xfId="2552"/>
    <cellStyle name="20% - Accent5 2 3" xfId="2553"/>
    <cellStyle name="20% - Accent5 2 3 2" xfId="2554"/>
    <cellStyle name="20% - Accent5 2 3 2 2" xfId="2555"/>
    <cellStyle name="20% - Accent5 2 3 2 2 2" xfId="2556"/>
    <cellStyle name="20% - Accent5 2 3 2 2 3" xfId="2557"/>
    <cellStyle name="20% - Accent5 2 3 2 3" xfId="2558"/>
    <cellStyle name="20% - Accent5 2 3 2 4" xfId="2559"/>
    <cellStyle name="20% - Accent5 2 3 3" xfId="2560"/>
    <cellStyle name="20% - Accent5 2 3 3 2" xfId="2561"/>
    <cellStyle name="20% - Accent5 2 3 3 3" xfId="2562"/>
    <cellStyle name="20% - Accent5 2 3 4" xfId="2563"/>
    <cellStyle name="20% - Accent5 2 3 5" xfId="2564"/>
    <cellStyle name="20% - Accent5 2 4" xfId="2565"/>
    <cellStyle name="20% - Accent5 2 4 2" xfId="2566"/>
    <cellStyle name="20% - Accent5 2 4 2 2" xfId="2567"/>
    <cellStyle name="20% - Accent5 2 4 2 3" xfId="2568"/>
    <cellStyle name="20% - Accent5 2 4 3" xfId="2569"/>
    <cellStyle name="20% - Accent5 2 4 4" xfId="2570"/>
    <cellStyle name="20% - Accent5 2 5" xfId="2571"/>
    <cellStyle name="20% - Accent5 2 5 2" xfId="2572"/>
    <cellStyle name="20% - Accent5 2 5 3" xfId="2573"/>
    <cellStyle name="20% - Accent5 2 6" xfId="2574"/>
    <cellStyle name="20% - Accent5 2 7" xfId="2575"/>
    <cellStyle name="20% - Accent5 2 8" xfId="2528"/>
    <cellStyle name="20% - Accent5 2 9" xfId="3714"/>
    <cellStyle name="20% - Accent5 3" xfId="854"/>
    <cellStyle name="20% - Accent5 3 2" xfId="2577"/>
    <cellStyle name="20% - Accent5 3 2 2" xfId="2578"/>
    <cellStyle name="20% - Accent5 3 2 2 2" xfId="2579"/>
    <cellStyle name="20% - Accent5 3 2 2 2 2" xfId="2580"/>
    <cellStyle name="20% - Accent5 3 2 2 2 3" xfId="2581"/>
    <cellStyle name="20% - Accent5 3 2 2 3" xfId="2582"/>
    <cellStyle name="20% - Accent5 3 2 2 4" xfId="2583"/>
    <cellStyle name="20% - Accent5 3 2 3" xfId="2584"/>
    <cellStyle name="20% - Accent5 3 2 3 2" xfId="2585"/>
    <cellStyle name="20% - Accent5 3 2 3 3" xfId="2586"/>
    <cellStyle name="20% - Accent5 3 2 4" xfId="2587"/>
    <cellStyle name="20% - Accent5 3 2 5" xfId="2588"/>
    <cellStyle name="20% - Accent5 3 3" xfId="2589"/>
    <cellStyle name="20% - Accent5 3 3 2" xfId="2590"/>
    <cellStyle name="20% - Accent5 3 3 2 2" xfId="2591"/>
    <cellStyle name="20% - Accent5 3 3 2 3" xfId="2592"/>
    <cellStyle name="20% - Accent5 3 3 3" xfId="2593"/>
    <cellStyle name="20% - Accent5 3 3 4" xfId="2594"/>
    <cellStyle name="20% - Accent5 3 4" xfId="2595"/>
    <cellStyle name="20% - Accent5 3 4 2" xfId="2596"/>
    <cellStyle name="20% - Accent5 3 4 3" xfId="2597"/>
    <cellStyle name="20% - Accent5 3 5" xfId="2598"/>
    <cellStyle name="20% - Accent5 3 6" xfId="2599"/>
    <cellStyle name="20% - Accent5 3 7" xfId="2576"/>
    <cellStyle name="20% - Accent5 3 8" xfId="3715"/>
    <cellStyle name="20% - Accent5 4" xfId="1938"/>
    <cellStyle name="20% - Accent5 4 2" xfId="2601"/>
    <cellStyle name="20% - Accent5 4 2 2" xfId="2602"/>
    <cellStyle name="20% - Accent5 4 2 2 2" xfId="2603"/>
    <cellStyle name="20% - Accent5 4 2 2 3" xfId="2604"/>
    <cellStyle name="20% - Accent5 4 2 3" xfId="2605"/>
    <cellStyle name="20% - Accent5 4 2 4" xfId="2606"/>
    <cellStyle name="20% - Accent5 4 3" xfId="2607"/>
    <cellStyle name="20% - Accent5 4 3 2" xfId="2608"/>
    <cellStyle name="20% - Accent5 4 3 3" xfId="2609"/>
    <cellStyle name="20% - Accent5 4 4" xfId="2610"/>
    <cellStyle name="20% - Accent5 4 4 2" xfId="3716"/>
    <cellStyle name="20% - Accent5 4 5" xfId="2611"/>
    <cellStyle name="20% - Accent5 4 6" xfId="2600"/>
    <cellStyle name="20% - Accent5 5" xfId="11"/>
    <cellStyle name="20% - Accent5 5 2" xfId="2613"/>
    <cellStyle name="20% - Accent5 5 2 2" xfId="2614"/>
    <cellStyle name="20% - Accent5 5 2 2 2" xfId="2615"/>
    <cellStyle name="20% - Accent5 5 2 2 3" xfId="2616"/>
    <cellStyle name="20% - Accent5 5 2 3" xfId="2617"/>
    <cellStyle name="20% - Accent5 5 2 4" xfId="2618"/>
    <cellStyle name="20% - Accent5 5 3" xfId="2619"/>
    <cellStyle name="20% - Accent5 5 3 2" xfId="2620"/>
    <cellStyle name="20% - Accent5 5 3 3" xfId="2621"/>
    <cellStyle name="20% - Accent5 5 4" xfId="2622"/>
    <cellStyle name="20% - Accent5 5 4 2" xfId="3717"/>
    <cellStyle name="20% - Accent5 5 5" xfId="2623"/>
    <cellStyle name="20% - Accent5 5 6" xfId="2612"/>
    <cellStyle name="20% - Accent5 6" xfId="2624"/>
    <cellStyle name="20% - Accent5 6 2" xfId="2625"/>
    <cellStyle name="20% - Accent5 6 2 2" xfId="2626"/>
    <cellStyle name="20% - Accent5 6 2 3" xfId="2627"/>
    <cellStyle name="20% - Accent5 6 3" xfId="2628"/>
    <cellStyle name="20% - Accent5 6 4" xfId="2629"/>
    <cellStyle name="20% - Accent5 7" xfId="2630"/>
    <cellStyle name="20% - Accent5 7 2" xfId="2631"/>
    <cellStyle name="20% - Accent5 7 3" xfId="2632"/>
    <cellStyle name="20% - Accent5 8" xfId="2633"/>
    <cellStyle name="20% - Accent6 2" xfId="14"/>
    <cellStyle name="20% - Accent6 2 2" xfId="2635"/>
    <cellStyle name="20% - Accent6 2 2 2" xfId="2636"/>
    <cellStyle name="20% - Accent6 2 2 2 2" xfId="2637"/>
    <cellStyle name="20% - Accent6 2 2 2 2 2" xfId="2638"/>
    <cellStyle name="20% - Accent6 2 2 2 2 2 2" xfId="2639"/>
    <cellStyle name="20% - Accent6 2 2 2 2 2 3" xfId="2640"/>
    <cellStyle name="20% - Accent6 2 2 2 2 3" xfId="2641"/>
    <cellStyle name="20% - Accent6 2 2 2 2 4" xfId="2642"/>
    <cellStyle name="20% - Accent6 2 2 2 3" xfId="2643"/>
    <cellStyle name="20% - Accent6 2 2 2 3 2" xfId="2644"/>
    <cellStyle name="20% - Accent6 2 2 2 3 3" xfId="2645"/>
    <cellStyle name="20% - Accent6 2 2 2 4" xfId="2646"/>
    <cellStyle name="20% - Accent6 2 2 2 5" xfId="2647"/>
    <cellStyle name="20% - Accent6 2 2 3" xfId="2648"/>
    <cellStyle name="20% - Accent6 2 2 3 2" xfId="2649"/>
    <cellStyle name="20% - Accent6 2 2 3 2 2" xfId="2650"/>
    <cellStyle name="20% - Accent6 2 2 3 2 3" xfId="2651"/>
    <cellStyle name="20% - Accent6 2 2 3 3" xfId="2652"/>
    <cellStyle name="20% - Accent6 2 2 3 4" xfId="2653"/>
    <cellStyle name="20% - Accent6 2 2 4" xfId="2654"/>
    <cellStyle name="20% - Accent6 2 2 4 2" xfId="2655"/>
    <cellStyle name="20% - Accent6 2 2 4 3" xfId="2656"/>
    <cellStyle name="20% - Accent6 2 2 5" xfId="2657"/>
    <cellStyle name="20% - Accent6 2 2 6" xfId="2658"/>
    <cellStyle name="20% - Accent6 2 3" xfId="2659"/>
    <cellStyle name="20% - Accent6 2 3 2" xfId="2660"/>
    <cellStyle name="20% - Accent6 2 3 2 2" xfId="2661"/>
    <cellStyle name="20% - Accent6 2 3 2 2 2" xfId="2662"/>
    <cellStyle name="20% - Accent6 2 3 2 2 3" xfId="2663"/>
    <cellStyle name="20% - Accent6 2 3 2 3" xfId="2664"/>
    <cellStyle name="20% - Accent6 2 3 2 4" xfId="2665"/>
    <cellStyle name="20% - Accent6 2 3 3" xfId="2666"/>
    <cellStyle name="20% - Accent6 2 3 3 2" xfId="2667"/>
    <cellStyle name="20% - Accent6 2 3 3 3" xfId="2668"/>
    <cellStyle name="20% - Accent6 2 3 4" xfId="2669"/>
    <cellStyle name="20% - Accent6 2 3 5" xfId="2670"/>
    <cellStyle name="20% - Accent6 2 4" xfId="2671"/>
    <cellStyle name="20% - Accent6 2 4 2" xfId="2672"/>
    <cellStyle name="20% - Accent6 2 4 2 2" xfId="2673"/>
    <cellStyle name="20% - Accent6 2 4 2 3" xfId="2674"/>
    <cellStyle name="20% - Accent6 2 4 3" xfId="2675"/>
    <cellStyle name="20% - Accent6 2 4 4" xfId="2676"/>
    <cellStyle name="20% - Accent6 2 5" xfId="2677"/>
    <cellStyle name="20% - Accent6 2 5 2" xfId="2678"/>
    <cellStyle name="20% - Accent6 2 5 3" xfId="2679"/>
    <cellStyle name="20% - Accent6 2 6" xfId="2680"/>
    <cellStyle name="20% - Accent6 2 7" xfId="2681"/>
    <cellStyle name="20% - Accent6 2 8" xfId="2634"/>
    <cellStyle name="20% - Accent6 2 9" xfId="3718"/>
    <cellStyle name="20% - Accent6 3" xfId="855"/>
    <cellStyle name="20% - Accent6 3 2" xfId="2683"/>
    <cellStyle name="20% - Accent6 3 2 2" xfId="2684"/>
    <cellStyle name="20% - Accent6 3 2 2 2" xfId="2685"/>
    <cellStyle name="20% - Accent6 3 2 2 2 2" xfId="2686"/>
    <cellStyle name="20% - Accent6 3 2 2 2 3" xfId="2687"/>
    <cellStyle name="20% - Accent6 3 2 2 3" xfId="2688"/>
    <cellStyle name="20% - Accent6 3 2 2 4" xfId="2689"/>
    <cellStyle name="20% - Accent6 3 2 3" xfId="2690"/>
    <cellStyle name="20% - Accent6 3 2 3 2" xfId="2691"/>
    <cellStyle name="20% - Accent6 3 2 3 3" xfId="2692"/>
    <cellStyle name="20% - Accent6 3 2 4" xfId="2693"/>
    <cellStyle name="20% - Accent6 3 2 5" xfId="2694"/>
    <cellStyle name="20% - Accent6 3 3" xfId="2695"/>
    <cellStyle name="20% - Accent6 3 3 2" xfId="2696"/>
    <cellStyle name="20% - Accent6 3 3 2 2" xfId="2697"/>
    <cellStyle name="20% - Accent6 3 3 2 3" xfId="2698"/>
    <cellStyle name="20% - Accent6 3 3 3" xfId="2699"/>
    <cellStyle name="20% - Accent6 3 3 4" xfId="2700"/>
    <cellStyle name="20% - Accent6 3 4" xfId="2701"/>
    <cellStyle name="20% - Accent6 3 4 2" xfId="2702"/>
    <cellStyle name="20% - Accent6 3 4 3" xfId="2703"/>
    <cellStyle name="20% - Accent6 3 5" xfId="2704"/>
    <cellStyle name="20% - Accent6 3 6" xfId="2705"/>
    <cellStyle name="20% - Accent6 3 7" xfId="2682"/>
    <cellStyle name="20% - Accent6 3 8" xfId="3719"/>
    <cellStyle name="20% - Accent6 4" xfId="1939"/>
    <cellStyle name="20% - Accent6 4 2" xfId="2707"/>
    <cellStyle name="20% - Accent6 4 2 2" xfId="2708"/>
    <cellStyle name="20% - Accent6 4 2 2 2" xfId="2709"/>
    <cellStyle name="20% - Accent6 4 2 2 3" xfId="2710"/>
    <cellStyle name="20% - Accent6 4 2 3" xfId="2711"/>
    <cellStyle name="20% - Accent6 4 2 4" xfId="2712"/>
    <cellStyle name="20% - Accent6 4 3" xfId="2713"/>
    <cellStyle name="20% - Accent6 4 3 2" xfId="2714"/>
    <cellStyle name="20% - Accent6 4 3 3" xfId="2715"/>
    <cellStyle name="20% - Accent6 4 4" xfId="2716"/>
    <cellStyle name="20% - Accent6 4 4 2" xfId="3720"/>
    <cellStyle name="20% - Accent6 4 5" xfId="2717"/>
    <cellStyle name="20% - Accent6 4 6" xfId="2706"/>
    <cellStyle name="20% - Accent6 5" xfId="13"/>
    <cellStyle name="20% - Accent6 5 2" xfId="2719"/>
    <cellStyle name="20% - Accent6 5 2 2" xfId="2720"/>
    <cellStyle name="20% - Accent6 5 2 2 2" xfId="2721"/>
    <cellStyle name="20% - Accent6 5 2 2 3" xfId="2722"/>
    <cellStyle name="20% - Accent6 5 2 3" xfId="2723"/>
    <cellStyle name="20% - Accent6 5 2 4" xfId="2724"/>
    <cellStyle name="20% - Accent6 5 3" xfId="2725"/>
    <cellStyle name="20% - Accent6 5 3 2" xfId="2726"/>
    <cellStyle name="20% - Accent6 5 3 3" xfId="2727"/>
    <cellStyle name="20% - Accent6 5 4" xfId="2728"/>
    <cellStyle name="20% - Accent6 5 4 2" xfId="3721"/>
    <cellStyle name="20% - Accent6 5 5" xfId="2729"/>
    <cellStyle name="20% - Accent6 5 6" xfId="2718"/>
    <cellStyle name="20% - Accent6 6" xfId="2730"/>
    <cellStyle name="20% - Accent6 6 2" xfId="2731"/>
    <cellStyle name="20% - Accent6 6 2 2" xfId="2732"/>
    <cellStyle name="20% - Accent6 6 2 3" xfId="2733"/>
    <cellStyle name="20% - Accent6 6 3" xfId="2734"/>
    <cellStyle name="20% - Accent6 6 4" xfId="2735"/>
    <cellStyle name="20% - Accent6 7" xfId="2736"/>
    <cellStyle name="20% - Accent6 7 2" xfId="2737"/>
    <cellStyle name="20% - Accent6 7 3" xfId="2738"/>
    <cellStyle name="20% - Accent6 8" xfId="2739"/>
    <cellStyle name="40% - Accent1 2" xfId="16"/>
    <cellStyle name="40% - Accent1 2 2" xfId="2741"/>
    <cellStyle name="40% - Accent1 2 2 2" xfId="2742"/>
    <cellStyle name="40% - Accent1 2 2 2 2" xfId="2743"/>
    <cellStyle name="40% - Accent1 2 2 2 2 2" xfId="2744"/>
    <cellStyle name="40% - Accent1 2 2 2 2 2 2" xfId="2745"/>
    <cellStyle name="40% - Accent1 2 2 2 2 2 3" xfId="2746"/>
    <cellStyle name="40% - Accent1 2 2 2 2 3" xfId="2747"/>
    <cellStyle name="40% - Accent1 2 2 2 2 4" xfId="2748"/>
    <cellStyle name="40% - Accent1 2 2 2 3" xfId="2749"/>
    <cellStyle name="40% - Accent1 2 2 2 3 2" xfId="2750"/>
    <cellStyle name="40% - Accent1 2 2 2 3 3" xfId="2751"/>
    <cellStyle name="40% - Accent1 2 2 2 4" xfId="2752"/>
    <cellStyle name="40% - Accent1 2 2 2 5" xfId="2753"/>
    <cellStyle name="40% - Accent1 2 2 3" xfId="2754"/>
    <cellStyle name="40% - Accent1 2 2 3 2" xfId="2755"/>
    <cellStyle name="40% - Accent1 2 2 3 2 2" xfId="2756"/>
    <cellStyle name="40% - Accent1 2 2 3 2 3" xfId="2757"/>
    <cellStyle name="40% - Accent1 2 2 3 3" xfId="2758"/>
    <cellStyle name="40% - Accent1 2 2 3 4" xfId="2759"/>
    <cellStyle name="40% - Accent1 2 2 4" xfId="2760"/>
    <cellStyle name="40% - Accent1 2 2 4 2" xfId="2761"/>
    <cellStyle name="40% - Accent1 2 2 4 3" xfId="2762"/>
    <cellStyle name="40% - Accent1 2 2 5" xfId="2763"/>
    <cellStyle name="40% - Accent1 2 2 6" xfId="2764"/>
    <cellStyle name="40% - Accent1 2 3" xfId="2765"/>
    <cellStyle name="40% - Accent1 2 3 2" xfId="2766"/>
    <cellStyle name="40% - Accent1 2 3 2 2" xfId="2767"/>
    <cellStyle name="40% - Accent1 2 3 2 2 2" xfId="2768"/>
    <cellStyle name="40% - Accent1 2 3 2 2 3" xfId="2769"/>
    <cellStyle name="40% - Accent1 2 3 2 3" xfId="2770"/>
    <cellStyle name="40% - Accent1 2 3 2 4" xfId="2771"/>
    <cellStyle name="40% - Accent1 2 3 3" xfId="2772"/>
    <cellStyle name="40% - Accent1 2 3 3 2" xfId="2773"/>
    <cellStyle name="40% - Accent1 2 3 3 3" xfId="2774"/>
    <cellStyle name="40% - Accent1 2 3 4" xfId="2775"/>
    <cellStyle name="40% - Accent1 2 3 5" xfId="2776"/>
    <cellStyle name="40% - Accent1 2 4" xfId="2777"/>
    <cellStyle name="40% - Accent1 2 4 2" xfId="2778"/>
    <cellStyle name="40% - Accent1 2 4 2 2" xfId="2779"/>
    <cellStyle name="40% - Accent1 2 4 2 3" xfId="2780"/>
    <cellStyle name="40% - Accent1 2 4 3" xfId="2781"/>
    <cellStyle name="40% - Accent1 2 4 4" xfId="2782"/>
    <cellStyle name="40% - Accent1 2 5" xfId="2783"/>
    <cellStyle name="40% - Accent1 2 5 2" xfId="2784"/>
    <cellStyle name="40% - Accent1 2 5 3" xfId="2785"/>
    <cellStyle name="40% - Accent1 2 6" xfId="2786"/>
    <cellStyle name="40% - Accent1 2 7" xfId="2787"/>
    <cellStyle name="40% - Accent1 2 8" xfId="2740"/>
    <cellStyle name="40% - Accent1 2 9" xfId="3722"/>
    <cellStyle name="40% - Accent1 3" xfId="856"/>
    <cellStyle name="40% - Accent1 3 2" xfId="2789"/>
    <cellStyle name="40% - Accent1 3 2 2" xfId="2790"/>
    <cellStyle name="40% - Accent1 3 2 2 2" xfId="2791"/>
    <cellStyle name="40% - Accent1 3 2 2 2 2" xfId="2792"/>
    <cellStyle name="40% - Accent1 3 2 2 2 3" xfId="2793"/>
    <cellStyle name="40% - Accent1 3 2 2 3" xfId="2794"/>
    <cellStyle name="40% - Accent1 3 2 2 4" xfId="2795"/>
    <cellStyle name="40% - Accent1 3 2 3" xfId="2796"/>
    <cellStyle name="40% - Accent1 3 2 3 2" xfId="2797"/>
    <cellStyle name="40% - Accent1 3 2 3 3" xfId="2798"/>
    <cellStyle name="40% - Accent1 3 2 4" xfId="2799"/>
    <cellStyle name="40% - Accent1 3 2 5" xfId="2800"/>
    <cellStyle name="40% - Accent1 3 3" xfId="2801"/>
    <cellStyle name="40% - Accent1 3 3 2" xfId="2802"/>
    <cellStyle name="40% - Accent1 3 3 2 2" xfId="2803"/>
    <cellStyle name="40% - Accent1 3 3 2 3" xfId="2804"/>
    <cellStyle name="40% - Accent1 3 3 3" xfId="2805"/>
    <cellStyle name="40% - Accent1 3 3 4" xfId="2806"/>
    <cellStyle name="40% - Accent1 3 4" xfId="2807"/>
    <cellStyle name="40% - Accent1 3 4 2" xfId="2808"/>
    <cellStyle name="40% - Accent1 3 4 3" xfId="2809"/>
    <cellStyle name="40% - Accent1 3 5" xfId="2810"/>
    <cellStyle name="40% - Accent1 3 6" xfId="2811"/>
    <cellStyle name="40% - Accent1 3 7" xfId="2788"/>
    <cellStyle name="40% - Accent1 3 8" xfId="3723"/>
    <cellStyle name="40% - Accent1 4" xfId="1940"/>
    <cellStyle name="40% - Accent1 4 2" xfId="2813"/>
    <cellStyle name="40% - Accent1 4 2 2" xfId="2814"/>
    <cellStyle name="40% - Accent1 4 2 2 2" xfId="2815"/>
    <cellStyle name="40% - Accent1 4 2 2 3" xfId="2816"/>
    <cellStyle name="40% - Accent1 4 2 3" xfId="2817"/>
    <cellStyle name="40% - Accent1 4 2 4" xfId="2818"/>
    <cellStyle name="40% - Accent1 4 3" xfId="2819"/>
    <cellStyle name="40% - Accent1 4 3 2" xfId="2820"/>
    <cellStyle name="40% - Accent1 4 3 3" xfId="2821"/>
    <cellStyle name="40% - Accent1 4 4" xfId="2822"/>
    <cellStyle name="40% - Accent1 4 4 2" xfId="3724"/>
    <cellStyle name="40% - Accent1 4 5" xfId="2823"/>
    <cellStyle name="40% - Accent1 4 6" xfId="2812"/>
    <cellStyle name="40% - Accent1 5" xfId="15"/>
    <cellStyle name="40% - Accent1 5 2" xfId="2825"/>
    <cellStyle name="40% - Accent1 5 2 2" xfId="2826"/>
    <cellStyle name="40% - Accent1 5 2 2 2" xfId="2827"/>
    <cellStyle name="40% - Accent1 5 2 2 3" xfId="2828"/>
    <cellStyle name="40% - Accent1 5 2 3" xfId="2829"/>
    <cellStyle name="40% - Accent1 5 2 4" xfId="2830"/>
    <cellStyle name="40% - Accent1 5 3" xfId="2831"/>
    <cellStyle name="40% - Accent1 5 3 2" xfId="2832"/>
    <cellStyle name="40% - Accent1 5 3 3" xfId="2833"/>
    <cellStyle name="40% - Accent1 5 4" xfId="2834"/>
    <cellStyle name="40% - Accent1 5 4 2" xfId="3725"/>
    <cellStyle name="40% - Accent1 5 5" xfId="2835"/>
    <cellStyle name="40% - Accent1 5 6" xfId="2824"/>
    <cellStyle name="40% - Accent1 6" xfId="2836"/>
    <cellStyle name="40% - Accent1 6 2" xfId="2837"/>
    <cellStyle name="40% - Accent1 6 2 2" xfId="2838"/>
    <cellStyle name="40% - Accent1 6 2 3" xfId="2839"/>
    <cellStyle name="40% - Accent1 6 3" xfId="2840"/>
    <cellStyle name="40% - Accent1 6 4" xfId="2841"/>
    <cellStyle name="40% - Accent1 7" xfId="2842"/>
    <cellStyle name="40% - Accent1 7 2" xfId="2843"/>
    <cellStyle name="40% - Accent1 7 3" xfId="2844"/>
    <cellStyle name="40% - Accent1 8" xfId="2845"/>
    <cellStyle name="40% - Accent2 2" xfId="18"/>
    <cellStyle name="40% - Accent2 2 2" xfId="2847"/>
    <cellStyle name="40% - Accent2 2 2 2" xfId="2848"/>
    <cellStyle name="40% - Accent2 2 2 2 2" xfId="2849"/>
    <cellStyle name="40% - Accent2 2 2 2 2 2" xfId="2850"/>
    <cellStyle name="40% - Accent2 2 2 2 2 2 2" xfId="2851"/>
    <cellStyle name="40% - Accent2 2 2 2 2 2 3" xfId="2852"/>
    <cellStyle name="40% - Accent2 2 2 2 2 3" xfId="2853"/>
    <cellStyle name="40% - Accent2 2 2 2 2 4" xfId="2854"/>
    <cellStyle name="40% - Accent2 2 2 2 3" xfId="2855"/>
    <cellStyle name="40% - Accent2 2 2 2 3 2" xfId="2856"/>
    <cellStyle name="40% - Accent2 2 2 2 3 3" xfId="2857"/>
    <cellStyle name="40% - Accent2 2 2 2 4" xfId="2858"/>
    <cellStyle name="40% - Accent2 2 2 2 5" xfId="2859"/>
    <cellStyle name="40% - Accent2 2 2 3" xfId="2860"/>
    <cellStyle name="40% - Accent2 2 2 3 2" xfId="2861"/>
    <cellStyle name="40% - Accent2 2 2 3 2 2" xfId="2862"/>
    <cellStyle name="40% - Accent2 2 2 3 2 3" xfId="2863"/>
    <cellStyle name="40% - Accent2 2 2 3 3" xfId="2864"/>
    <cellStyle name="40% - Accent2 2 2 3 4" xfId="2865"/>
    <cellStyle name="40% - Accent2 2 2 4" xfId="2866"/>
    <cellStyle name="40% - Accent2 2 2 4 2" xfId="2867"/>
    <cellStyle name="40% - Accent2 2 2 4 3" xfId="2868"/>
    <cellStyle name="40% - Accent2 2 2 5" xfId="2869"/>
    <cellStyle name="40% - Accent2 2 2 6" xfId="2870"/>
    <cellStyle name="40% - Accent2 2 3" xfId="2871"/>
    <cellStyle name="40% - Accent2 2 3 2" xfId="2872"/>
    <cellStyle name="40% - Accent2 2 3 2 2" xfId="2873"/>
    <cellStyle name="40% - Accent2 2 3 2 2 2" xfId="2874"/>
    <cellStyle name="40% - Accent2 2 3 2 2 3" xfId="2875"/>
    <cellStyle name="40% - Accent2 2 3 2 3" xfId="2876"/>
    <cellStyle name="40% - Accent2 2 3 2 4" xfId="2877"/>
    <cellStyle name="40% - Accent2 2 3 3" xfId="2878"/>
    <cellStyle name="40% - Accent2 2 3 3 2" xfId="2879"/>
    <cellStyle name="40% - Accent2 2 3 3 3" xfId="2880"/>
    <cellStyle name="40% - Accent2 2 3 4" xfId="2881"/>
    <cellStyle name="40% - Accent2 2 3 5" xfId="2882"/>
    <cellStyle name="40% - Accent2 2 4" xfId="2883"/>
    <cellStyle name="40% - Accent2 2 4 2" xfId="2884"/>
    <cellStyle name="40% - Accent2 2 4 2 2" xfId="2885"/>
    <cellStyle name="40% - Accent2 2 4 2 3" xfId="2886"/>
    <cellStyle name="40% - Accent2 2 4 3" xfId="2887"/>
    <cellStyle name="40% - Accent2 2 4 4" xfId="2888"/>
    <cellStyle name="40% - Accent2 2 5" xfId="2889"/>
    <cellStyle name="40% - Accent2 2 5 2" xfId="2890"/>
    <cellStyle name="40% - Accent2 2 5 3" xfId="2891"/>
    <cellStyle name="40% - Accent2 2 6" xfId="2892"/>
    <cellStyle name="40% - Accent2 2 7" xfId="2893"/>
    <cellStyle name="40% - Accent2 2 8" xfId="2846"/>
    <cellStyle name="40% - Accent2 2 9" xfId="3726"/>
    <cellStyle name="40% - Accent2 3" xfId="857"/>
    <cellStyle name="40% - Accent2 3 2" xfId="2895"/>
    <cellStyle name="40% - Accent2 3 2 2" xfId="2896"/>
    <cellStyle name="40% - Accent2 3 2 2 2" xfId="2897"/>
    <cellStyle name="40% - Accent2 3 2 2 2 2" xfId="2898"/>
    <cellStyle name="40% - Accent2 3 2 2 2 3" xfId="2899"/>
    <cellStyle name="40% - Accent2 3 2 2 3" xfId="2900"/>
    <cellStyle name="40% - Accent2 3 2 2 4" xfId="2901"/>
    <cellStyle name="40% - Accent2 3 2 3" xfId="2902"/>
    <cellStyle name="40% - Accent2 3 2 3 2" xfId="2903"/>
    <cellStyle name="40% - Accent2 3 2 3 3" xfId="2904"/>
    <cellStyle name="40% - Accent2 3 2 4" xfId="2905"/>
    <cellStyle name="40% - Accent2 3 2 5" xfId="2906"/>
    <cellStyle name="40% - Accent2 3 3" xfId="2907"/>
    <cellStyle name="40% - Accent2 3 3 2" xfId="2908"/>
    <cellStyle name="40% - Accent2 3 3 2 2" xfId="2909"/>
    <cellStyle name="40% - Accent2 3 3 2 3" xfId="2910"/>
    <cellStyle name="40% - Accent2 3 3 3" xfId="2911"/>
    <cellStyle name="40% - Accent2 3 3 4" xfId="2912"/>
    <cellStyle name="40% - Accent2 3 4" xfId="2913"/>
    <cellStyle name="40% - Accent2 3 4 2" xfId="2914"/>
    <cellStyle name="40% - Accent2 3 4 3" xfId="2915"/>
    <cellStyle name="40% - Accent2 3 5" xfId="2916"/>
    <cellStyle name="40% - Accent2 3 6" xfId="2917"/>
    <cellStyle name="40% - Accent2 3 7" xfId="2894"/>
    <cellStyle name="40% - Accent2 3 8" xfId="3727"/>
    <cellStyle name="40% - Accent2 4" xfId="1941"/>
    <cellStyle name="40% - Accent2 4 2" xfId="2919"/>
    <cellStyle name="40% - Accent2 4 2 2" xfId="2920"/>
    <cellStyle name="40% - Accent2 4 2 2 2" xfId="2921"/>
    <cellStyle name="40% - Accent2 4 2 2 3" xfId="2922"/>
    <cellStyle name="40% - Accent2 4 2 3" xfId="2923"/>
    <cellStyle name="40% - Accent2 4 2 4" xfId="2924"/>
    <cellStyle name="40% - Accent2 4 3" xfId="2925"/>
    <cellStyle name="40% - Accent2 4 3 2" xfId="2926"/>
    <cellStyle name="40% - Accent2 4 3 3" xfId="2927"/>
    <cellStyle name="40% - Accent2 4 4" xfId="2928"/>
    <cellStyle name="40% - Accent2 4 4 2" xfId="3728"/>
    <cellStyle name="40% - Accent2 4 5" xfId="2929"/>
    <cellStyle name="40% - Accent2 4 6" xfId="2918"/>
    <cellStyle name="40% - Accent2 5" xfId="17"/>
    <cellStyle name="40% - Accent2 5 2" xfId="2931"/>
    <cellStyle name="40% - Accent2 5 2 2" xfId="2932"/>
    <cellStyle name="40% - Accent2 5 2 2 2" xfId="2933"/>
    <cellStyle name="40% - Accent2 5 2 2 3" xfId="2934"/>
    <cellStyle name="40% - Accent2 5 2 3" xfId="2935"/>
    <cellStyle name="40% - Accent2 5 2 4" xfId="2936"/>
    <cellStyle name="40% - Accent2 5 3" xfId="2937"/>
    <cellStyle name="40% - Accent2 5 3 2" xfId="2938"/>
    <cellStyle name="40% - Accent2 5 3 3" xfId="2939"/>
    <cellStyle name="40% - Accent2 5 4" xfId="2940"/>
    <cellStyle name="40% - Accent2 5 4 2" xfId="3729"/>
    <cellStyle name="40% - Accent2 5 5" xfId="2941"/>
    <cellStyle name="40% - Accent2 5 6" xfId="2930"/>
    <cellStyle name="40% - Accent2 6" xfId="2942"/>
    <cellStyle name="40% - Accent2 6 2" xfId="2943"/>
    <cellStyle name="40% - Accent2 6 2 2" xfId="2944"/>
    <cellStyle name="40% - Accent2 6 2 3" xfId="2945"/>
    <cellStyle name="40% - Accent2 6 3" xfId="2946"/>
    <cellStyle name="40% - Accent2 6 4" xfId="2947"/>
    <cellStyle name="40% - Accent2 7" xfId="2948"/>
    <cellStyle name="40% - Accent2 7 2" xfId="2949"/>
    <cellStyle name="40% - Accent2 7 3" xfId="2950"/>
    <cellStyle name="40% - Accent2 8" xfId="2951"/>
    <cellStyle name="40% - Accent3 2" xfId="20"/>
    <cellStyle name="40% - Accent3 2 2" xfId="2953"/>
    <cellStyle name="40% - Accent3 2 2 2" xfId="2954"/>
    <cellStyle name="40% - Accent3 2 2 2 2" xfId="2955"/>
    <cellStyle name="40% - Accent3 2 2 2 2 2" xfId="2956"/>
    <cellStyle name="40% - Accent3 2 2 2 2 2 2" xfId="2957"/>
    <cellStyle name="40% - Accent3 2 2 2 2 2 3" xfId="2958"/>
    <cellStyle name="40% - Accent3 2 2 2 2 3" xfId="2959"/>
    <cellStyle name="40% - Accent3 2 2 2 2 4" xfId="2960"/>
    <cellStyle name="40% - Accent3 2 2 2 3" xfId="2961"/>
    <cellStyle name="40% - Accent3 2 2 2 3 2" xfId="2962"/>
    <cellStyle name="40% - Accent3 2 2 2 3 3" xfId="2963"/>
    <cellStyle name="40% - Accent3 2 2 2 4" xfId="2964"/>
    <cellStyle name="40% - Accent3 2 2 2 5" xfId="2965"/>
    <cellStyle name="40% - Accent3 2 2 3" xfId="2966"/>
    <cellStyle name="40% - Accent3 2 2 3 2" xfId="2967"/>
    <cellStyle name="40% - Accent3 2 2 3 2 2" xfId="2968"/>
    <cellStyle name="40% - Accent3 2 2 3 2 3" xfId="2969"/>
    <cellStyle name="40% - Accent3 2 2 3 3" xfId="2970"/>
    <cellStyle name="40% - Accent3 2 2 3 4" xfId="2971"/>
    <cellStyle name="40% - Accent3 2 2 4" xfId="2972"/>
    <cellStyle name="40% - Accent3 2 2 4 2" xfId="2973"/>
    <cellStyle name="40% - Accent3 2 2 4 3" xfId="2974"/>
    <cellStyle name="40% - Accent3 2 2 5" xfId="2975"/>
    <cellStyle name="40% - Accent3 2 2 6" xfId="2976"/>
    <cellStyle name="40% - Accent3 2 3" xfId="2977"/>
    <cellStyle name="40% - Accent3 2 3 2" xfId="2978"/>
    <cellStyle name="40% - Accent3 2 3 2 2" xfId="2979"/>
    <cellStyle name="40% - Accent3 2 3 2 2 2" xfId="2980"/>
    <cellStyle name="40% - Accent3 2 3 2 2 3" xfId="2981"/>
    <cellStyle name="40% - Accent3 2 3 2 3" xfId="2982"/>
    <cellStyle name="40% - Accent3 2 3 2 4" xfId="2983"/>
    <cellStyle name="40% - Accent3 2 3 3" xfId="2984"/>
    <cellStyle name="40% - Accent3 2 3 3 2" xfId="2985"/>
    <cellStyle name="40% - Accent3 2 3 3 3" xfId="2986"/>
    <cellStyle name="40% - Accent3 2 3 4" xfId="2987"/>
    <cellStyle name="40% - Accent3 2 3 5" xfId="2988"/>
    <cellStyle name="40% - Accent3 2 4" xfId="2989"/>
    <cellStyle name="40% - Accent3 2 4 2" xfId="2990"/>
    <cellStyle name="40% - Accent3 2 4 2 2" xfId="2991"/>
    <cellStyle name="40% - Accent3 2 4 2 3" xfId="2992"/>
    <cellStyle name="40% - Accent3 2 4 3" xfId="2993"/>
    <cellStyle name="40% - Accent3 2 4 4" xfId="2994"/>
    <cellStyle name="40% - Accent3 2 5" xfId="2995"/>
    <cellStyle name="40% - Accent3 2 5 2" xfId="2996"/>
    <cellStyle name="40% - Accent3 2 5 3" xfId="2997"/>
    <cellStyle name="40% - Accent3 2 6" xfId="2998"/>
    <cellStyle name="40% - Accent3 2 7" xfId="2999"/>
    <cellStyle name="40% - Accent3 2 8" xfId="2952"/>
    <cellStyle name="40% - Accent3 2 9" xfId="3730"/>
    <cellStyle name="40% - Accent3 3" xfId="858"/>
    <cellStyle name="40% - Accent3 3 2" xfId="3001"/>
    <cellStyle name="40% - Accent3 3 2 2" xfId="3002"/>
    <cellStyle name="40% - Accent3 3 2 2 2" xfId="3003"/>
    <cellStyle name="40% - Accent3 3 2 2 2 2" xfId="3004"/>
    <cellStyle name="40% - Accent3 3 2 2 2 3" xfId="3005"/>
    <cellStyle name="40% - Accent3 3 2 2 3" xfId="3006"/>
    <cellStyle name="40% - Accent3 3 2 2 4" xfId="3007"/>
    <cellStyle name="40% - Accent3 3 2 3" xfId="3008"/>
    <cellStyle name="40% - Accent3 3 2 3 2" xfId="3009"/>
    <cellStyle name="40% - Accent3 3 2 3 3" xfId="3010"/>
    <cellStyle name="40% - Accent3 3 2 4" xfId="3011"/>
    <cellStyle name="40% - Accent3 3 2 5" xfId="3012"/>
    <cellStyle name="40% - Accent3 3 3" xfId="3013"/>
    <cellStyle name="40% - Accent3 3 3 2" xfId="3014"/>
    <cellStyle name="40% - Accent3 3 3 2 2" xfId="3015"/>
    <cellStyle name="40% - Accent3 3 3 2 3" xfId="3016"/>
    <cellStyle name="40% - Accent3 3 3 3" xfId="3017"/>
    <cellStyle name="40% - Accent3 3 3 4" xfId="3018"/>
    <cellStyle name="40% - Accent3 3 4" xfId="3019"/>
    <cellStyle name="40% - Accent3 3 4 2" xfId="3020"/>
    <cellStyle name="40% - Accent3 3 4 3" xfId="3021"/>
    <cellStyle name="40% - Accent3 3 5" xfId="3022"/>
    <cellStyle name="40% - Accent3 3 6" xfId="3023"/>
    <cellStyle name="40% - Accent3 3 7" xfId="3000"/>
    <cellStyle name="40% - Accent3 3 8" xfId="3731"/>
    <cellStyle name="40% - Accent3 4" xfId="1942"/>
    <cellStyle name="40% - Accent3 4 2" xfId="3025"/>
    <cellStyle name="40% - Accent3 4 2 2" xfId="3026"/>
    <cellStyle name="40% - Accent3 4 2 2 2" xfId="3027"/>
    <cellStyle name="40% - Accent3 4 2 2 3" xfId="3028"/>
    <cellStyle name="40% - Accent3 4 2 3" xfId="3029"/>
    <cellStyle name="40% - Accent3 4 2 4" xfId="3030"/>
    <cellStyle name="40% - Accent3 4 3" xfId="3031"/>
    <cellStyle name="40% - Accent3 4 3 2" xfId="3032"/>
    <cellStyle name="40% - Accent3 4 3 3" xfId="3033"/>
    <cellStyle name="40% - Accent3 4 4" xfId="3034"/>
    <cellStyle name="40% - Accent3 4 4 2" xfId="3732"/>
    <cellStyle name="40% - Accent3 4 5" xfId="3035"/>
    <cellStyle name="40% - Accent3 4 6" xfId="3024"/>
    <cellStyle name="40% - Accent3 5" xfId="19"/>
    <cellStyle name="40% - Accent3 5 2" xfId="3037"/>
    <cellStyle name="40% - Accent3 5 2 2" xfId="3038"/>
    <cellStyle name="40% - Accent3 5 2 2 2" xfId="3039"/>
    <cellStyle name="40% - Accent3 5 2 2 3" xfId="3040"/>
    <cellStyle name="40% - Accent3 5 2 3" xfId="3041"/>
    <cellStyle name="40% - Accent3 5 2 4" xfId="3042"/>
    <cellStyle name="40% - Accent3 5 3" xfId="3043"/>
    <cellStyle name="40% - Accent3 5 3 2" xfId="3044"/>
    <cellStyle name="40% - Accent3 5 3 3" xfId="3045"/>
    <cellStyle name="40% - Accent3 5 4" xfId="3046"/>
    <cellStyle name="40% - Accent3 5 4 2" xfId="3733"/>
    <cellStyle name="40% - Accent3 5 5" xfId="3047"/>
    <cellStyle name="40% - Accent3 5 6" xfId="3036"/>
    <cellStyle name="40% - Accent3 6" xfId="3048"/>
    <cellStyle name="40% - Accent3 6 2" xfId="3049"/>
    <cellStyle name="40% - Accent3 6 2 2" xfId="3050"/>
    <cellStyle name="40% - Accent3 6 2 3" xfId="3051"/>
    <cellStyle name="40% - Accent3 6 3" xfId="3052"/>
    <cellStyle name="40% - Accent3 6 4" xfId="3053"/>
    <cellStyle name="40% - Accent3 7" xfId="3054"/>
    <cellStyle name="40% - Accent3 7 2" xfId="3055"/>
    <cellStyle name="40% - Accent3 7 3" xfId="3056"/>
    <cellStyle name="40% - Accent3 8" xfId="3057"/>
    <cellStyle name="40% - Accent4 2" xfId="22"/>
    <cellStyle name="40% - Accent4 2 2" xfId="3059"/>
    <cellStyle name="40% - Accent4 2 2 2" xfId="3060"/>
    <cellStyle name="40% - Accent4 2 2 2 2" xfId="3061"/>
    <cellStyle name="40% - Accent4 2 2 2 2 2" xfId="3062"/>
    <cellStyle name="40% - Accent4 2 2 2 2 2 2" xfId="3063"/>
    <cellStyle name="40% - Accent4 2 2 2 2 2 3" xfId="3064"/>
    <cellStyle name="40% - Accent4 2 2 2 2 3" xfId="3065"/>
    <cellStyle name="40% - Accent4 2 2 2 2 4" xfId="3066"/>
    <cellStyle name="40% - Accent4 2 2 2 3" xfId="3067"/>
    <cellStyle name="40% - Accent4 2 2 2 3 2" xfId="3068"/>
    <cellStyle name="40% - Accent4 2 2 2 3 3" xfId="3069"/>
    <cellStyle name="40% - Accent4 2 2 2 4" xfId="3070"/>
    <cellStyle name="40% - Accent4 2 2 2 5" xfId="3071"/>
    <cellStyle name="40% - Accent4 2 2 3" xfId="3072"/>
    <cellStyle name="40% - Accent4 2 2 3 2" xfId="3073"/>
    <cellStyle name="40% - Accent4 2 2 3 2 2" xfId="3074"/>
    <cellStyle name="40% - Accent4 2 2 3 2 3" xfId="3075"/>
    <cellStyle name="40% - Accent4 2 2 3 3" xfId="3076"/>
    <cellStyle name="40% - Accent4 2 2 3 4" xfId="3077"/>
    <cellStyle name="40% - Accent4 2 2 4" xfId="3078"/>
    <cellStyle name="40% - Accent4 2 2 4 2" xfId="3079"/>
    <cellStyle name="40% - Accent4 2 2 4 3" xfId="3080"/>
    <cellStyle name="40% - Accent4 2 2 5" xfId="3081"/>
    <cellStyle name="40% - Accent4 2 2 6" xfId="3082"/>
    <cellStyle name="40% - Accent4 2 3" xfId="3083"/>
    <cellStyle name="40% - Accent4 2 3 2" xfId="3084"/>
    <cellStyle name="40% - Accent4 2 3 2 2" xfId="3085"/>
    <cellStyle name="40% - Accent4 2 3 2 2 2" xfId="3086"/>
    <cellStyle name="40% - Accent4 2 3 2 2 3" xfId="3087"/>
    <cellStyle name="40% - Accent4 2 3 2 3" xfId="3088"/>
    <cellStyle name="40% - Accent4 2 3 2 4" xfId="3089"/>
    <cellStyle name="40% - Accent4 2 3 3" xfId="3090"/>
    <cellStyle name="40% - Accent4 2 3 3 2" xfId="3091"/>
    <cellStyle name="40% - Accent4 2 3 3 3" xfId="3092"/>
    <cellStyle name="40% - Accent4 2 3 4" xfId="3093"/>
    <cellStyle name="40% - Accent4 2 3 5" xfId="3094"/>
    <cellStyle name="40% - Accent4 2 4" xfId="3095"/>
    <cellStyle name="40% - Accent4 2 4 2" xfId="3096"/>
    <cellStyle name="40% - Accent4 2 4 2 2" xfId="3097"/>
    <cellStyle name="40% - Accent4 2 4 2 3" xfId="3098"/>
    <cellStyle name="40% - Accent4 2 4 3" xfId="3099"/>
    <cellStyle name="40% - Accent4 2 4 4" xfId="3100"/>
    <cellStyle name="40% - Accent4 2 5" xfId="3101"/>
    <cellStyle name="40% - Accent4 2 5 2" xfId="3102"/>
    <cellStyle name="40% - Accent4 2 5 3" xfId="3103"/>
    <cellStyle name="40% - Accent4 2 6" xfId="3104"/>
    <cellStyle name="40% - Accent4 2 7" xfId="3105"/>
    <cellStyle name="40% - Accent4 2 8" xfId="3058"/>
    <cellStyle name="40% - Accent4 2 9" xfId="3734"/>
    <cellStyle name="40% - Accent4 3" xfId="859"/>
    <cellStyle name="40% - Accent4 3 2" xfId="3107"/>
    <cellStyle name="40% - Accent4 3 2 2" xfId="3108"/>
    <cellStyle name="40% - Accent4 3 2 2 2" xfId="3109"/>
    <cellStyle name="40% - Accent4 3 2 2 2 2" xfId="3110"/>
    <cellStyle name="40% - Accent4 3 2 2 2 3" xfId="3111"/>
    <cellStyle name="40% - Accent4 3 2 2 3" xfId="3112"/>
    <cellStyle name="40% - Accent4 3 2 2 4" xfId="3113"/>
    <cellStyle name="40% - Accent4 3 2 3" xfId="3114"/>
    <cellStyle name="40% - Accent4 3 2 3 2" xfId="3115"/>
    <cellStyle name="40% - Accent4 3 2 3 3" xfId="3116"/>
    <cellStyle name="40% - Accent4 3 2 4" xfId="3117"/>
    <cellStyle name="40% - Accent4 3 2 5" xfId="3118"/>
    <cellStyle name="40% - Accent4 3 3" xfId="3119"/>
    <cellStyle name="40% - Accent4 3 3 2" xfId="3120"/>
    <cellStyle name="40% - Accent4 3 3 2 2" xfId="3121"/>
    <cellStyle name="40% - Accent4 3 3 2 3" xfId="3122"/>
    <cellStyle name="40% - Accent4 3 3 3" xfId="3123"/>
    <cellStyle name="40% - Accent4 3 3 4" xfId="3124"/>
    <cellStyle name="40% - Accent4 3 4" xfId="3125"/>
    <cellStyle name="40% - Accent4 3 4 2" xfId="3126"/>
    <cellStyle name="40% - Accent4 3 4 3" xfId="3127"/>
    <cellStyle name="40% - Accent4 3 5" xfId="3128"/>
    <cellStyle name="40% - Accent4 3 6" xfId="3129"/>
    <cellStyle name="40% - Accent4 3 7" xfId="3106"/>
    <cellStyle name="40% - Accent4 3 8" xfId="3735"/>
    <cellStyle name="40% - Accent4 4" xfId="1943"/>
    <cellStyle name="40% - Accent4 4 2" xfId="3131"/>
    <cellStyle name="40% - Accent4 4 2 2" xfId="3132"/>
    <cellStyle name="40% - Accent4 4 2 2 2" xfId="3133"/>
    <cellStyle name="40% - Accent4 4 2 2 3" xfId="3134"/>
    <cellStyle name="40% - Accent4 4 2 3" xfId="3135"/>
    <cellStyle name="40% - Accent4 4 2 4" xfId="3136"/>
    <cellStyle name="40% - Accent4 4 3" xfId="3137"/>
    <cellStyle name="40% - Accent4 4 3 2" xfId="3138"/>
    <cellStyle name="40% - Accent4 4 3 3" xfId="3139"/>
    <cellStyle name="40% - Accent4 4 4" xfId="3140"/>
    <cellStyle name="40% - Accent4 4 4 2" xfId="3736"/>
    <cellStyle name="40% - Accent4 4 5" xfId="3141"/>
    <cellStyle name="40% - Accent4 4 6" xfId="3130"/>
    <cellStyle name="40% - Accent4 5" xfId="21"/>
    <cellStyle name="40% - Accent4 5 2" xfId="3143"/>
    <cellStyle name="40% - Accent4 5 2 2" xfId="3144"/>
    <cellStyle name="40% - Accent4 5 2 2 2" xfId="3145"/>
    <cellStyle name="40% - Accent4 5 2 2 3" xfId="3146"/>
    <cellStyle name="40% - Accent4 5 2 3" xfId="3147"/>
    <cellStyle name="40% - Accent4 5 2 4" xfId="3148"/>
    <cellStyle name="40% - Accent4 5 3" xfId="3149"/>
    <cellStyle name="40% - Accent4 5 3 2" xfId="3150"/>
    <cellStyle name="40% - Accent4 5 3 3" xfId="3151"/>
    <cellStyle name="40% - Accent4 5 4" xfId="3152"/>
    <cellStyle name="40% - Accent4 5 4 2" xfId="3737"/>
    <cellStyle name="40% - Accent4 5 5" xfId="3153"/>
    <cellStyle name="40% - Accent4 5 6" xfId="3142"/>
    <cellStyle name="40% - Accent4 6" xfId="3154"/>
    <cellStyle name="40% - Accent4 6 2" xfId="3155"/>
    <cellStyle name="40% - Accent4 6 2 2" xfId="3156"/>
    <cellStyle name="40% - Accent4 6 2 3" xfId="3157"/>
    <cellStyle name="40% - Accent4 6 3" xfId="3158"/>
    <cellStyle name="40% - Accent4 6 4" xfId="3159"/>
    <cellStyle name="40% - Accent4 7" xfId="3160"/>
    <cellStyle name="40% - Accent4 7 2" xfId="3161"/>
    <cellStyle name="40% - Accent4 7 3" xfId="3162"/>
    <cellStyle name="40% - Accent4 8" xfId="3163"/>
    <cellStyle name="40% - Accent5 2" xfId="24"/>
    <cellStyle name="40% - Accent5 2 2" xfId="3165"/>
    <cellStyle name="40% - Accent5 2 2 2" xfId="3166"/>
    <cellStyle name="40% - Accent5 2 2 2 2" xfId="3167"/>
    <cellStyle name="40% - Accent5 2 2 2 2 2" xfId="3168"/>
    <cellStyle name="40% - Accent5 2 2 2 2 2 2" xfId="3169"/>
    <cellStyle name="40% - Accent5 2 2 2 2 2 3" xfId="3170"/>
    <cellStyle name="40% - Accent5 2 2 2 2 3" xfId="3171"/>
    <cellStyle name="40% - Accent5 2 2 2 2 4" xfId="3172"/>
    <cellStyle name="40% - Accent5 2 2 2 3" xfId="3173"/>
    <cellStyle name="40% - Accent5 2 2 2 3 2" xfId="3174"/>
    <cellStyle name="40% - Accent5 2 2 2 3 3" xfId="3175"/>
    <cellStyle name="40% - Accent5 2 2 2 4" xfId="3176"/>
    <cellStyle name="40% - Accent5 2 2 2 5" xfId="3177"/>
    <cellStyle name="40% - Accent5 2 2 3" xfId="3178"/>
    <cellStyle name="40% - Accent5 2 2 3 2" xfId="3179"/>
    <cellStyle name="40% - Accent5 2 2 3 2 2" xfId="3180"/>
    <cellStyle name="40% - Accent5 2 2 3 2 3" xfId="3181"/>
    <cellStyle name="40% - Accent5 2 2 3 3" xfId="3182"/>
    <cellStyle name="40% - Accent5 2 2 3 4" xfId="3183"/>
    <cellStyle name="40% - Accent5 2 2 4" xfId="3184"/>
    <cellStyle name="40% - Accent5 2 2 4 2" xfId="3185"/>
    <cellStyle name="40% - Accent5 2 2 4 3" xfId="3186"/>
    <cellStyle name="40% - Accent5 2 2 5" xfId="3187"/>
    <cellStyle name="40% - Accent5 2 2 6" xfId="3188"/>
    <cellStyle name="40% - Accent5 2 3" xfId="3189"/>
    <cellStyle name="40% - Accent5 2 3 2" xfId="3190"/>
    <cellStyle name="40% - Accent5 2 3 2 2" xfId="3191"/>
    <cellStyle name="40% - Accent5 2 3 2 2 2" xfId="3192"/>
    <cellStyle name="40% - Accent5 2 3 2 2 3" xfId="3193"/>
    <cellStyle name="40% - Accent5 2 3 2 3" xfId="3194"/>
    <cellStyle name="40% - Accent5 2 3 2 4" xfId="3195"/>
    <cellStyle name="40% - Accent5 2 3 3" xfId="3196"/>
    <cellStyle name="40% - Accent5 2 3 3 2" xfId="3197"/>
    <cellStyle name="40% - Accent5 2 3 3 3" xfId="3198"/>
    <cellStyle name="40% - Accent5 2 3 4" xfId="3199"/>
    <cellStyle name="40% - Accent5 2 3 5" xfId="3200"/>
    <cellStyle name="40% - Accent5 2 4" xfId="3201"/>
    <cellStyle name="40% - Accent5 2 4 2" xfId="3202"/>
    <cellStyle name="40% - Accent5 2 4 2 2" xfId="3203"/>
    <cellStyle name="40% - Accent5 2 4 2 3" xfId="3204"/>
    <cellStyle name="40% - Accent5 2 4 3" xfId="3205"/>
    <cellStyle name="40% - Accent5 2 4 4" xfId="3206"/>
    <cellStyle name="40% - Accent5 2 5" xfId="3207"/>
    <cellStyle name="40% - Accent5 2 5 2" xfId="3208"/>
    <cellStyle name="40% - Accent5 2 5 3" xfId="3209"/>
    <cellStyle name="40% - Accent5 2 6" xfId="3210"/>
    <cellStyle name="40% - Accent5 2 7" xfId="3211"/>
    <cellStyle name="40% - Accent5 2 8" xfId="3164"/>
    <cellStyle name="40% - Accent5 2 9" xfId="3738"/>
    <cellStyle name="40% - Accent5 3" xfId="860"/>
    <cellStyle name="40% - Accent5 3 2" xfId="3213"/>
    <cellStyle name="40% - Accent5 3 2 2" xfId="3214"/>
    <cellStyle name="40% - Accent5 3 2 2 2" xfId="3215"/>
    <cellStyle name="40% - Accent5 3 2 2 2 2" xfId="3216"/>
    <cellStyle name="40% - Accent5 3 2 2 2 3" xfId="3217"/>
    <cellStyle name="40% - Accent5 3 2 2 3" xfId="3218"/>
    <cellStyle name="40% - Accent5 3 2 2 4" xfId="3219"/>
    <cellStyle name="40% - Accent5 3 2 3" xfId="3220"/>
    <cellStyle name="40% - Accent5 3 2 3 2" xfId="3221"/>
    <cellStyle name="40% - Accent5 3 2 3 3" xfId="3222"/>
    <cellStyle name="40% - Accent5 3 2 4" xfId="3223"/>
    <cellStyle name="40% - Accent5 3 2 5" xfId="3224"/>
    <cellStyle name="40% - Accent5 3 3" xfId="3225"/>
    <cellStyle name="40% - Accent5 3 3 2" xfId="3226"/>
    <cellStyle name="40% - Accent5 3 3 2 2" xfId="3227"/>
    <cellStyle name="40% - Accent5 3 3 2 3" xfId="3228"/>
    <cellStyle name="40% - Accent5 3 3 3" xfId="3229"/>
    <cellStyle name="40% - Accent5 3 3 4" xfId="3230"/>
    <cellStyle name="40% - Accent5 3 4" xfId="3231"/>
    <cellStyle name="40% - Accent5 3 4 2" xfId="3232"/>
    <cellStyle name="40% - Accent5 3 4 3" xfId="3233"/>
    <cellStyle name="40% - Accent5 3 5" xfId="3234"/>
    <cellStyle name="40% - Accent5 3 6" xfId="3235"/>
    <cellStyle name="40% - Accent5 3 7" xfId="3212"/>
    <cellStyle name="40% - Accent5 3 8" xfId="3739"/>
    <cellStyle name="40% - Accent5 4" xfId="1944"/>
    <cellStyle name="40% - Accent5 4 2" xfId="3237"/>
    <cellStyle name="40% - Accent5 4 2 2" xfId="3238"/>
    <cellStyle name="40% - Accent5 4 2 2 2" xfId="3239"/>
    <cellStyle name="40% - Accent5 4 2 2 3" xfId="3240"/>
    <cellStyle name="40% - Accent5 4 2 3" xfId="3241"/>
    <cellStyle name="40% - Accent5 4 2 4" xfId="3242"/>
    <cellStyle name="40% - Accent5 4 3" xfId="3243"/>
    <cellStyle name="40% - Accent5 4 3 2" xfId="3244"/>
    <cellStyle name="40% - Accent5 4 3 3" xfId="3245"/>
    <cellStyle name="40% - Accent5 4 4" xfId="3246"/>
    <cellStyle name="40% - Accent5 4 4 2" xfId="3740"/>
    <cellStyle name="40% - Accent5 4 5" xfId="3247"/>
    <cellStyle name="40% - Accent5 4 6" xfId="3236"/>
    <cellStyle name="40% - Accent5 5" xfId="23"/>
    <cellStyle name="40% - Accent5 5 2" xfId="3249"/>
    <cellStyle name="40% - Accent5 5 2 2" xfId="3250"/>
    <cellStyle name="40% - Accent5 5 2 2 2" xfId="3251"/>
    <cellStyle name="40% - Accent5 5 2 2 3" xfId="3252"/>
    <cellStyle name="40% - Accent5 5 2 3" xfId="3253"/>
    <cellStyle name="40% - Accent5 5 2 4" xfId="3254"/>
    <cellStyle name="40% - Accent5 5 3" xfId="3255"/>
    <cellStyle name="40% - Accent5 5 3 2" xfId="3256"/>
    <cellStyle name="40% - Accent5 5 3 3" xfId="3257"/>
    <cellStyle name="40% - Accent5 5 4" xfId="3258"/>
    <cellStyle name="40% - Accent5 5 4 2" xfId="3741"/>
    <cellStyle name="40% - Accent5 5 5" xfId="3259"/>
    <cellStyle name="40% - Accent5 5 6" xfId="3248"/>
    <cellStyle name="40% - Accent5 6" xfId="3260"/>
    <cellStyle name="40% - Accent5 6 2" xfId="3261"/>
    <cellStyle name="40% - Accent5 6 2 2" xfId="3262"/>
    <cellStyle name="40% - Accent5 6 2 3" xfId="3263"/>
    <cellStyle name="40% - Accent5 6 3" xfId="3264"/>
    <cellStyle name="40% - Accent5 6 4" xfId="3265"/>
    <cellStyle name="40% - Accent5 7" xfId="3266"/>
    <cellStyle name="40% - Accent5 7 2" xfId="3267"/>
    <cellStyle name="40% - Accent5 7 3" xfId="3268"/>
    <cellStyle name="40% - Accent5 8" xfId="3269"/>
    <cellStyle name="40% - Accent6 2" xfId="26"/>
    <cellStyle name="40% - Accent6 2 2" xfId="3271"/>
    <cellStyle name="40% - Accent6 2 2 2" xfId="3272"/>
    <cellStyle name="40% - Accent6 2 2 2 2" xfId="3273"/>
    <cellStyle name="40% - Accent6 2 2 2 2 2" xfId="3274"/>
    <cellStyle name="40% - Accent6 2 2 2 2 2 2" xfId="3275"/>
    <cellStyle name="40% - Accent6 2 2 2 2 2 3" xfId="3276"/>
    <cellStyle name="40% - Accent6 2 2 2 2 3" xfId="3277"/>
    <cellStyle name="40% - Accent6 2 2 2 2 4" xfId="3278"/>
    <cellStyle name="40% - Accent6 2 2 2 3" xfId="3279"/>
    <cellStyle name="40% - Accent6 2 2 2 3 2" xfId="3280"/>
    <cellStyle name="40% - Accent6 2 2 2 3 3" xfId="3281"/>
    <cellStyle name="40% - Accent6 2 2 2 4" xfId="3282"/>
    <cellStyle name="40% - Accent6 2 2 2 5" xfId="3283"/>
    <cellStyle name="40% - Accent6 2 2 3" xfId="3284"/>
    <cellStyle name="40% - Accent6 2 2 3 2" xfId="3285"/>
    <cellStyle name="40% - Accent6 2 2 3 2 2" xfId="3286"/>
    <cellStyle name="40% - Accent6 2 2 3 2 3" xfId="3287"/>
    <cellStyle name="40% - Accent6 2 2 3 3" xfId="3288"/>
    <cellStyle name="40% - Accent6 2 2 3 4" xfId="3289"/>
    <cellStyle name="40% - Accent6 2 2 4" xfId="3290"/>
    <cellStyle name="40% - Accent6 2 2 4 2" xfId="3291"/>
    <cellStyle name="40% - Accent6 2 2 4 3" xfId="3292"/>
    <cellStyle name="40% - Accent6 2 2 5" xfId="3293"/>
    <cellStyle name="40% - Accent6 2 2 6" xfId="3294"/>
    <cellStyle name="40% - Accent6 2 3" xfId="3295"/>
    <cellStyle name="40% - Accent6 2 3 2" xfId="3296"/>
    <cellStyle name="40% - Accent6 2 3 2 2" xfId="3297"/>
    <cellStyle name="40% - Accent6 2 3 2 2 2" xfId="3298"/>
    <cellStyle name="40% - Accent6 2 3 2 2 3" xfId="3299"/>
    <cellStyle name="40% - Accent6 2 3 2 3" xfId="3300"/>
    <cellStyle name="40% - Accent6 2 3 2 4" xfId="3301"/>
    <cellStyle name="40% - Accent6 2 3 3" xfId="3302"/>
    <cellStyle name="40% - Accent6 2 3 3 2" xfId="3303"/>
    <cellStyle name="40% - Accent6 2 3 3 3" xfId="3304"/>
    <cellStyle name="40% - Accent6 2 3 4" xfId="3305"/>
    <cellStyle name="40% - Accent6 2 3 5" xfId="3306"/>
    <cellStyle name="40% - Accent6 2 4" xfId="3307"/>
    <cellStyle name="40% - Accent6 2 4 2" xfId="3308"/>
    <cellStyle name="40% - Accent6 2 4 2 2" xfId="3309"/>
    <cellStyle name="40% - Accent6 2 4 2 3" xfId="3310"/>
    <cellStyle name="40% - Accent6 2 4 3" xfId="3311"/>
    <cellStyle name="40% - Accent6 2 4 4" xfId="3312"/>
    <cellStyle name="40% - Accent6 2 5" xfId="3313"/>
    <cellStyle name="40% - Accent6 2 5 2" xfId="3314"/>
    <cellStyle name="40% - Accent6 2 5 3" xfId="3315"/>
    <cellStyle name="40% - Accent6 2 6" xfId="3316"/>
    <cellStyle name="40% - Accent6 2 7" xfId="3317"/>
    <cellStyle name="40% - Accent6 2 8" xfId="3270"/>
    <cellStyle name="40% - Accent6 2 9" xfId="3742"/>
    <cellStyle name="40% - Accent6 3" xfId="861"/>
    <cellStyle name="40% - Accent6 3 2" xfId="3319"/>
    <cellStyle name="40% - Accent6 3 2 2" xfId="3320"/>
    <cellStyle name="40% - Accent6 3 2 2 2" xfId="3321"/>
    <cellStyle name="40% - Accent6 3 2 2 2 2" xfId="3322"/>
    <cellStyle name="40% - Accent6 3 2 2 2 3" xfId="3323"/>
    <cellStyle name="40% - Accent6 3 2 2 3" xfId="3324"/>
    <cellStyle name="40% - Accent6 3 2 2 4" xfId="3325"/>
    <cellStyle name="40% - Accent6 3 2 3" xfId="3326"/>
    <cellStyle name="40% - Accent6 3 2 3 2" xfId="3327"/>
    <cellStyle name="40% - Accent6 3 2 3 3" xfId="3328"/>
    <cellStyle name="40% - Accent6 3 2 4" xfId="3329"/>
    <cellStyle name="40% - Accent6 3 2 5" xfId="3330"/>
    <cellStyle name="40% - Accent6 3 3" xfId="3331"/>
    <cellStyle name="40% - Accent6 3 3 2" xfId="3332"/>
    <cellStyle name="40% - Accent6 3 3 2 2" xfId="3333"/>
    <cellStyle name="40% - Accent6 3 3 2 3" xfId="3334"/>
    <cellStyle name="40% - Accent6 3 3 3" xfId="3335"/>
    <cellStyle name="40% - Accent6 3 3 4" xfId="3336"/>
    <cellStyle name="40% - Accent6 3 4" xfId="3337"/>
    <cellStyle name="40% - Accent6 3 4 2" xfId="3338"/>
    <cellStyle name="40% - Accent6 3 4 3" xfId="3339"/>
    <cellStyle name="40% - Accent6 3 5" xfId="3340"/>
    <cellStyle name="40% - Accent6 3 6" xfId="3341"/>
    <cellStyle name="40% - Accent6 3 7" xfId="3318"/>
    <cellStyle name="40% - Accent6 3 8" xfId="3743"/>
    <cellStyle name="40% - Accent6 4" xfId="1945"/>
    <cellStyle name="40% - Accent6 4 2" xfId="3343"/>
    <cellStyle name="40% - Accent6 4 2 2" xfId="3344"/>
    <cellStyle name="40% - Accent6 4 2 2 2" xfId="3345"/>
    <cellStyle name="40% - Accent6 4 2 2 3" xfId="3346"/>
    <cellStyle name="40% - Accent6 4 2 3" xfId="3347"/>
    <cellStyle name="40% - Accent6 4 2 4" xfId="3348"/>
    <cellStyle name="40% - Accent6 4 3" xfId="3349"/>
    <cellStyle name="40% - Accent6 4 3 2" xfId="3350"/>
    <cellStyle name="40% - Accent6 4 3 3" xfId="3351"/>
    <cellStyle name="40% - Accent6 4 4" xfId="3352"/>
    <cellStyle name="40% - Accent6 4 4 2" xfId="3744"/>
    <cellStyle name="40% - Accent6 4 5" xfId="3353"/>
    <cellStyle name="40% - Accent6 4 6" xfId="3342"/>
    <cellStyle name="40% - Accent6 5" xfId="25"/>
    <cellStyle name="40% - Accent6 5 2" xfId="3355"/>
    <cellStyle name="40% - Accent6 5 2 2" xfId="3356"/>
    <cellStyle name="40% - Accent6 5 2 2 2" xfId="3357"/>
    <cellStyle name="40% - Accent6 5 2 2 3" xfId="3358"/>
    <cellStyle name="40% - Accent6 5 2 3" xfId="3359"/>
    <cellStyle name="40% - Accent6 5 2 4" xfId="3360"/>
    <cellStyle name="40% - Accent6 5 3" xfId="3361"/>
    <cellStyle name="40% - Accent6 5 3 2" xfId="3362"/>
    <cellStyle name="40% - Accent6 5 3 3" xfId="3363"/>
    <cellStyle name="40% - Accent6 5 4" xfId="3364"/>
    <cellStyle name="40% - Accent6 5 4 2" xfId="3745"/>
    <cellStyle name="40% - Accent6 5 5" xfId="3365"/>
    <cellStyle name="40% - Accent6 5 6" xfId="3354"/>
    <cellStyle name="40% - Accent6 6" xfId="3366"/>
    <cellStyle name="40% - Accent6 6 2" xfId="3367"/>
    <cellStyle name="40% - Accent6 6 2 2" xfId="3368"/>
    <cellStyle name="40% - Accent6 6 2 3" xfId="3369"/>
    <cellStyle name="40% - Accent6 6 3" xfId="3370"/>
    <cellStyle name="40% - Accent6 6 4" xfId="3371"/>
    <cellStyle name="40% - Accent6 7" xfId="3372"/>
    <cellStyle name="40% - Accent6 7 2" xfId="3373"/>
    <cellStyle name="40% - Accent6 7 3" xfId="3374"/>
    <cellStyle name="40% - Accent6 8" xfId="3375"/>
    <cellStyle name="60% - Accent1 2" xfId="28"/>
    <cellStyle name="60% - Accent1 2 2" xfId="3746"/>
    <cellStyle name="60% - Accent1 3" xfId="862"/>
    <cellStyle name="60% - Accent1 3 2" xfId="3747"/>
    <cellStyle name="60% - Accent1 4" xfId="1946"/>
    <cellStyle name="60% - Accent1 5" xfId="27"/>
    <cellStyle name="60% - Accent2 2" xfId="30"/>
    <cellStyle name="60% - Accent2 2 2" xfId="3748"/>
    <cellStyle name="60% - Accent2 3" xfId="863"/>
    <cellStyle name="60% - Accent2 3 2" xfId="3749"/>
    <cellStyle name="60% - Accent2 4" xfId="1947"/>
    <cellStyle name="60% - Accent2 5" xfId="29"/>
    <cellStyle name="60% - Accent3 2" xfId="32"/>
    <cellStyle name="60% - Accent3 2 2" xfId="3750"/>
    <cellStyle name="60% - Accent3 3" xfId="864"/>
    <cellStyle name="60% - Accent3 3 2" xfId="3751"/>
    <cellStyle name="60% - Accent3 4" xfId="1948"/>
    <cellStyle name="60% - Accent3 5" xfId="31"/>
    <cellStyle name="60% - Accent4 2" xfId="34"/>
    <cellStyle name="60% - Accent4 2 2" xfId="3752"/>
    <cellStyle name="60% - Accent4 3" xfId="865"/>
    <cellStyle name="60% - Accent4 3 2" xfId="3753"/>
    <cellStyle name="60% - Accent4 4" xfId="1949"/>
    <cellStyle name="60% - Accent4 5" xfId="33"/>
    <cellStyle name="60% - Accent5 2" xfId="36"/>
    <cellStyle name="60% - Accent5 2 2" xfId="3754"/>
    <cellStyle name="60% - Accent5 3" xfId="866"/>
    <cellStyle name="60% - Accent5 3 2" xfId="3755"/>
    <cellStyle name="60% - Accent5 4" xfId="1950"/>
    <cellStyle name="60% - Accent5 5" xfId="35"/>
    <cellStyle name="60% - Accent6 2" xfId="38"/>
    <cellStyle name="60% - Accent6 2 2" xfId="3756"/>
    <cellStyle name="60% - Accent6 3" xfId="867"/>
    <cellStyle name="60% - Accent6 3 2" xfId="3757"/>
    <cellStyle name="60% - Accent6 4" xfId="1951"/>
    <cellStyle name="60% - Accent6 5" xfId="37"/>
    <cellStyle name="ac" xfId="39"/>
    <cellStyle name="Accent1 2" xfId="41"/>
    <cellStyle name="Accent1 2 2" xfId="3758"/>
    <cellStyle name="Accent1 3" xfId="868"/>
    <cellStyle name="Accent1 3 2" xfId="3759"/>
    <cellStyle name="Accent1 4" xfId="1952"/>
    <cellStyle name="Accent1 5" xfId="40"/>
    <cellStyle name="Accent2 2" xfId="43"/>
    <cellStyle name="Accent2 2 2" xfId="3760"/>
    <cellStyle name="Accent2 3" xfId="869"/>
    <cellStyle name="Accent2 3 2" xfId="3761"/>
    <cellStyle name="Accent2 4" xfId="1953"/>
    <cellStyle name="Accent2 5" xfId="42"/>
    <cellStyle name="Accent3 2" xfId="45"/>
    <cellStyle name="Accent3 2 2" xfId="3762"/>
    <cellStyle name="Accent3 3" xfId="870"/>
    <cellStyle name="Accent3 3 2" xfId="3763"/>
    <cellStyle name="Accent3 4" xfId="1954"/>
    <cellStyle name="Accent3 5" xfId="44"/>
    <cellStyle name="Accent4 2" xfId="47"/>
    <cellStyle name="Accent4 2 2" xfId="3764"/>
    <cellStyle name="Accent4 3" xfId="871"/>
    <cellStyle name="Accent4 3 2" xfId="3765"/>
    <cellStyle name="Accent4 4" xfId="1955"/>
    <cellStyle name="Accent4 5" xfId="46"/>
    <cellStyle name="Accent5 2" xfId="49"/>
    <cellStyle name="Accent5 2 2" xfId="3766"/>
    <cellStyle name="Accent5 3" xfId="872"/>
    <cellStyle name="Accent5 3 2" xfId="3767"/>
    <cellStyle name="Accent5 4" xfId="1956"/>
    <cellStyle name="Accent5 5" xfId="48"/>
    <cellStyle name="Accent6 2" xfId="51"/>
    <cellStyle name="Accent6 2 2" xfId="3768"/>
    <cellStyle name="Accent6 3" xfId="873"/>
    <cellStyle name="Accent6 3 2" xfId="3769"/>
    <cellStyle name="Accent6 4" xfId="1957"/>
    <cellStyle name="Accent6 5" xfId="50"/>
    <cellStyle name="Bad 2" xfId="53"/>
    <cellStyle name="Bad 2 2" xfId="3770"/>
    <cellStyle name="Bad 3" xfId="769"/>
    <cellStyle name="Bad 3 2" xfId="3771"/>
    <cellStyle name="Bad 4" xfId="874"/>
    <cellStyle name="Bad 5" xfId="1958"/>
    <cellStyle name="Bad 6" xfId="52"/>
    <cellStyle name="Calculation 2" xfId="55"/>
    <cellStyle name="Calculation 2 2" xfId="3773"/>
    <cellStyle name="Calculation 2 3" xfId="3772"/>
    <cellStyle name="Calculation 3" xfId="773"/>
    <cellStyle name="Calculation 3 2" xfId="3775"/>
    <cellStyle name="Calculation 3 3" xfId="3774"/>
    <cellStyle name="Calculation 4" xfId="875"/>
    <cellStyle name="Calculation 5" xfId="1959"/>
    <cellStyle name="Calculation 6" xfId="54"/>
    <cellStyle name="Check Cell 2" xfId="57"/>
    <cellStyle name="Check Cell 2 2" xfId="3776"/>
    <cellStyle name="Check Cell 3" xfId="775"/>
    <cellStyle name="Check Cell 3 2" xfId="3777"/>
    <cellStyle name="Check Cell 4" xfId="876"/>
    <cellStyle name="Check Cell 5" xfId="1960"/>
    <cellStyle name="Check Cell 6" xfId="56"/>
    <cellStyle name="Comma 10" xfId="1961"/>
    <cellStyle name="Comma 11" xfId="58"/>
    <cellStyle name="Comma 12" xfId="2100"/>
    <cellStyle name="Comma 2" xfId="59"/>
    <cellStyle name="Comma 2 2" xfId="60"/>
    <cellStyle name="Comma 2 2 2" xfId="879"/>
    <cellStyle name="Comma 2 2 2 2" xfId="3378"/>
    <cellStyle name="Comma 2 2 2 2 2" xfId="3379"/>
    <cellStyle name="Comma 2 2 2 2 2 2" xfId="3380"/>
    <cellStyle name="Comma 2 2 2 2 2 3" xfId="3381"/>
    <cellStyle name="Comma 2 2 2 2 3" xfId="3382"/>
    <cellStyle name="Comma 2 2 2 2 4" xfId="3383"/>
    <cellStyle name="Comma 2 2 2 3" xfId="3384"/>
    <cellStyle name="Comma 2 2 2 3 2" xfId="3385"/>
    <cellStyle name="Comma 2 2 2 3 3" xfId="3386"/>
    <cellStyle name="Comma 2 2 2 4" xfId="3387"/>
    <cellStyle name="Comma 2 2 2 5" xfId="3388"/>
    <cellStyle name="Comma 2 2 2 6" xfId="3377"/>
    <cellStyle name="Comma 2 2 3" xfId="3389"/>
    <cellStyle name="Comma 2 2 3 2" xfId="3390"/>
    <cellStyle name="Comma 2 2 3 2 2" xfId="3391"/>
    <cellStyle name="Comma 2 2 3 2 3" xfId="3392"/>
    <cellStyle name="Comma 2 2 3 3" xfId="3393"/>
    <cellStyle name="Comma 2 2 3 4" xfId="3394"/>
    <cellStyle name="Comma 2 2 4" xfId="3395"/>
    <cellStyle name="Comma 2 2 4 2" xfId="3396"/>
    <cellStyle name="Comma 2 2 4 3" xfId="3397"/>
    <cellStyle name="Comma 2 2 5" xfId="3398"/>
    <cellStyle name="Comma 2 2 6" xfId="3399"/>
    <cellStyle name="Comma 2 2 7" xfId="3376"/>
    <cellStyle name="Comma 2 2 8" xfId="3778"/>
    <cellStyle name="Comma 2 3" xfId="878"/>
    <cellStyle name="Comma 2 3 2" xfId="3401"/>
    <cellStyle name="Comma 2 3 2 2" xfId="3402"/>
    <cellStyle name="Comma 2 3 2 2 2" xfId="3403"/>
    <cellStyle name="Comma 2 3 2 2 3" xfId="3404"/>
    <cellStyle name="Comma 2 3 2 3" xfId="3405"/>
    <cellStyle name="Comma 2 3 2 4" xfId="3406"/>
    <cellStyle name="Comma 2 3 3" xfId="3407"/>
    <cellStyle name="Comma 2 3 3 2" xfId="3408"/>
    <cellStyle name="Comma 2 3 3 3" xfId="3409"/>
    <cellStyle name="Comma 2 3 4" xfId="3410"/>
    <cellStyle name="Comma 2 3 5" xfId="3411"/>
    <cellStyle name="Comma 2 3 6" xfId="3400"/>
    <cellStyle name="Comma 2 4" xfId="3412"/>
    <cellStyle name="Comma 2 4 2" xfId="3413"/>
    <cellStyle name="Comma 2 4 2 2" xfId="3414"/>
    <cellStyle name="Comma 2 4 2 3" xfId="3415"/>
    <cellStyle name="Comma 2 4 3" xfId="3416"/>
    <cellStyle name="Comma 2 4 4" xfId="3417"/>
    <cellStyle name="Comma 2 4 5" xfId="39493"/>
    <cellStyle name="Comma 2 4 6" xfId="39474"/>
    <cellStyle name="Comma 2 5" xfId="3418"/>
    <cellStyle name="Comma 2 5 2" xfId="3419"/>
    <cellStyle name="Comma 2 5 3" xfId="3420"/>
    <cellStyle name="Comma 2 6" xfId="3421"/>
    <cellStyle name="Comma 2 6 2" xfId="3779"/>
    <cellStyle name="Comma 2 7" xfId="3422"/>
    <cellStyle name="Comma 2 8" xfId="3423"/>
    <cellStyle name="Comma 2 9" xfId="3424"/>
    <cellStyle name="Comma 3" xfId="61"/>
    <cellStyle name="Comma 3 2" xfId="62"/>
    <cellStyle name="Comma 3 2 2" xfId="881"/>
    <cellStyle name="Comma 3 2 2 2" xfId="3428"/>
    <cellStyle name="Comma 3 2 2 2 2" xfId="3429"/>
    <cellStyle name="Comma 3 2 2 2 2 2" xfId="3430"/>
    <cellStyle name="Comma 3 2 2 2 2 3" xfId="3431"/>
    <cellStyle name="Comma 3 2 2 2 3" xfId="3432"/>
    <cellStyle name="Comma 3 2 2 2 4" xfId="3433"/>
    <cellStyle name="Comma 3 2 2 3" xfId="3434"/>
    <cellStyle name="Comma 3 2 2 3 2" xfId="3435"/>
    <cellStyle name="Comma 3 2 2 3 3" xfId="3436"/>
    <cellStyle name="Comma 3 2 2 4" xfId="3437"/>
    <cellStyle name="Comma 3 2 2 5" xfId="3438"/>
    <cellStyle name="Comma 3 2 2 6" xfId="3427"/>
    <cellStyle name="Comma 3 2 3" xfId="3439"/>
    <cellStyle name="Comma 3 2 3 2" xfId="3440"/>
    <cellStyle name="Comma 3 2 3 2 2" xfId="3441"/>
    <cellStyle name="Comma 3 2 3 2 3" xfId="3442"/>
    <cellStyle name="Comma 3 2 3 3" xfId="3443"/>
    <cellStyle name="Comma 3 2 3 4" xfId="3444"/>
    <cellStyle name="Comma 3 2 4" xfId="3445"/>
    <cellStyle name="Comma 3 2 4 2" xfId="3446"/>
    <cellStyle name="Comma 3 2 4 3" xfId="3447"/>
    <cellStyle name="Comma 3 2 5" xfId="3448"/>
    <cellStyle name="Comma 3 2 6" xfId="3449"/>
    <cellStyle name="Comma 3 2 7" xfId="3426"/>
    <cellStyle name="Comma 3 3" xfId="63"/>
    <cellStyle name="Comma 3 3 2" xfId="3451"/>
    <cellStyle name="Comma 3 3 2 2" xfId="3452"/>
    <cellStyle name="Comma 3 3 2 2 2" xfId="3453"/>
    <cellStyle name="Comma 3 3 2 2 3" xfId="3454"/>
    <cellStyle name="Comma 3 3 2 3" xfId="3455"/>
    <cellStyle name="Comma 3 3 2 4" xfId="3456"/>
    <cellStyle name="Comma 3 3 3" xfId="3457"/>
    <cellStyle name="Comma 3 3 3 2" xfId="3458"/>
    <cellStyle name="Comma 3 3 3 3" xfId="3459"/>
    <cellStyle name="Comma 3 3 4" xfId="3460"/>
    <cellStyle name="Comma 3 3 5" xfId="3461"/>
    <cellStyle name="Comma 3 3 6" xfId="3450"/>
    <cellStyle name="Comma 3 4" xfId="880"/>
    <cellStyle name="Comma 3 4 2" xfId="3463"/>
    <cellStyle name="Comma 3 4 2 2" xfId="3464"/>
    <cellStyle name="Comma 3 4 2 3" xfId="3465"/>
    <cellStyle name="Comma 3 4 3" xfId="3466"/>
    <cellStyle name="Comma 3 4 4" xfId="3467"/>
    <cellStyle name="Comma 3 4 5" xfId="3462"/>
    <cellStyle name="Comma 3 5" xfId="3468"/>
    <cellStyle name="Comma 3 5 2" xfId="3469"/>
    <cellStyle name="Comma 3 5 3" xfId="3470"/>
    <cellStyle name="Comma 3 5 4" xfId="39494"/>
    <cellStyle name="Comma 3 5 5" xfId="39475"/>
    <cellStyle name="Comma 3 6" xfId="3471"/>
    <cellStyle name="Comma 3 7" xfId="3472"/>
    <cellStyle name="Comma 3 8" xfId="3425"/>
    <cellStyle name="Comma 4" xfId="64"/>
    <cellStyle name="Comma 4 2" xfId="882"/>
    <cellStyle name="Comma 4 2 2" xfId="3475"/>
    <cellStyle name="Comma 4 2 2 2" xfId="3476"/>
    <cellStyle name="Comma 4 2 2 2 2" xfId="3477"/>
    <cellStyle name="Comma 4 2 2 2 3" xfId="3478"/>
    <cellStyle name="Comma 4 2 2 3" xfId="3479"/>
    <cellStyle name="Comma 4 2 2 4" xfId="3480"/>
    <cellStyle name="Comma 4 2 3" xfId="3481"/>
    <cellStyle name="Comma 4 2 3 2" xfId="3482"/>
    <cellStyle name="Comma 4 2 3 3" xfId="3483"/>
    <cellStyle name="Comma 4 2 4" xfId="3484"/>
    <cellStyle name="Comma 4 2 4 2" xfId="3780"/>
    <cellStyle name="Comma 4 2 5" xfId="3485"/>
    <cellStyle name="Comma 4 2 6" xfId="3474"/>
    <cellStyle name="Comma 4 3" xfId="3486"/>
    <cellStyle name="Comma 4 3 2" xfId="3487"/>
    <cellStyle name="Comma 4 3 2 2" xfId="3488"/>
    <cellStyle name="Comma 4 3 2 3" xfId="3489"/>
    <cellStyle name="Comma 4 3 3" xfId="3490"/>
    <cellStyle name="Comma 4 3 3 2" xfId="3781"/>
    <cellStyle name="Comma 4 3 4" xfId="3491"/>
    <cellStyle name="Comma 4 3 4 2" xfId="3782"/>
    <cellStyle name="Comma 4 3 5" xfId="3783"/>
    <cellStyle name="Comma 4 4" xfId="3492"/>
    <cellStyle name="Comma 4 4 2" xfId="3493"/>
    <cellStyle name="Comma 4 4 3" xfId="3494"/>
    <cellStyle name="Comma 4 5" xfId="3495"/>
    <cellStyle name="Comma 4 5 2" xfId="3784"/>
    <cellStyle name="Comma 4 6" xfId="3496"/>
    <cellStyle name="Comma 4 6 2" xfId="3785"/>
    <cellStyle name="Comma 4 7" xfId="3473"/>
    <cellStyle name="Comma 5" xfId="65"/>
    <cellStyle name="Comma 5 2" xfId="883"/>
    <cellStyle name="Comma 5 2 2" xfId="3499"/>
    <cellStyle name="Comma 5 2 2 2" xfId="3500"/>
    <cellStyle name="Comma 5 2 2 2 2" xfId="3501"/>
    <cellStyle name="Comma 5 2 2 2 3" xfId="3502"/>
    <cellStyle name="Comma 5 2 2 3" xfId="3503"/>
    <cellStyle name="Comma 5 2 2 4" xfId="3504"/>
    <cellStyle name="Comma 5 2 3" xfId="3505"/>
    <cellStyle name="Comma 5 2 3 2" xfId="3506"/>
    <cellStyle name="Comma 5 2 3 3" xfId="3507"/>
    <cellStyle name="Comma 5 2 4" xfId="3508"/>
    <cellStyle name="Comma 5 2 5" xfId="3509"/>
    <cellStyle name="Comma 5 2 6" xfId="3498"/>
    <cellStyle name="Comma 5 3" xfId="3510"/>
    <cellStyle name="Comma 5 3 2" xfId="3511"/>
    <cellStyle name="Comma 5 3 2 2" xfId="3512"/>
    <cellStyle name="Comma 5 3 2 3" xfId="3513"/>
    <cellStyle name="Comma 5 3 3" xfId="3514"/>
    <cellStyle name="Comma 5 3 4" xfId="3515"/>
    <cellStyle name="Comma 5 3 5" xfId="39776"/>
    <cellStyle name="Comma 5 4" xfId="3516"/>
    <cellStyle name="Comma 5 4 2" xfId="3517"/>
    <cellStyle name="Comma 5 4 3" xfId="3518"/>
    <cellStyle name="Comma 5 4 4" xfId="39777"/>
    <cellStyle name="Comma 5 5" xfId="3519"/>
    <cellStyle name="Comma 5 6" xfId="3520"/>
    <cellStyle name="Comma 5 7" xfId="3497"/>
    <cellStyle name="Comma 5 8" xfId="39775"/>
    <cellStyle name="Comma 6" xfId="66"/>
    <cellStyle name="Comma 6 2" xfId="67"/>
    <cellStyle name="Comma 6 2 2" xfId="885"/>
    <cellStyle name="Comma 6 3" xfId="884"/>
    <cellStyle name="Comma 7" xfId="68"/>
    <cellStyle name="Comma 7 2" xfId="886"/>
    <cellStyle name="Comma 7 2 2" xfId="3787"/>
    <cellStyle name="Comma 7 3" xfId="3786"/>
    <cellStyle name="Comma 8" xfId="877"/>
    <cellStyle name="Comma 8 2" xfId="3521"/>
    <cellStyle name="Comma 8 2 2" xfId="3789"/>
    <cellStyle name="Comma 8 3" xfId="3522"/>
    <cellStyle name="Comma 8 4" xfId="3788"/>
    <cellStyle name="Comma 9" xfId="1884"/>
    <cellStyle name="Comma 9 2" xfId="2017"/>
    <cellStyle name="Comma 9 2 2" xfId="3790"/>
    <cellStyle name="Comma 9 3" xfId="3523"/>
    <cellStyle name="Currency 2" xfId="69"/>
    <cellStyle name="Currency 2 2" xfId="70"/>
    <cellStyle name="Currency 2 2 2" xfId="71"/>
    <cellStyle name="Currency 2 2 2 2" xfId="889"/>
    <cellStyle name="Currency 2 2 3" xfId="888"/>
    <cellStyle name="Currency 2 2 4" xfId="3524"/>
    <cellStyle name="Currency 2 3" xfId="72"/>
    <cellStyle name="Currency 2 3 2" xfId="890"/>
    <cellStyle name="Currency 2 4" xfId="887"/>
    <cellStyle name="Currency 2 5" xfId="1905"/>
    <cellStyle name="Currency 3" xfId="73"/>
    <cellStyle name="Currency 3 2" xfId="891"/>
    <cellStyle name="Currency 3 2 2" xfId="3791"/>
    <cellStyle name="Currency 3 3" xfId="3525"/>
    <cellStyle name="Currency 4" xfId="2041"/>
    <cellStyle name="Currency 4 2" xfId="3792"/>
    <cellStyle name="Currency 4 2 2" xfId="39435"/>
    <cellStyle name="Currency 4 2 2 2" xfId="39781"/>
    <cellStyle name="Currency 4 2 2 3" xfId="39780"/>
    <cellStyle name="Currency 4 2 3" xfId="39782"/>
    <cellStyle name="Currency 4 2 4" xfId="39779"/>
    <cellStyle name="Currency 4 3" xfId="39434"/>
    <cellStyle name="Currency 4 3 2" xfId="39784"/>
    <cellStyle name="Currency 4 3 3" xfId="39783"/>
    <cellStyle name="Currency 4 4" xfId="39785"/>
    <cellStyle name="Currency 4 5" xfId="39778"/>
    <cellStyle name="Currency 5" xfId="3793"/>
    <cellStyle name="Currency 5 2" xfId="3794"/>
    <cellStyle name="Currency 6" xfId="3795"/>
    <cellStyle name="Currency 6 2" xfId="3796"/>
    <cellStyle name="Explanatory Text 2" xfId="75"/>
    <cellStyle name="Explanatory Text 2 2" xfId="3797"/>
    <cellStyle name="Explanatory Text 3" xfId="777"/>
    <cellStyle name="Explanatory Text 3 2" xfId="3798"/>
    <cellStyle name="Explanatory Text 4" xfId="892"/>
    <cellStyle name="Explanatory Text 5" xfId="1962"/>
    <cellStyle name="Explanatory Text 6" xfId="74"/>
    <cellStyle name="Followed Hyperlink 2" xfId="3526"/>
    <cellStyle name="Followed Hyperlink 2 2" xfId="3527"/>
    <cellStyle name="Followed Hyperlink 2 2 2" xfId="3528"/>
    <cellStyle name="Followed Hyperlink 2 3" xfId="3529"/>
    <cellStyle name="Followed Hyperlink 3" xfId="3530"/>
    <cellStyle name="Followed Hyperlink 3 2" xfId="3531"/>
    <cellStyle name="Followed Hyperlink 3 2 2" xfId="3532"/>
    <cellStyle name="Followed Hyperlink 3 3" xfId="3533"/>
    <cellStyle name="Good 2" xfId="77"/>
    <cellStyle name="Good 2 2" xfId="3799"/>
    <cellStyle name="Good 3" xfId="768"/>
    <cellStyle name="Good 3 2" xfId="3800"/>
    <cellStyle name="Good 4" xfId="893"/>
    <cellStyle name="Good 5" xfId="1963"/>
    <cellStyle name="Good 6" xfId="76"/>
    <cellStyle name="Grey" xfId="78"/>
    <cellStyle name="Header1" xfId="79"/>
    <cellStyle name="Header2" xfId="80"/>
    <cellStyle name="Heading 1 2" xfId="82"/>
    <cellStyle name="Heading 1 3" xfId="764"/>
    <cellStyle name="Heading 1 3 2" xfId="3801"/>
    <cellStyle name="Heading 1 4" xfId="894"/>
    <cellStyle name="Heading 1 5" xfId="1964"/>
    <cellStyle name="Heading 1 6" xfId="81"/>
    <cellStyle name="Heading 2 2" xfId="84"/>
    <cellStyle name="Heading 2 3" xfId="765"/>
    <cellStyle name="Heading 2 3 2" xfId="3802"/>
    <cellStyle name="Heading 2 4" xfId="895"/>
    <cellStyle name="Heading 2 5" xfId="1965"/>
    <cellStyle name="Heading 2 6" xfId="83"/>
    <cellStyle name="Heading 3 2" xfId="86"/>
    <cellStyle name="Heading 3 3" xfId="766"/>
    <cellStyle name="Heading 3 3 2" xfId="3803"/>
    <cellStyle name="Heading 3 4" xfId="896"/>
    <cellStyle name="Heading 3 5" xfId="1966"/>
    <cellStyle name="Heading 3 6" xfId="85"/>
    <cellStyle name="Heading 4 2" xfId="88"/>
    <cellStyle name="Heading 4 3" xfId="767"/>
    <cellStyle name="Heading 4 3 2" xfId="3804"/>
    <cellStyle name="Heading 4 4" xfId="897"/>
    <cellStyle name="Heading 4 5" xfId="1967"/>
    <cellStyle name="Heading 4 6" xfId="87"/>
    <cellStyle name="Hyperlink 2" xfId="3534"/>
    <cellStyle name="Hyperlink 2 2" xfId="3535"/>
    <cellStyle name="Hyperlink 2 2 2" xfId="3536"/>
    <cellStyle name="Hyperlink 2 3" xfId="3537"/>
    <cellStyle name="Hyperlink 2 4" xfId="3538"/>
    <cellStyle name="Hyperlink 3" xfId="3539"/>
    <cellStyle name="Hyperlink 3 2" xfId="3540"/>
    <cellStyle name="Hyperlink 3 2 2" xfId="3541"/>
    <cellStyle name="Hyperlink 3 3" xfId="3542"/>
    <cellStyle name="Input [yellow]" xfId="90"/>
    <cellStyle name="Input 10" xfId="821"/>
    <cellStyle name="Input 11" xfId="823"/>
    <cellStyle name="Input 12" xfId="827"/>
    <cellStyle name="Input 13" xfId="829"/>
    <cellStyle name="Input 14" xfId="826"/>
    <cellStyle name="Input 15" xfId="833"/>
    <cellStyle name="Input 16" xfId="835"/>
    <cellStyle name="Input 17" xfId="838"/>
    <cellStyle name="Input 18" xfId="840"/>
    <cellStyle name="Input 19" xfId="843"/>
    <cellStyle name="Input 2" xfId="91"/>
    <cellStyle name="Input 2 2" xfId="3806"/>
    <cellStyle name="Input 2 3" xfId="3805"/>
    <cellStyle name="Input 20" xfId="845"/>
    <cellStyle name="Input 21" xfId="898"/>
    <cellStyle name="Input 22" xfId="1395"/>
    <cellStyle name="Input 23" xfId="964"/>
    <cellStyle name="Input 24" xfId="1396"/>
    <cellStyle name="Input 25" xfId="907"/>
    <cellStyle name="Input 26" xfId="1405"/>
    <cellStyle name="Input 27" xfId="1409"/>
    <cellStyle name="Input 28" xfId="1413"/>
    <cellStyle name="Input 29" xfId="1421"/>
    <cellStyle name="Input 3" xfId="92"/>
    <cellStyle name="Input 3 2" xfId="3808"/>
    <cellStyle name="Input 3 3" xfId="3807"/>
    <cellStyle name="Input 30" xfId="1412"/>
    <cellStyle name="Input 31" xfId="1418"/>
    <cellStyle name="Input 32" xfId="1419"/>
    <cellStyle name="Input 33" xfId="1414"/>
    <cellStyle name="Input 34" xfId="1799"/>
    <cellStyle name="Input 35" xfId="1816"/>
    <cellStyle name="Input 36" xfId="1824"/>
    <cellStyle name="Input 37" xfId="1845"/>
    <cellStyle name="Input 38" xfId="1869"/>
    <cellStyle name="Input 39" xfId="1885"/>
    <cellStyle name="Input 4" xfId="93"/>
    <cellStyle name="Input 40" xfId="1893"/>
    <cellStyle name="Input 41" xfId="1900"/>
    <cellStyle name="Input 42" xfId="1914"/>
    <cellStyle name="Input 43" xfId="1928"/>
    <cellStyle name="Input 44" xfId="1968"/>
    <cellStyle name="Input 45" xfId="89"/>
    <cellStyle name="Input 46" xfId="2081"/>
    <cellStyle name="Input 47" xfId="2087"/>
    <cellStyle name="Input 48" xfId="2090"/>
    <cellStyle name="Input 49" xfId="2082"/>
    <cellStyle name="Input 5" xfId="94"/>
    <cellStyle name="Input 50" xfId="2086"/>
    <cellStyle name="Input 51" xfId="2094"/>
    <cellStyle name="Input 52" xfId="2097"/>
    <cellStyle name="Input 6" xfId="95"/>
    <cellStyle name="Input 7" xfId="96"/>
    <cellStyle name="Input 8" xfId="97"/>
    <cellStyle name="Input 9" xfId="771"/>
    <cellStyle name="Linked Cell 2" xfId="99"/>
    <cellStyle name="Linked Cell 2 2" xfId="3809"/>
    <cellStyle name="Linked Cell 3" xfId="774"/>
    <cellStyle name="Linked Cell 3 2" xfId="3810"/>
    <cellStyle name="Linked Cell 4" xfId="899"/>
    <cellStyle name="Linked Cell 5" xfId="1969"/>
    <cellStyle name="Linked Cell 6" xfId="98"/>
    <cellStyle name="Millares [0]_pldt" xfId="100"/>
    <cellStyle name="Millares_pldt" xfId="101"/>
    <cellStyle name="Milliers [0]_EDYAN" xfId="102"/>
    <cellStyle name="Milliers_EDYAN" xfId="103"/>
    <cellStyle name="Moneda [0]_pldt" xfId="104"/>
    <cellStyle name="Moneda_pldt" xfId="105"/>
    <cellStyle name="Monétaire [0]_EDYAN" xfId="106"/>
    <cellStyle name="Monétaire_EDYAN" xfId="107"/>
    <cellStyle name="Neutral 2" xfId="109"/>
    <cellStyle name="Neutral 2 2" xfId="3811"/>
    <cellStyle name="Neutral 3" xfId="770"/>
    <cellStyle name="Neutral 3 2" xfId="3812"/>
    <cellStyle name="Neutral 4" xfId="900"/>
    <cellStyle name="Neutral 5" xfId="1970"/>
    <cellStyle name="Neutral 6" xfId="108"/>
    <cellStyle name="Normal" xfId="0" builtinId="0"/>
    <cellStyle name="Normal - Style1" xfId="110"/>
    <cellStyle name="Normal 10" xfId="111"/>
    <cellStyle name="Normal 10 2" xfId="901"/>
    <cellStyle name="Normal 10 2 2" xfId="3814"/>
    <cellStyle name="Normal 10 2 3" xfId="3815"/>
    <cellStyle name="Normal 10 2 3 2" xfId="3816"/>
    <cellStyle name="Normal 10 2 3 2 2" xfId="3817"/>
    <cellStyle name="Normal 10 2 3 3" xfId="3818"/>
    <cellStyle name="Normal 10 2 3 3 2" xfId="3819"/>
    <cellStyle name="Normal 10 2 3 4" xfId="3820"/>
    <cellStyle name="Normal 10 2 3 4 2" xfId="3821"/>
    <cellStyle name="Normal 10 2 3 5" xfId="3822"/>
    <cellStyle name="Normal 10 2 4" xfId="3823"/>
    <cellStyle name="Normal 10 2 4 2" xfId="3824"/>
    <cellStyle name="Normal 10 2 4 2 2" xfId="3825"/>
    <cellStyle name="Normal 10 2 4 3" xfId="3826"/>
    <cellStyle name="Normal 10 2 4 3 2" xfId="3827"/>
    <cellStyle name="Normal 10 2 4 4" xfId="3828"/>
    <cellStyle name="Normal 10 2 4 4 2" xfId="3829"/>
    <cellStyle name="Normal 10 2 4 5" xfId="3830"/>
    <cellStyle name="Normal 10 2 5" xfId="3831"/>
    <cellStyle name="Normal 10 2 5 2" xfId="3832"/>
    <cellStyle name="Normal 10 2 6" xfId="3833"/>
    <cellStyle name="Normal 10 2 6 2" xfId="3834"/>
    <cellStyle name="Normal 10 2 7" xfId="3835"/>
    <cellStyle name="Normal 10 2 7 2" xfId="3836"/>
    <cellStyle name="Normal 10 2 8" xfId="3837"/>
    <cellStyle name="Normal 10 2 9" xfId="3813"/>
    <cellStyle name="Normal 10 3" xfId="3543"/>
    <cellStyle name="Normal 10 3 2" xfId="3839"/>
    <cellStyle name="Normal 10 3 3" xfId="3840"/>
    <cellStyle name="Normal 10 3 3 2" xfId="3841"/>
    <cellStyle name="Normal 10 3 3 2 2" xfId="3842"/>
    <cellStyle name="Normal 10 3 3 3" xfId="3843"/>
    <cellStyle name="Normal 10 3 3 3 2" xfId="3844"/>
    <cellStyle name="Normal 10 3 3 4" xfId="3845"/>
    <cellStyle name="Normal 10 3 3 4 2" xfId="3846"/>
    <cellStyle name="Normal 10 3 3 5" xfId="3847"/>
    <cellStyle name="Normal 10 3 4" xfId="3848"/>
    <cellStyle name="Normal 10 3 4 2" xfId="3849"/>
    <cellStyle name="Normal 10 3 4 2 2" xfId="3850"/>
    <cellStyle name="Normal 10 3 4 3" xfId="3851"/>
    <cellStyle name="Normal 10 3 4 3 2" xfId="3852"/>
    <cellStyle name="Normal 10 3 4 4" xfId="3853"/>
    <cellStyle name="Normal 10 3 4 4 2" xfId="3854"/>
    <cellStyle name="Normal 10 3 4 5" xfId="3855"/>
    <cellStyle name="Normal 10 3 5" xfId="3856"/>
    <cellStyle name="Normal 10 3 5 2" xfId="3857"/>
    <cellStyle name="Normal 10 3 6" xfId="3858"/>
    <cellStyle name="Normal 10 3 6 2" xfId="3859"/>
    <cellStyle name="Normal 10 3 7" xfId="3860"/>
    <cellStyle name="Normal 10 3 7 2" xfId="3861"/>
    <cellStyle name="Normal 10 3 8" xfId="3862"/>
    <cellStyle name="Normal 10 3 9" xfId="3838"/>
    <cellStyle name="Normal 10 4" xfId="3863"/>
    <cellStyle name="Normal 10_Input" xfId="1424"/>
    <cellStyle name="Normal 100" xfId="2092"/>
    <cellStyle name="Normal 101" xfId="2080"/>
    <cellStyle name="Normal 102" xfId="2091"/>
    <cellStyle name="Normal 103" xfId="2079"/>
    <cellStyle name="Normal 1039" xfId="2042"/>
    <cellStyle name="Normal 104" xfId="2093"/>
    <cellStyle name="Normal 105" xfId="2098"/>
    <cellStyle name="Normal 106" xfId="2099"/>
    <cellStyle name="Normal 107" xfId="2103"/>
    <cellStyle name="Normal 108" xfId="3575"/>
    <cellStyle name="Normal 109" xfId="3697"/>
    <cellStyle name="Normal 11" xfId="112"/>
    <cellStyle name="Normal 11 2" xfId="902"/>
    <cellStyle name="Normal 11 3" xfId="3544"/>
    <cellStyle name="Normal 11_Input" xfId="1425"/>
    <cellStyle name="Normal 110" xfId="3545"/>
    <cellStyle name="Normal 111" xfId="39290"/>
    <cellStyle name="Normal 112" xfId="39472"/>
    <cellStyle name="Normal 113" xfId="39291"/>
    <cellStyle name="Normal 114" xfId="39764"/>
    <cellStyle name="Normal 115" xfId="39772"/>
    <cellStyle name="Normal 116" xfId="39773"/>
    <cellStyle name="Normal 117" xfId="39774"/>
    <cellStyle name="Normal 12" xfId="113"/>
    <cellStyle name="Normal 12 2" xfId="903"/>
    <cellStyle name="Normal 12 3" xfId="3546"/>
    <cellStyle name="Normal 12 3 2" xfId="3864"/>
    <cellStyle name="Normal 12_Input" xfId="1426"/>
    <cellStyle name="Normal 13" xfId="114"/>
    <cellStyle name="Normal 13 2" xfId="904"/>
    <cellStyle name="Normal 13_Input" xfId="1427"/>
    <cellStyle name="Normal 14" xfId="115"/>
    <cellStyle name="Normal 14 2" xfId="905"/>
    <cellStyle name="Normal 14 3" xfId="3865"/>
    <cellStyle name="Normal 14_Input" xfId="1428"/>
    <cellStyle name="Normal 15" xfId="116"/>
    <cellStyle name="Normal 15 2" xfId="906"/>
    <cellStyle name="Normal 15_Input" xfId="1429"/>
    <cellStyle name="Normal 16" xfId="117"/>
    <cellStyle name="Normal 16 2" xfId="118"/>
    <cellStyle name="Normal 16 3" xfId="119"/>
    <cellStyle name="Normal 16 3 2" xfId="908"/>
    <cellStyle name="Normal 16 3 2 2" xfId="1994"/>
    <cellStyle name="Normal 16 3 2_Input" xfId="2019"/>
    <cellStyle name="Normal 16 3 3" xfId="1971"/>
    <cellStyle name="Normal 16 3_Input" xfId="1430"/>
    <cellStyle name="Normal 16 4" xfId="3866"/>
    <cellStyle name="Normal 17" xfId="120"/>
    <cellStyle name="Normal 17 2" xfId="121"/>
    <cellStyle name="Normal 17 3" xfId="122"/>
    <cellStyle name="Normal 17 3 2" xfId="909"/>
    <cellStyle name="Normal 17 3 2 2" xfId="1995"/>
    <cellStyle name="Normal 17 3 2_Input" xfId="2020"/>
    <cellStyle name="Normal 17 3 3" xfId="1972"/>
    <cellStyle name="Normal 17 3_Input" xfId="1431"/>
    <cellStyle name="Normal 17 4" xfId="3867"/>
    <cellStyle name="Normal 18" xfId="123"/>
    <cellStyle name="Normal 18 2" xfId="124"/>
    <cellStyle name="Normal 18 2 2" xfId="911"/>
    <cellStyle name="Normal 18 2_Input" xfId="1433"/>
    <cellStyle name="Normal 18 3" xfId="910"/>
    <cellStyle name="Normal 18 3 2" xfId="39293"/>
    <cellStyle name="Normal 18 3 2 2" xfId="39437"/>
    <cellStyle name="Normal 18 3 3" xfId="39436"/>
    <cellStyle name="Normal 18 3 4" xfId="39292"/>
    <cellStyle name="Normal 18 4" xfId="39294"/>
    <cellStyle name="Normal 18_Input" xfId="1432"/>
    <cellStyle name="Normal 19" xfId="125"/>
    <cellStyle name="Normal 19 2" xfId="126"/>
    <cellStyle name="Normal 19 2 2" xfId="913"/>
    <cellStyle name="Normal 19 2_Input" xfId="1435"/>
    <cellStyle name="Normal 19 3" xfId="127"/>
    <cellStyle name="Normal 19 3 2" xfId="914"/>
    <cellStyle name="Normal 19 3_Input" xfId="1436"/>
    <cellStyle name="Normal 19 4" xfId="912"/>
    <cellStyle name="Normal 19_Input" xfId="1434"/>
    <cellStyle name="Normal 2" xfId="128"/>
    <cellStyle name="Normal 2 10" xfId="3869"/>
    <cellStyle name="Normal 2 11" xfId="3870"/>
    <cellStyle name="Normal 2 12" xfId="3871"/>
    <cellStyle name="Normal 2 13" xfId="3872"/>
    <cellStyle name="Normal 2 14" xfId="3868"/>
    <cellStyle name="Normal 2 15" xfId="39767"/>
    <cellStyle name="Normal 2 2" xfId="129"/>
    <cellStyle name="Normal 2 2 2" xfId="1"/>
    <cellStyle name="Normal 2 2 2 2" xfId="916"/>
    <cellStyle name="Normal 2 2 2 2 2" xfId="3549"/>
    <cellStyle name="Normal 2 2 2 3" xfId="3548"/>
    <cellStyle name="Normal 2 2 2_Input" xfId="1438"/>
    <cellStyle name="Normal 2 2 3" xfId="915"/>
    <cellStyle name="Normal 2 2 3 2" xfId="3550"/>
    <cellStyle name="Normal 2 2 4" xfId="3551"/>
    <cellStyle name="Normal 2 2 5" xfId="3552"/>
    <cellStyle name="Normal 2 2 6" xfId="3553"/>
    <cellStyle name="Normal 2 2_Input" xfId="1437"/>
    <cellStyle name="Normal 2 3" xfId="130"/>
    <cellStyle name="Normal 2 3 10" xfId="39769"/>
    <cellStyle name="Normal 2 3 2" xfId="131"/>
    <cellStyle name="Normal 2 3 2 2" xfId="918"/>
    <cellStyle name="Normal 2 3 2 3" xfId="3555"/>
    <cellStyle name="Normal 2 3 2_Input" xfId="1440"/>
    <cellStyle name="Normal 2 3 3" xfId="132"/>
    <cellStyle name="Normal 2 3 3 2" xfId="919"/>
    <cellStyle name="Normal 2 3 3 3" xfId="3556"/>
    <cellStyle name="Normal 2 3 3_Input" xfId="1441"/>
    <cellStyle name="Normal 2 3 4" xfId="133"/>
    <cellStyle name="Normal 2 3 4 2" xfId="920"/>
    <cellStyle name="Normal 2 3 4_Input" xfId="1442"/>
    <cellStyle name="Normal 2 3 5" xfId="917"/>
    <cellStyle name="Normal 2 3 6" xfId="3554"/>
    <cellStyle name="Normal 2 3 7" xfId="3694"/>
    <cellStyle name="Normal 2 3 8" xfId="39768"/>
    <cellStyle name="Normal 2 3 9" xfId="39766"/>
    <cellStyle name="Normal 2 3_Input" xfId="1439"/>
    <cellStyle name="Normal 2 4" xfId="1904"/>
    <cellStyle name="Normal 2 4 2" xfId="3557"/>
    <cellStyle name="Normal 2 4 3" xfId="3873"/>
    <cellStyle name="Normal 2 4 4" xfId="39473"/>
    <cellStyle name="Normal 2 5" xfId="2101"/>
    <cellStyle name="Normal 2 5 2" xfId="3874"/>
    <cellStyle name="Normal 2 5 3" xfId="39492"/>
    <cellStyle name="Normal 2 6" xfId="3547"/>
    <cellStyle name="Normal 2 6 2" xfId="3875"/>
    <cellStyle name="Normal 2 7" xfId="3693"/>
    <cellStyle name="Normal 2 7 2" xfId="3876"/>
    <cellStyle name="Normal 2 8" xfId="3877"/>
    <cellStyle name="Normal 2 9" xfId="3878"/>
    <cellStyle name="Normal 2_GPS III RWAD Tracking Log SB" xfId="3879"/>
    <cellStyle name="Normal 20" xfId="134"/>
    <cellStyle name="Normal 20 2" xfId="135"/>
    <cellStyle name="Normal 20 2 2" xfId="922"/>
    <cellStyle name="Normal 20 2 2 2" xfId="1996"/>
    <cellStyle name="Normal 20 2 2_Input" xfId="2021"/>
    <cellStyle name="Normal 20 2 3" xfId="1974"/>
    <cellStyle name="Normal 20 2_Input" xfId="1444"/>
    <cellStyle name="Normal 20 3" xfId="921"/>
    <cellStyle name="Normal 20 4" xfId="1973"/>
    <cellStyle name="Normal 20 5" xfId="2013"/>
    <cellStyle name="Normal 20_Input" xfId="1443"/>
    <cellStyle name="Normal 21" xfId="136"/>
    <cellStyle name="Normal 21 2" xfId="137"/>
    <cellStyle name="Normal 21 2 2" xfId="924"/>
    <cellStyle name="Normal 21 2_Input" xfId="1446"/>
    <cellStyle name="Normal 21 3" xfId="138"/>
    <cellStyle name="Normal 21 3 2" xfId="925"/>
    <cellStyle name="Normal 21 3_Input" xfId="1447"/>
    <cellStyle name="Normal 21 4" xfId="139"/>
    <cellStyle name="Normal 21 4 2" xfId="926"/>
    <cellStyle name="Normal 21 4_Input" xfId="1448"/>
    <cellStyle name="Normal 21 5" xfId="923"/>
    <cellStyle name="Normal 21_Input" xfId="1445"/>
    <cellStyle name="Normal 22" xfId="140"/>
    <cellStyle name="Normal 22 2" xfId="141"/>
    <cellStyle name="Normal 22 2 2" xfId="928"/>
    <cellStyle name="Normal 22 2 2 2" xfId="3883"/>
    <cellStyle name="Normal 22 2 2 3" xfId="3882"/>
    <cellStyle name="Normal 22 2 3" xfId="3884"/>
    <cellStyle name="Normal 22 2 3 2" xfId="3885"/>
    <cellStyle name="Normal 22 2 4" xfId="3886"/>
    <cellStyle name="Normal 22 2 4 2" xfId="3887"/>
    <cellStyle name="Normal 22 2 5" xfId="3888"/>
    <cellStyle name="Normal 22 2 6" xfId="3881"/>
    <cellStyle name="Normal 22 2_Input" xfId="1450"/>
    <cellStyle name="Normal 22 3" xfId="142"/>
    <cellStyle name="Normal 22 3 2" xfId="929"/>
    <cellStyle name="Normal 22 3 2 2" xfId="3891"/>
    <cellStyle name="Normal 22 3 2 3" xfId="3890"/>
    <cellStyle name="Normal 22 3 3" xfId="3892"/>
    <cellStyle name="Normal 22 3 3 2" xfId="3893"/>
    <cellStyle name="Normal 22 3 4" xfId="3894"/>
    <cellStyle name="Normal 22 3 4 2" xfId="3895"/>
    <cellStyle name="Normal 22 3 5" xfId="3896"/>
    <cellStyle name="Normal 22 3 6" xfId="3889"/>
    <cellStyle name="Normal 22 3_Input" xfId="1451"/>
    <cellStyle name="Normal 22 4" xfId="143"/>
    <cellStyle name="Normal 22 4 2" xfId="930"/>
    <cellStyle name="Normal 22 4 2 2" xfId="3898"/>
    <cellStyle name="Normal 22 4 3" xfId="3897"/>
    <cellStyle name="Normal 22 4_Input" xfId="1452"/>
    <cellStyle name="Normal 22 5" xfId="927"/>
    <cellStyle name="Normal 22 5 2" xfId="3900"/>
    <cellStyle name="Normal 22 5 3" xfId="3899"/>
    <cellStyle name="Normal 22 6" xfId="3901"/>
    <cellStyle name="Normal 22 6 2" xfId="3902"/>
    <cellStyle name="Normal 22 7" xfId="3903"/>
    <cellStyle name="Normal 22 8" xfId="3880"/>
    <cellStyle name="Normal 22_Input" xfId="1449"/>
    <cellStyle name="Normal 23" xfId="144"/>
    <cellStyle name="Normal 23 2" xfId="145"/>
    <cellStyle name="Normal 23 2 2" xfId="932"/>
    <cellStyle name="Normal 23 2 2 2" xfId="3907"/>
    <cellStyle name="Normal 23 2 2 3" xfId="3906"/>
    <cellStyle name="Normal 23 2 3" xfId="3908"/>
    <cellStyle name="Normal 23 2 3 2" xfId="3909"/>
    <cellStyle name="Normal 23 2 4" xfId="3910"/>
    <cellStyle name="Normal 23 2 4 2" xfId="3911"/>
    <cellStyle name="Normal 23 2 5" xfId="3912"/>
    <cellStyle name="Normal 23 2 6" xfId="3905"/>
    <cellStyle name="Normal 23 2_Input" xfId="1454"/>
    <cellStyle name="Normal 23 3" xfId="146"/>
    <cellStyle name="Normal 23 3 2" xfId="933"/>
    <cellStyle name="Normal 23 3 2 2" xfId="3915"/>
    <cellStyle name="Normal 23 3 2 3" xfId="3914"/>
    <cellStyle name="Normal 23 3 3" xfId="3916"/>
    <cellStyle name="Normal 23 3 3 2" xfId="3917"/>
    <cellStyle name="Normal 23 3 4" xfId="3918"/>
    <cellStyle name="Normal 23 3 4 2" xfId="3919"/>
    <cellStyle name="Normal 23 3 5" xfId="3920"/>
    <cellStyle name="Normal 23 3 6" xfId="3913"/>
    <cellStyle name="Normal 23 3_Input" xfId="1455"/>
    <cellStyle name="Normal 23 4" xfId="147"/>
    <cellStyle name="Normal 23 4 2" xfId="934"/>
    <cellStyle name="Normal 23 4 2 2" xfId="3922"/>
    <cellStyle name="Normal 23 4 3" xfId="3921"/>
    <cellStyle name="Normal 23 4_Input" xfId="1456"/>
    <cellStyle name="Normal 23 5" xfId="931"/>
    <cellStyle name="Normal 23 5 2" xfId="3924"/>
    <cellStyle name="Normal 23 5 3" xfId="3923"/>
    <cellStyle name="Normal 23 6" xfId="3925"/>
    <cellStyle name="Normal 23 6 2" xfId="3926"/>
    <cellStyle name="Normal 23 7" xfId="3927"/>
    <cellStyle name="Normal 23 8" xfId="3904"/>
    <cellStyle name="Normal 23_Input" xfId="1453"/>
    <cellStyle name="Normal 24" xfId="148"/>
    <cellStyle name="Normal 24 2" xfId="149"/>
    <cellStyle name="Normal 24 2 2" xfId="936"/>
    <cellStyle name="Normal 24 2 2 2" xfId="3931"/>
    <cellStyle name="Normal 24 2 2 3" xfId="3930"/>
    <cellStyle name="Normal 24 2 3" xfId="3932"/>
    <cellStyle name="Normal 24 2 3 2" xfId="3933"/>
    <cellStyle name="Normal 24 2 4" xfId="3934"/>
    <cellStyle name="Normal 24 2 4 2" xfId="3935"/>
    <cellStyle name="Normal 24 2 5" xfId="3936"/>
    <cellStyle name="Normal 24 2 6" xfId="3929"/>
    <cellStyle name="Normal 24 2_Input" xfId="1458"/>
    <cellStyle name="Normal 24 3" xfId="150"/>
    <cellStyle name="Normal 24 3 2" xfId="937"/>
    <cellStyle name="Normal 24 3 2 2" xfId="3939"/>
    <cellStyle name="Normal 24 3 2 3" xfId="3938"/>
    <cellStyle name="Normal 24 3 3" xfId="3940"/>
    <cellStyle name="Normal 24 3 3 2" xfId="3941"/>
    <cellStyle name="Normal 24 3 4" xfId="3942"/>
    <cellStyle name="Normal 24 3 4 2" xfId="3943"/>
    <cellStyle name="Normal 24 3 5" xfId="3944"/>
    <cellStyle name="Normal 24 3 6" xfId="3937"/>
    <cellStyle name="Normal 24 3_Input" xfId="1459"/>
    <cellStyle name="Normal 24 4" xfId="151"/>
    <cellStyle name="Normal 24 4 2" xfId="938"/>
    <cellStyle name="Normal 24 4 2 2" xfId="3946"/>
    <cellStyle name="Normal 24 4 3" xfId="3945"/>
    <cellStyle name="Normal 24 4_Input" xfId="1460"/>
    <cellStyle name="Normal 24 5" xfId="935"/>
    <cellStyle name="Normal 24 5 2" xfId="3948"/>
    <cellStyle name="Normal 24 5 3" xfId="3947"/>
    <cellStyle name="Normal 24 6" xfId="3949"/>
    <cellStyle name="Normal 24 6 2" xfId="3950"/>
    <cellStyle name="Normal 24 7" xfId="3951"/>
    <cellStyle name="Normal 24 8" xfId="3928"/>
    <cellStyle name="Normal 24_Input" xfId="1457"/>
    <cellStyle name="Normal 25" xfId="152"/>
    <cellStyle name="Normal 25 2" xfId="153"/>
    <cellStyle name="Normal 25 2 2" xfId="940"/>
    <cellStyle name="Normal 25 2_Input" xfId="1462"/>
    <cellStyle name="Normal 25 3" xfId="154"/>
    <cellStyle name="Normal 25 3 2" xfId="941"/>
    <cellStyle name="Normal 25 3_Input" xfId="1463"/>
    <cellStyle name="Normal 25 4" xfId="155"/>
    <cellStyle name="Normal 25 4 2" xfId="942"/>
    <cellStyle name="Normal 25 4_Input" xfId="1464"/>
    <cellStyle name="Normal 25 5" xfId="939"/>
    <cellStyle name="Normal 25_Input" xfId="1461"/>
    <cellStyle name="Normal 26" xfId="156"/>
    <cellStyle name="Normal 26 2" xfId="157"/>
    <cellStyle name="Normal 26 2 2" xfId="944"/>
    <cellStyle name="Normal 26 2 2 2" xfId="3954"/>
    <cellStyle name="Normal 26 2 3" xfId="3953"/>
    <cellStyle name="Normal 26 2_Input" xfId="1466"/>
    <cellStyle name="Normal 26 3" xfId="158"/>
    <cellStyle name="Normal 26 3 2" xfId="945"/>
    <cellStyle name="Normal 26 3 2 2" xfId="3956"/>
    <cellStyle name="Normal 26 3 3" xfId="3955"/>
    <cellStyle name="Normal 26 3_Input" xfId="1467"/>
    <cellStyle name="Normal 26 4" xfId="159"/>
    <cellStyle name="Normal 26 4 2" xfId="946"/>
    <cellStyle name="Normal 26 4 2 2" xfId="3958"/>
    <cellStyle name="Normal 26 4 3" xfId="3957"/>
    <cellStyle name="Normal 26 4_Input" xfId="1468"/>
    <cellStyle name="Normal 26 5" xfId="943"/>
    <cellStyle name="Normal 26 5 2" xfId="3959"/>
    <cellStyle name="Normal 26 6" xfId="3952"/>
    <cellStyle name="Normal 26_Input" xfId="1465"/>
    <cellStyle name="Normal 27" xfId="160"/>
    <cellStyle name="Normal 27 2" xfId="161"/>
    <cellStyle name="Normal 27 2 2" xfId="948"/>
    <cellStyle name="Normal 27 2 2 2" xfId="3962"/>
    <cellStyle name="Normal 27 2 3" xfId="3961"/>
    <cellStyle name="Normal 27 2_Input" xfId="1470"/>
    <cellStyle name="Normal 27 3" xfId="162"/>
    <cellStyle name="Normal 27 3 2" xfId="949"/>
    <cellStyle name="Normal 27 3 2 2" xfId="3964"/>
    <cellStyle name="Normal 27 3 3" xfId="3963"/>
    <cellStyle name="Normal 27 3_Input" xfId="1471"/>
    <cellStyle name="Normal 27 4" xfId="163"/>
    <cellStyle name="Normal 27 4 2" xfId="950"/>
    <cellStyle name="Normal 27 4 2 2" xfId="3966"/>
    <cellStyle name="Normal 27 4 3" xfId="3965"/>
    <cellStyle name="Normal 27 4_Input" xfId="1472"/>
    <cellStyle name="Normal 27 5" xfId="947"/>
    <cellStyle name="Normal 27 5 2" xfId="3967"/>
    <cellStyle name="Normal 27 6" xfId="3960"/>
    <cellStyle name="Normal 27_Input" xfId="1469"/>
    <cellStyle name="Normal 28" xfId="164"/>
    <cellStyle name="Normal 28 2" xfId="165"/>
    <cellStyle name="Normal 28 2 2" xfId="952"/>
    <cellStyle name="Normal 28 2 3" xfId="3969"/>
    <cellStyle name="Normal 28 2_Input" xfId="1474"/>
    <cellStyle name="Normal 28 3" xfId="166"/>
    <cellStyle name="Normal 28 3 2" xfId="953"/>
    <cellStyle name="Normal 28 3_Input" xfId="1475"/>
    <cellStyle name="Normal 28 4" xfId="167"/>
    <cellStyle name="Normal 28 4 2" xfId="954"/>
    <cellStyle name="Normal 28 4_Input" xfId="1476"/>
    <cellStyle name="Normal 28 5" xfId="951"/>
    <cellStyle name="Normal 28 6" xfId="3968"/>
    <cellStyle name="Normal 28_Input" xfId="1473"/>
    <cellStyle name="Normal 29" xfId="168"/>
    <cellStyle name="Normal 29 2" xfId="169"/>
    <cellStyle name="Normal 29 2 2" xfId="956"/>
    <cellStyle name="Normal 29 2 3" xfId="3971"/>
    <cellStyle name="Normal 29 2_Input" xfId="1478"/>
    <cellStyle name="Normal 29 3" xfId="170"/>
    <cellStyle name="Normal 29 3 2" xfId="957"/>
    <cellStyle name="Normal 29 3_Input" xfId="1479"/>
    <cellStyle name="Normal 29 4" xfId="171"/>
    <cellStyle name="Normal 29 4 2" xfId="958"/>
    <cellStyle name="Normal 29 4_Input" xfId="1480"/>
    <cellStyle name="Normal 29 5" xfId="955"/>
    <cellStyle name="Normal 29 6" xfId="3970"/>
    <cellStyle name="Normal 29_Input" xfId="1477"/>
    <cellStyle name="Normal 3" xfId="172"/>
    <cellStyle name="Normal 3 10" xfId="959"/>
    <cellStyle name="Normal 3 10 10" xfId="3973"/>
    <cellStyle name="Normal 3 10 10 2" xfId="3974"/>
    <cellStyle name="Normal 3 10 10 2 2" xfId="3975"/>
    <cellStyle name="Normal 3 10 10 3" xfId="3976"/>
    <cellStyle name="Normal 3 10 10 3 2" xfId="3977"/>
    <cellStyle name="Normal 3 10 10 4" xfId="3978"/>
    <cellStyle name="Normal 3 10 10 4 2" xfId="3979"/>
    <cellStyle name="Normal 3 10 10 5" xfId="3980"/>
    <cellStyle name="Normal 3 10 11" xfId="3981"/>
    <cellStyle name="Normal 3 10 11 2" xfId="3982"/>
    <cellStyle name="Normal 3 10 12" xfId="3983"/>
    <cellStyle name="Normal 3 10 12 2" xfId="3984"/>
    <cellStyle name="Normal 3 10 13" xfId="3985"/>
    <cellStyle name="Normal 3 10 13 2" xfId="3986"/>
    <cellStyle name="Normal 3 10 14" xfId="3987"/>
    <cellStyle name="Normal 3 10 2" xfId="1997"/>
    <cellStyle name="Normal 3 10 2 10" xfId="3988"/>
    <cellStyle name="Normal 3 10 2 10 2" xfId="3989"/>
    <cellStyle name="Normal 3 10 2 11" xfId="3990"/>
    <cellStyle name="Normal 3 10 2 11 2" xfId="3991"/>
    <cellStyle name="Normal 3 10 2 12" xfId="3992"/>
    <cellStyle name="Normal 3 10 2 12 2" xfId="3993"/>
    <cellStyle name="Normal 3 10 2 13" xfId="3994"/>
    <cellStyle name="Normal 3 10 2 2" xfId="3995"/>
    <cellStyle name="Normal 3 10 2 2 2" xfId="3996"/>
    <cellStyle name="Normal 3 10 2 2 2 2" xfId="3997"/>
    <cellStyle name="Normal 3 10 2 2 2 2 2" xfId="3998"/>
    <cellStyle name="Normal 3 10 2 2 2 2 2 2" xfId="3999"/>
    <cellStyle name="Normal 3 10 2 2 2 2 3" xfId="4000"/>
    <cellStyle name="Normal 3 10 2 2 2 2 3 2" xfId="4001"/>
    <cellStyle name="Normal 3 10 2 2 2 2 4" xfId="4002"/>
    <cellStyle name="Normal 3 10 2 2 2 2 4 2" xfId="4003"/>
    <cellStyle name="Normal 3 10 2 2 2 2 5" xfId="4004"/>
    <cellStyle name="Normal 3 10 2 2 2 3" xfId="4005"/>
    <cellStyle name="Normal 3 10 2 2 2 3 2" xfId="4006"/>
    <cellStyle name="Normal 3 10 2 2 2 3 2 2" xfId="4007"/>
    <cellStyle name="Normal 3 10 2 2 2 3 3" xfId="4008"/>
    <cellStyle name="Normal 3 10 2 2 2 3 3 2" xfId="4009"/>
    <cellStyle name="Normal 3 10 2 2 2 3 4" xfId="4010"/>
    <cellStyle name="Normal 3 10 2 2 2 3 4 2" xfId="4011"/>
    <cellStyle name="Normal 3 10 2 2 2 3 5" xfId="4012"/>
    <cellStyle name="Normal 3 10 2 2 2 4" xfId="4013"/>
    <cellStyle name="Normal 3 10 2 2 2 4 2" xfId="4014"/>
    <cellStyle name="Normal 3 10 2 2 2 5" xfId="4015"/>
    <cellStyle name="Normal 3 10 2 2 2 5 2" xfId="4016"/>
    <cellStyle name="Normal 3 10 2 2 2 6" xfId="4017"/>
    <cellStyle name="Normal 3 10 2 2 2 6 2" xfId="4018"/>
    <cellStyle name="Normal 3 10 2 2 2 7" xfId="4019"/>
    <cellStyle name="Normal 3 10 2 2 3" xfId="4020"/>
    <cellStyle name="Normal 3 10 2 2 3 2" xfId="4021"/>
    <cellStyle name="Normal 3 10 2 2 3 2 2" xfId="4022"/>
    <cellStyle name="Normal 3 10 2 2 3 3" xfId="4023"/>
    <cellStyle name="Normal 3 10 2 2 3 3 2" xfId="4024"/>
    <cellStyle name="Normal 3 10 2 2 3 4" xfId="4025"/>
    <cellStyle name="Normal 3 10 2 2 3 4 2" xfId="4026"/>
    <cellStyle name="Normal 3 10 2 2 3 5" xfId="4027"/>
    <cellStyle name="Normal 3 10 2 2 4" xfId="4028"/>
    <cellStyle name="Normal 3 10 2 2 4 2" xfId="4029"/>
    <cellStyle name="Normal 3 10 2 2 4 2 2" xfId="4030"/>
    <cellStyle name="Normal 3 10 2 2 4 3" xfId="4031"/>
    <cellStyle name="Normal 3 10 2 2 4 3 2" xfId="4032"/>
    <cellStyle name="Normal 3 10 2 2 4 4" xfId="4033"/>
    <cellStyle name="Normal 3 10 2 2 4 4 2" xfId="4034"/>
    <cellStyle name="Normal 3 10 2 2 4 5" xfId="4035"/>
    <cellStyle name="Normal 3 10 2 2 5" xfId="4036"/>
    <cellStyle name="Normal 3 10 2 2 5 2" xfId="4037"/>
    <cellStyle name="Normal 3 10 2 2 6" xfId="4038"/>
    <cellStyle name="Normal 3 10 2 2 6 2" xfId="4039"/>
    <cellStyle name="Normal 3 10 2 2 7" xfId="4040"/>
    <cellStyle name="Normal 3 10 2 2 7 2" xfId="4041"/>
    <cellStyle name="Normal 3 10 2 2 8" xfId="4042"/>
    <cellStyle name="Normal 3 10 2 3" xfId="4043"/>
    <cellStyle name="Normal 3 10 2 3 2" xfId="4044"/>
    <cellStyle name="Normal 3 10 2 3 2 2" xfId="4045"/>
    <cellStyle name="Normal 3 10 2 3 2 2 2" xfId="4046"/>
    <cellStyle name="Normal 3 10 2 3 2 2 2 2" xfId="4047"/>
    <cellStyle name="Normal 3 10 2 3 2 2 3" xfId="4048"/>
    <cellStyle name="Normal 3 10 2 3 2 2 3 2" xfId="4049"/>
    <cellStyle name="Normal 3 10 2 3 2 2 4" xfId="4050"/>
    <cellStyle name="Normal 3 10 2 3 2 2 4 2" xfId="4051"/>
    <cellStyle name="Normal 3 10 2 3 2 2 5" xfId="4052"/>
    <cellStyle name="Normal 3 10 2 3 2 3" xfId="4053"/>
    <cellStyle name="Normal 3 10 2 3 2 3 2" xfId="4054"/>
    <cellStyle name="Normal 3 10 2 3 2 3 2 2" xfId="4055"/>
    <cellStyle name="Normal 3 10 2 3 2 3 3" xfId="4056"/>
    <cellStyle name="Normal 3 10 2 3 2 3 3 2" xfId="4057"/>
    <cellStyle name="Normal 3 10 2 3 2 3 4" xfId="4058"/>
    <cellStyle name="Normal 3 10 2 3 2 3 4 2" xfId="4059"/>
    <cellStyle name="Normal 3 10 2 3 2 3 5" xfId="4060"/>
    <cellStyle name="Normal 3 10 2 3 2 4" xfId="4061"/>
    <cellStyle name="Normal 3 10 2 3 2 4 2" xfId="4062"/>
    <cellStyle name="Normal 3 10 2 3 2 5" xfId="4063"/>
    <cellStyle name="Normal 3 10 2 3 2 5 2" xfId="4064"/>
    <cellStyle name="Normal 3 10 2 3 2 6" xfId="4065"/>
    <cellStyle name="Normal 3 10 2 3 2 6 2" xfId="4066"/>
    <cellStyle name="Normal 3 10 2 3 2 7" xfId="4067"/>
    <cellStyle name="Normal 3 10 2 3 3" xfId="4068"/>
    <cellStyle name="Normal 3 10 2 3 3 2" xfId="4069"/>
    <cellStyle name="Normal 3 10 2 3 3 2 2" xfId="4070"/>
    <cellStyle name="Normal 3 10 2 3 3 3" xfId="4071"/>
    <cellStyle name="Normal 3 10 2 3 3 3 2" xfId="4072"/>
    <cellStyle name="Normal 3 10 2 3 3 4" xfId="4073"/>
    <cellStyle name="Normal 3 10 2 3 3 4 2" xfId="4074"/>
    <cellStyle name="Normal 3 10 2 3 3 5" xfId="4075"/>
    <cellStyle name="Normal 3 10 2 3 4" xfId="4076"/>
    <cellStyle name="Normal 3 10 2 3 4 2" xfId="4077"/>
    <cellStyle name="Normal 3 10 2 3 4 2 2" xfId="4078"/>
    <cellStyle name="Normal 3 10 2 3 4 3" xfId="4079"/>
    <cellStyle name="Normal 3 10 2 3 4 3 2" xfId="4080"/>
    <cellStyle name="Normal 3 10 2 3 4 4" xfId="4081"/>
    <cellStyle name="Normal 3 10 2 3 4 4 2" xfId="4082"/>
    <cellStyle name="Normal 3 10 2 3 4 5" xfId="4083"/>
    <cellStyle name="Normal 3 10 2 3 5" xfId="4084"/>
    <cellStyle name="Normal 3 10 2 3 5 2" xfId="4085"/>
    <cellStyle name="Normal 3 10 2 3 6" xfId="4086"/>
    <cellStyle name="Normal 3 10 2 3 6 2" xfId="4087"/>
    <cellStyle name="Normal 3 10 2 3 7" xfId="4088"/>
    <cellStyle name="Normal 3 10 2 3 7 2" xfId="4089"/>
    <cellStyle name="Normal 3 10 2 3 8" xfId="4090"/>
    <cellStyle name="Normal 3 10 2 4" xfId="4091"/>
    <cellStyle name="Normal 3 10 2 4 2" xfId="4092"/>
    <cellStyle name="Normal 3 10 2 4 2 2" xfId="4093"/>
    <cellStyle name="Normal 3 10 2 4 2 2 2" xfId="4094"/>
    <cellStyle name="Normal 3 10 2 4 2 2 2 2" xfId="4095"/>
    <cellStyle name="Normal 3 10 2 4 2 2 3" xfId="4096"/>
    <cellStyle name="Normal 3 10 2 4 2 2 3 2" xfId="4097"/>
    <cellStyle name="Normal 3 10 2 4 2 2 4" xfId="4098"/>
    <cellStyle name="Normal 3 10 2 4 2 2 4 2" xfId="4099"/>
    <cellStyle name="Normal 3 10 2 4 2 2 5" xfId="4100"/>
    <cellStyle name="Normal 3 10 2 4 2 3" xfId="4101"/>
    <cellStyle name="Normal 3 10 2 4 2 3 2" xfId="4102"/>
    <cellStyle name="Normal 3 10 2 4 2 3 2 2" xfId="4103"/>
    <cellStyle name="Normal 3 10 2 4 2 3 3" xfId="4104"/>
    <cellStyle name="Normal 3 10 2 4 2 3 3 2" xfId="4105"/>
    <cellStyle name="Normal 3 10 2 4 2 3 4" xfId="4106"/>
    <cellStyle name="Normal 3 10 2 4 2 3 4 2" xfId="4107"/>
    <cellStyle name="Normal 3 10 2 4 2 3 5" xfId="4108"/>
    <cellStyle name="Normal 3 10 2 4 2 4" xfId="4109"/>
    <cellStyle name="Normal 3 10 2 4 2 4 2" xfId="4110"/>
    <cellStyle name="Normal 3 10 2 4 2 5" xfId="4111"/>
    <cellStyle name="Normal 3 10 2 4 2 5 2" xfId="4112"/>
    <cellStyle name="Normal 3 10 2 4 2 6" xfId="4113"/>
    <cellStyle name="Normal 3 10 2 4 2 6 2" xfId="4114"/>
    <cellStyle name="Normal 3 10 2 4 2 7" xfId="4115"/>
    <cellStyle name="Normal 3 10 2 4 3" xfId="4116"/>
    <cellStyle name="Normal 3 10 2 4 3 2" xfId="4117"/>
    <cellStyle name="Normal 3 10 2 4 3 2 2" xfId="4118"/>
    <cellStyle name="Normal 3 10 2 4 3 3" xfId="4119"/>
    <cellStyle name="Normal 3 10 2 4 3 3 2" xfId="4120"/>
    <cellStyle name="Normal 3 10 2 4 3 4" xfId="4121"/>
    <cellStyle name="Normal 3 10 2 4 3 4 2" xfId="4122"/>
    <cellStyle name="Normal 3 10 2 4 3 5" xfId="4123"/>
    <cellStyle name="Normal 3 10 2 4 4" xfId="4124"/>
    <cellStyle name="Normal 3 10 2 4 4 2" xfId="4125"/>
    <cellStyle name="Normal 3 10 2 4 4 2 2" xfId="4126"/>
    <cellStyle name="Normal 3 10 2 4 4 3" xfId="4127"/>
    <cellStyle name="Normal 3 10 2 4 4 3 2" xfId="4128"/>
    <cellStyle name="Normal 3 10 2 4 4 4" xfId="4129"/>
    <cellStyle name="Normal 3 10 2 4 4 4 2" xfId="4130"/>
    <cellStyle name="Normal 3 10 2 4 4 5" xfId="4131"/>
    <cellStyle name="Normal 3 10 2 4 5" xfId="4132"/>
    <cellStyle name="Normal 3 10 2 4 5 2" xfId="4133"/>
    <cellStyle name="Normal 3 10 2 4 6" xfId="4134"/>
    <cellStyle name="Normal 3 10 2 4 6 2" xfId="4135"/>
    <cellStyle name="Normal 3 10 2 4 7" xfId="4136"/>
    <cellStyle name="Normal 3 10 2 4 7 2" xfId="4137"/>
    <cellStyle name="Normal 3 10 2 4 8" xfId="4138"/>
    <cellStyle name="Normal 3 10 2 5" xfId="4139"/>
    <cellStyle name="Normal 3 10 2 5 2" xfId="4140"/>
    <cellStyle name="Normal 3 10 2 5 2 2" xfId="4141"/>
    <cellStyle name="Normal 3 10 2 5 2 2 2" xfId="4142"/>
    <cellStyle name="Normal 3 10 2 5 2 2 2 2" xfId="4143"/>
    <cellStyle name="Normal 3 10 2 5 2 2 3" xfId="4144"/>
    <cellStyle name="Normal 3 10 2 5 2 2 3 2" xfId="4145"/>
    <cellStyle name="Normal 3 10 2 5 2 2 4" xfId="4146"/>
    <cellStyle name="Normal 3 10 2 5 2 2 4 2" xfId="4147"/>
    <cellStyle name="Normal 3 10 2 5 2 2 5" xfId="4148"/>
    <cellStyle name="Normal 3 10 2 5 2 3" xfId="4149"/>
    <cellStyle name="Normal 3 10 2 5 2 3 2" xfId="4150"/>
    <cellStyle name="Normal 3 10 2 5 2 3 2 2" xfId="4151"/>
    <cellStyle name="Normal 3 10 2 5 2 3 3" xfId="4152"/>
    <cellStyle name="Normal 3 10 2 5 2 3 3 2" xfId="4153"/>
    <cellStyle name="Normal 3 10 2 5 2 3 4" xfId="4154"/>
    <cellStyle name="Normal 3 10 2 5 2 3 4 2" xfId="4155"/>
    <cellStyle name="Normal 3 10 2 5 2 3 5" xfId="4156"/>
    <cellStyle name="Normal 3 10 2 5 2 4" xfId="4157"/>
    <cellStyle name="Normal 3 10 2 5 2 4 2" xfId="4158"/>
    <cellStyle name="Normal 3 10 2 5 2 5" xfId="4159"/>
    <cellStyle name="Normal 3 10 2 5 2 5 2" xfId="4160"/>
    <cellStyle name="Normal 3 10 2 5 2 6" xfId="4161"/>
    <cellStyle name="Normal 3 10 2 5 2 6 2" xfId="4162"/>
    <cellStyle name="Normal 3 10 2 5 2 7" xfId="4163"/>
    <cellStyle name="Normal 3 10 2 5 3" xfId="4164"/>
    <cellStyle name="Normal 3 10 2 5 3 2" xfId="4165"/>
    <cellStyle name="Normal 3 10 2 5 3 2 2" xfId="4166"/>
    <cellStyle name="Normal 3 10 2 5 3 3" xfId="4167"/>
    <cellStyle name="Normal 3 10 2 5 3 3 2" xfId="4168"/>
    <cellStyle name="Normal 3 10 2 5 3 4" xfId="4169"/>
    <cellStyle name="Normal 3 10 2 5 3 4 2" xfId="4170"/>
    <cellStyle name="Normal 3 10 2 5 3 5" xfId="4171"/>
    <cellStyle name="Normal 3 10 2 5 4" xfId="4172"/>
    <cellStyle name="Normal 3 10 2 5 4 2" xfId="4173"/>
    <cellStyle name="Normal 3 10 2 5 4 2 2" xfId="4174"/>
    <cellStyle name="Normal 3 10 2 5 4 3" xfId="4175"/>
    <cellStyle name="Normal 3 10 2 5 4 3 2" xfId="4176"/>
    <cellStyle name="Normal 3 10 2 5 4 4" xfId="4177"/>
    <cellStyle name="Normal 3 10 2 5 4 4 2" xfId="4178"/>
    <cellStyle name="Normal 3 10 2 5 4 5" xfId="4179"/>
    <cellStyle name="Normal 3 10 2 5 5" xfId="4180"/>
    <cellStyle name="Normal 3 10 2 5 5 2" xfId="4181"/>
    <cellStyle name="Normal 3 10 2 5 6" xfId="4182"/>
    <cellStyle name="Normal 3 10 2 5 6 2" xfId="4183"/>
    <cellStyle name="Normal 3 10 2 5 7" xfId="4184"/>
    <cellStyle name="Normal 3 10 2 5 7 2" xfId="4185"/>
    <cellStyle name="Normal 3 10 2 5 8" xfId="4186"/>
    <cellStyle name="Normal 3 10 2 6" xfId="4187"/>
    <cellStyle name="Normal 3 10 2 6 2" xfId="4188"/>
    <cellStyle name="Normal 3 10 2 6 2 2" xfId="4189"/>
    <cellStyle name="Normal 3 10 2 6 2 2 2" xfId="4190"/>
    <cellStyle name="Normal 3 10 2 6 2 2 2 2" xfId="4191"/>
    <cellStyle name="Normal 3 10 2 6 2 2 3" xfId="4192"/>
    <cellStyle name="Normal 3 10 2 6 2 2 3 2" xfId="4193"/>
    <cellStyle name="Normal 3 10 2 6 2 2 4" xfId="4194"/>
    <cellStyle name="Normal 3 10 2 6 2 2 4 2" xfId="4195"/>
    <cellStyle name="Normal 3 10 2 6 2 2 5" xfId="4196"/>
    <cellStyle name="Normal 3 10 2 6 2 3" xfId="4197"/>
    <cellStyle name="Normal 3 10 2 6 2 3 2" xfId="4198"/>
    <cellStyle name="Normal 3 10 2 6 2 3 2 2" xfId="4199"/>
    <cellStyle name="Normal 3 10 2 6 2 3 3" xfId="4200"/>
    <cellStyle name="Normal 3 10 2 6 2 3 3 2" xfId="4201"/>
    <cellStyle name="Normal 3 10 2 6 2 3 4" xfId="4202"/>
    <cellStyle name="Normal 3 10 2 6 2 3 4 2" xfId="4203"/>
    <cellStyle name="Normal 3 10 2 6 2 3 5" xfId="4204"/>
    <cellStyle name="Normal 3 10 2 6 2 4" xfId="4205"/>
    <cellStyle name="Normal 3 10 2 6 2 4 2" xfId="4206"/>
    <cellStyle name="Normal 3 10 2 6 2 5" xfId="4207"/>
    <cellStyle name="Normal 3 10 2 6 2 5 2" xfId="4208"/>
    <cellStyle name="Normal 3 10 2 6 2 6" xfId="4209"/>
    <cellStyle name="Normal 3 10 2 6 2 6 2" xfId="4210"/>
    <cellStyle name="Normal 3 10 2 6 2 7" xfId="4211"/>
    <cellStyle name="Normal 3 10 2 6 3" xfId="4212"/>
    <cellStyle name="Normal 3 10 2 6 3 2" xfId="4213"/>
    <cellStyle name="Normal 3 10 2 6 3 2 2" xfId="4214"/>
    <cellStyle name="Normal 3 10 2 6 3 3" xfId="4215"/>
    <cellStyle name="Normal 3 10 2 6 3 3 2" xfId="4216"/>
    <cellStyle name="Normal 3 10 2 6 3 4" xfId="4217"/>
    <cellStyle name="Normal 3 10 2 6 3 4 2" xfId="4218"/>
    <cellStyle name="Normal 3 10 2 6 3 5" xfId="4219"/>
    <cellStyle name="Normal 3 10 2 6 4" xfId="4220"/>
    <cellStyle name="Normal 3 10 2 6 4 2" xfId="4221"/>
    <cellStyle name="Normal 3 10 2 6 4 2 2" xfId="4222"/>
    <cellStyle name="Normal 3 10 2 6 4 3" xfId="4223"/>
    <cellStyle name="Normal 3 10 2 6 4 3 2" xfId="4224"/>
    <cellStyle name="Normal 3 10 2 6 4 4" xfId="4225"/>
    <cellStyle name="Normal 3 10 2 6 4 4 2" xfId="4226"/>
    <cellStyle name="Normal 3 10 2 6 4 5" xfId="4227"/>
    <cellStyle name="Normal 3 10 2 6 5" xfId="4228"/>
    <cellStyle name="Normal 3 10 2 6 5 2" xfId="4229"/>
    <cellStyle name="Normal 3 10 2 6 6" xfId="4230"/>
    <cellStyle name="Normal 3 10 2 6 6 2" xfId="4231"/>
    <cellStyle name="Normal 3 10 2 6 7" xfId="4232"/>
    <cellStyle name="Normal 3 10 2 6 7 2" xfId="4233"/>
    <cellStyle name="Normal 3 10 2 6 8" xfId="4234"/>
    <cellStyle name="Normal 3 10 2 7" xfId="4235"/>
    <cellStyle name="Normal 3 10 2 7 2" xfId="4236"/>
    <cellStyle name="Normal 3 10 2 7 2 2" xfId="4237"/>
    <cellStyle name="Normal 3 10 2 7 2 2 2" xfId="4238"/>
    <cellStyle name="Normal 3 10 2 7 2 3" xfId="4239"/>
    <cellStyle name="Normal 3 10 2 7 2 3 2" xfId="4240"/>
    <cellStyle name="Normal 3 10 2 7 2 4" xfId="4241"/>
    <cellStyle name="Normal 3 10 2 7 2 4 2" xfId="4242"/>
    <cellStyle name="Normal 3 10 2 7 2 5" xfId="4243"/>
    <cellStyle name="Normal 3 10 2 7 3" xfId="4244"/>
    <cellStyle name="Normal 3 10 2 7 3 2" xfId="4245"/>
    <cellStyle name="Normal 3 10 2 7 3 2 2" xfId="4246"/>
    <cellStyle name="Normal 3 10 2 7 3 3" xfId="4247"/>
    <cellStyle name="Normal 3 10 2 7 3 3 2" xfId="4248"/>
    <cellStyle name="Normal 3 10 2 7 3 4" xfId="4249"/>
    <cellStyle name="Normal 3 10 2 7 3 4 2" xfId="4250"/>
    <cellStyle name="Normal 3 10 2 7 3 5" xfId="4251"/>
    <cellStyle name="Normal 3 10 2 7 4" xfId="4252"/>
    <cellStyle name="Normal 3 10 2 7 4 2" xfId="4253"/>
    <cellStyle name="Normal 3 10 2 7 5" xfId="4254"/>
    <cellStyle name="Normal 3 10 2 7 5 2" xfId="4255"/>
    <cellStyle name="Normal 3 10 2 7 6" xfId="4256"/>
    <cellStyle name="Normal 3 10 2 7 6 2" xfId="4257"/>
    <cellStyle name="Normal 3 10 2 7 7" xfId="4258"/>
    <cellStyle name="Normal 3 10 2 8" xfId="4259"/>
    <cellStyle name="Normal 3 10 2 8 2" xfId="4260"/>
    <cellStyle name="Normal 3 10 2 8 2 2" xfId="4261"/>
    <cellStyle name="Normal 3 10 2 8 3" xfId="4262"/>
    <cellStyle name="Normal 3 10 2 8 3 2" xfId="4263"/>
    <cellStyle name="Normal 3 10 2 8 4" xfId="4264"/>
    <cellStyle name="Normal 3 10 2 8 4 2" xfId="4265"/>
    <cellStyle name="Normal 3 10 2 8 5" xfId="4266"/>
    <cellStyle name="Normal 3 10 2 9" xfId="4267"/>
    <cellStyle name="Normal 3 10 2 9 2" xfId="4268"/>
    <cellStyle name="Normal 3 10 2 9 2 2" xfId="4269"/>
    <cellStyle name="Normal 3 10 2 9 3" xfId="4270"/>
    <cellStyle name="Normal 3 10 2 9 3 2" xfId="4271"/>
    <cellStyle name="Normal 3 10 2 9 4" xfId="4272"/>
    <cellStyle name="Normal 3 10 2 9 4 2" xfId="4273"/>
    <cellStyle name="Normal 3 10 2 9 5" xfId="4274"/>
    <cellStyle name="Normal 3 10 3" xfId="4275"/>
    <cellStyle name="Normal 3 10 3 2" xfId="4276"/>
    <cellStyle name="Normal 3 10 3 2 2" xfId="4277"/>
    <cellStyle name="Normal 3 10 3 2 2 2" xfId="4278"/>
    <cellStyle name="Normal 3 10 3 2 2 2 2" xfId="4279"/>
    <cellStyle name="Normal 3 10 3 2 2 3" xfId="4280"/>
    <cellStyle name="Normal 3 10 3 2 2 3 2" xfId="4281"/>
    <cellStyle name="Normal 3 10 3 2 2 4" xfId="4282"/>
    <cellStyle name="Normal 3 10 3 2 2 4 2" xfId="4283"/>
    <cellStyle name="Normal 3 10 3 2 2 5" xfId="4284"/>
    <cellStyle name="Normal 3 10 3 2 3" xfId="4285"/>
    <cellStyle name="Normal 3 10 3 2 3 2" xfId="4286"/>
    <cellStyle name="Normal 3 10 3 2 3 2 2" xfId="4287"/>
    <cellStyle name="Normal 3 10 3 2 3 3" xfId="4288"/>
    <cellStyle name="Normal 3 10 3 2 3 3 2" xfId="4289"/>
    <cellStyle name="Normal 3 10 3 2 3 4" xfId="4290"/>
    <cellStyle name="Normal 3 10 3 2 3 4 2" xfId="4291"/>
    <cellStyle name="Normal 3 10 3 2 3 5" xfId="4292"/>
    <cellStyle name="Normal 3 10 3 2 4" xfId="4293"/>
    <cellStyle name="Normal 3 10 3 2 4 2" xfId="4294"/>
    <cellStyle name="Normal 3 10 3 2 5" xfId="4295"/>
    <cellStyle name="Normal 3 10 3 2 5 2" xfId="4296"/>
    <cellStyle name="Normal 3 10 3 2 6" xfId="4297"/>
    <cellStyle name="Normal 3 10 3 2 6 2" xfId="4298"/>
    <cellStyle name="Normal 3 10 3 2 7" xfId="4299"/>
    <cellStyle name="Normal 3 10 3 3" xfId="4300"/>
    <cellStyle name="Normal 3 10 3 3 2" xfId="4301"/>
    <cellStyle name="Normal 3 10 3 3 2 2" xfId="4302"/>
    <cellStyle name="Normal 3 10 3 3 3" xfId="4303"/>
    <cellStyle name="Normal 3 10 3 3 3 2" xfId="4304"/>
    <cellStyle name="Normal 3 10 3 3 4" xfId="4305"/>
    <cellStyle name="Normal 3 10 3 3 4 2" xfId="4306"/>
    <cellStyle name="Normal 3 10 3 3 5" xfId="4307"/>
    <cellStyle name="Normal 3 10 3 4" xfId="4308"/>
    <cellStyle name="Normal 3 10 3 4 2" xfId="4309"/>
    <cellStyle name="Normal 3 10 3 4 2 2" xfId="4310"/>
    <cellStyle name="Normal 3 10 3 4 3" xfId="4311"/>
    <cellStyle name="Normal 3 10 3 4 3 2" xfId="4312"/>
    <cellStyle name="Normal 3 10 3 4 4" xfId="4313"/>
    <cellStyle name="Normal 3 10 3 4 4 2" xfId="4314"/>
    <cellStyle name="Normal 3 10 3 4 5" xfId="4315"/>
    <cellStyle name="Normal 3 10 3 5" xfId="4316"/>
    <cellStyle name="Normal 3 10 3 5 2" xfId="4317"/>
    <cellStyle name="Normal 3 10 3 6" xfId="4318"/>
    <cellStyle name="Normal 3 10 3 6 2" xfId="4319"/>
    <cellStyle name="Normal 3 10 3 7" xfId="4320"/>
    <cellStyle name="Normal 3 10 3 7 2" xfId="4321"/>
    <cellStyle name="Normal 3 10 3 8" xfId="4322"/>
    <cellStyle name="Normal 3 10 4" xfId="4323"/>
    <cellStyle name="Normal 3 10 4 2" xfId="4324"/>
    <cellStyle name="Normal 3 10 4 2 2" xfId="4325"/>
    <cellStyle name="Normal 3 10 4 2 2 2" xfId="4326"/>
    <cellStyle name="Normal 3 10 4 2 2 2 2" xfId="4327"/>
    <cellStyle name="Normal 3 10 4 2 2 3" xfId="4328"/>
    <cellStyle name="Normal 3 10 4 2 2 3 2" xfId="4329"/>
    <cellStyle name="Normal 3 10 4 2 2 4" xfId="4330"/>
    <cellStyle name="Normal 3 10 4 2 2 4 2" xfId="4331"/>
    <cellStyle name="Normal 3 10 4 2 2 5" xfId="4332"/>
    <cellStyle name="Normal 3 10 4 2 3" xfId="4333"/>
    <cellStyle name="Normal 3 10 4 2 3 2" xfId="4334"/>
    <cellStyle name="Normal 3 10 4 2 3 2 2" xfId="4335"/>
    <cellStyle name="Normal 3 10 4 2 3 3" xfId="4336"/>
    <cellStyle name="Normal 3 10 4 2 3 3 2" xfId="4337"/>
    <cellStyle name="Normal 3 10 4 2 3 4" xfId="4338"/>
    <cellStyle name="Normal 3 10 4 2 3 4 2" xfId="4339"/>
    <cellStyle name="Normal 3 10 4 2 3 5" xfId="4340"/>
    <cellStyle name="Normal 3 10 4 2 4" xfId="4341"/>
    <cellStyle name="Normal 3 10 4 2 4 2" xfId="4342"/>
    <cellStyle name="Normal 3 10 4 2 5" xfId="4343"/>
    <cellStyle name="Normal 3 10 4 2 5 2" xfId="4344"/>
    <cellStyle name="Normal 3 10 4 2 6" xfId="4345"/>
    <cellStyle name="Normal 3 10 4 2 6 2" xfId="4346"/>
    <cellStyle name="Normal 3 10 4 2 7" xfId="4347"/>
    <cellStyle name="Normal 3 10 4 3" xfId="4348"/>
    <cellStyle name="Normal 3 10 4 3 2" xfId="4349"/>
    <cellStyle name="Normal 3 10 4 3 2 2" xfId="4350"/>
    <cellStyle name="Normal 3 10 4 3 3" xfId="4351"/>
    <cellStyle name="Normal 3 10 4 3 3 2" xfId="4352"/>
    <cellStyle name="Normal 3 10 4 3 4" xfId="4353"/>
    <cellStyle name="Normal 3 10 4 3 4 2" xfId="4354"/>
    <cellStyle name="Normal 3 10 4 3 5" xfId="4355"/>
    <cellStyle name="Normal 3 10 4 4" xfId="4356"/>
    <cellStyle name="Normal 3 10 4 4 2" xfId="4357"/>
    <cellStyle name="Normal 3 10 4 4 2 2" xfId="4358"/>
    <cellStyle name="Normal 3 10 4 4 3" xfId="4359"/>
    <cellStyle name="Normal 3 10 4 4 3 2" xfId="4360"/>
    <cellStyle name="Normal 3 10 4 4 4" xfId="4361"/>
    <cellStyle name="Normal 3 10 4 4 4 2" xfId="4362"/>
    <cellStyle name="Normal 3 10 4 4 5" xfId="4363"/>
    <cellStyle name="Normal 3 10 4 5" xfId="4364"/>
    <cellStyle name="Normal 3 10 4 5 2" xfId="4365"/>
    <cellStyle name="Normal 3 10 4 6" xfId="4366"/>
    <cellStyle name="Normal 3 10 4 6 2" xfId="4367"/>
    <cellStyle name="Normal 3 10 4 7" xfId="4368"/>
    <cellStyle name="Normal 3 10 4 7 2" xfId="4369"/>
    <cellStyle name="Normal 3 10 4 8" xfId="4370"/>
    <cellStyle name="Normal 3 10 5" xfId="4371"/>
    <cellStyle name="Normal 3 10 5 2" xfId="4372"/>
    <cellStyle name="Normal 3 10 5 2 2" xfId="4373"/>
    <cellStyle name="Normal 3 10 5 2 2 2" xfId="4374"/>
    <cellStyle name="Normal 3 10 5 2 2 2 2" xfId="4375"/>
    <cellStyle name="Normal 3 10 5 2 2 3" xfId="4376"/>
    <cellStyle name="Normal 3 10 5 2 2 3 2" xfId="4377"/>
    <cellStyle name="Normal 3 10 5 2 2 4" xfId="4378"/>
    <cellStyle name="Normal 3 10 5 2 2 4 2" xfId="4379"/>
    <cellStyle name="Normal 3 10 5 2 2 5" xfId="4380"/>
    <cellStyle name="Normal 3 10 5 2 3" xfId="4381"/>
    <cellStyle name="Normal 3 10 5 2 3 2" xfId="4382"/>
    <cellStyle name="Normal 3 10 5 2 3 2 2" xfId="4383"/>
    <cellStyle name="Normal 3 10 5 2 3 3" xfId="4384"/>
    <cellStyle name="Normal 3 10 5 2 3 3 2" xfId="4385"/>
    <cellStyle name="Normal 3 10 5 2 3 4" xfId="4386"/>
    <cellStyle name="Normal 3 10 5 2 3 4 2" xfId="4387"/>
    <cellStyle name="Normal 3 10 5 2 3 5" xfId="4388"/>
    <cellStyle name="Normal 3 10 5 2 4" xfId="4389"/>
    <cellStyle name="Normal 3 10 5 2 4 2" xfId="4390"/>
    <cellStyle name="Normal 3 10 5 2 5" xfId="4391"/>
    <cellStyle name="Normal 3 10 5 2 5 2" xfId="4392"/>
    <cellStyle name="Normal 3 10 5 2 6" xfId="4393"/>
    <cellStyle name="Normal 3 10 5 2 6 2" xfId="4394"/>
    <cellStyle name="Normal 3 10 5 2 7" xfId="4395"/>
    <cellStyle name="Normal 3 10 5 3" xfId="4396"/>
    <cellStyle name="Normal 3 10 5 3 2" xfId="4397"/>
    <cellStyle name="Normal 3 10 5 3 2 2" xfId="4398"/>
    <cellStyle name="Normal 3 10 5 3 3" xfId="4399"/>
    <cellStyle name="Normal 3 10 5 3 3 2" xfId="4400"/>
    <cellStyle name="Normal 3 10 5 3 4" xfId="4401"/>
    <cellStyle name="Normal 3 10 5 3 4 2" xfId="4402"/>
    <cellStyle name="Normal 3 10 5 3 5" xfId="4403"/>
    <cellStyle name="Normal 3 10 5 4" xfId="4404"/>
    <cellStyle name="Normal 3 10 5 4 2" xfId="4405"/>
    <cellStyle name="Normal 3 10 5 4 2 2" xfId="4406"/>
    <cellStyle name="Normal 3 10 5 4 3" xfId="4407"/>
    <cellStyle name="Normal 3 10 5 4 3 2" xfId="4408"/>
    <cellStyle name="Normal 3 10 5 4 4" xfId="4409"/>
    <cellStyle name="Normal 3 10 5 4 4 2" xfId="4410"/>
    <cellStyle name="Normal 3 10 5 4 5" xfId="4411"/>
    <cellStyle name="Normal 3 10 5 5" xfId="4412"/>
    <cellStyle name="Normal 3 10 5 5 2" xfId="4413"/>
    <cellStyle name="Normal 3 10 5 6" xfId="4414"/>
    <cellStyle name="Normal 3 10 5 6 2" xfId="4415"/>
    <cellStyle name="Normal 3 10 5 7" xfId="4416"/>
    <cellStyle name="Normal 3 10 5 7 2" xfId="4417"/>
    <cellStyle name="Normal 3 10 5 8" xfId="4418"/>
    <cellStyle name="Normal 3 10 6" xfId="4419"/>
    <cellStyle name="Normal 3 10 6 2" xfId="4420"/>
    <cellStyle name="Normal 3 10 6 2 2" xfId="4421"/>
    <cellStyle name="Normal 3 10 6 2 2 2" xfId="4422"/>
    <cellStyle name="Normal 3 10 6 2 2 2 2" xfId="4423"/>
    <cellStyle name="Normal 3 10 6 2 2 3" xfId="4424"/>
    <cellStyle name="Normal 3 10 6 2 2 3 2" xfId="4425"/>
    <cellStyle name="Normal 3 10 6 2 2 4" xfId="4426"/>
    <cellStyle name="Normal 3 10 6 2 2 4 2" xfId="4427"/>
    <cellStyle name="Normal 3 10 6 2 2 5" xfId="4428"/>
    <cellStyle name="Normal 3 10 6 2 3" xfId="4429"/>
    <cellStyle name="Normal 3 10 6 2 3 2" xfId="4430"/>
    <cellStyle name="Normal 3 10 6 2 3 2 2" xfId="4431"/>
    <cellStyle name="Normal 3 10 6 2 3 3" xfId="4432"/>
    <cellStyle name="Normal 3 10 6 2 3 3 2" xfId="4433"/>
    <cellStyle name="Normal 3 10 6 2 3 4" xfId="4434"/>
    <cellStyle name="Normal 3 10 6 2 3 4 2" xfId="4435"/>
    <cellStyle name="Normal 3 10 6 2 3 5" xfId="4436"/>
    <cellStyle name="Normal 3 10 6 2 4" xfId="4437"/>
    <cellStyle name="Normal 3 10 6 2 4 2" xfId="4438"/>
    <cellStyle name="Normal 3 10 6 2 5" xfId="4439"/>
    <cellStyle name="Normal 3 10 6 2 5 2" xfId="4440"/>
    <cellStyle name="Normal 3 10 6 2 6" xfId="4441"/>
    <cellStyle name="Normal 3 10 6 2 6 2" xfId="4442"/>
    <cellStyle name="Normal 3 10 6 2 7" xfId="4443"/>
    <cellStyle name="Normal 3 10 6 3" xfId="4444"/>
    <cellStyle name="Normal 3 10 6 3 2" xfId="4445"/>
    <cellStyle name="Normal 3 10 6 3 2 2" xfId="4446"/>
    <cellStyle name="Normal 3 10 6 3 3" xfId="4447"/>
    <cellStyle name="Normal 3 10 6 3 3 2" xfId="4448"/>
    <cellStyle name="Normal 3 10 6 3 4" xfId="4449"/>
    <cellStyle name="Normal 3 10 6 3 4 2" xfId="4450"/>
    <cellStyle name="Normal 3 10 6 3 5" xfId="4451"/>
    <cellStyle name="Normal 3 10 6 4" xfId="4452"/>
    <cellStyle name="Normal 3 10 6 4 2" xfId="4453"/>
    <cellStyle name="Normal 3 10 6 4 2 2" xfId="4454"/>
    <cellStyle name="Normal 3 10 6 4 3" xfId="4455"/>
    <cellStyle name="Normal 3 10 6 4 3 2" xfId="4456"/>
    <cellStyle name="Normal 3 10 6 4 4" xfId="4457"/>
    <cellStyle name="Normal 3 10 6 4 4 2" xfId="4458"/>
    <cellStyle name="Normal 3 10 6 4 5" xfId="4459"/>
    <cellStyle name="Normal 3 10 6 5" xfId="4460"/>
    <cellStyle name="Normal 3 10 6 5 2" xfId="4461"/>
    <cellStyle name="Normal 3 10 6 6" xfId="4462"/>
    <cellStyle name="Normal 3 10 6 6 2" xfId="4463"/>
    <cellStyle name="Normal 3 10 6 7" xfId="4464"/>
    <cellStyle name="Normal 3 10 6 7 2" xfId="4465"/>
    <cellStyle name="Normal 3 10 6 8" xfId="4466"/>
    <cellStyle name="Normal 3 10 7" xfId="4467"/>
    <cellStyle name="Normal 3 10 7 2" xfId="4468"/>
    <cellStyle name="Normal 3 10 7 2 2" xfId="4469"/>
    <cellStyle name="Normal 3 10 7 2 2 2" xfId="4470"/>
    <cellStyle name="Normal 3 10 7 2 2 2 2" xfId="4471"/>
    <cellStyle name="Normal 3 10 7 2 2 3" xfId="4472"/>
    <cellStyle name="Normal 3 10 7 2 2 3 2" xfId="4473"/>
    <cellStyle name="Normal 3 10 7 2 2 4" xfId="4474"/>
    <cellStyle name="Normal 3 10 7 2 2 4 2" xfId="4475"/>
    <cellStyle name="Normal 3 10 7 2 2 5" xfId="4476"/>
    <cellStyle name="Normal 3 10 7 2 3" xfId="4477"/>
    <cellStyle name="Normal 3 10 7 2 3 2" xfId="4478"/>
    <cellStyle name="Normal 3 10 7 2 3 2 2" xfId="4479"/>
    <cellStyle name="Normal 3 10 7 2 3 3" xfId="4480"/>
    <cellStyle name="Normal 3 10 7 2 3 3 2" xfId="4481"/>
    <cellStyle name="Normal 3 10 7 2 3 4" xfId="4482"/>
    <cellStyle name="Normal 3 10 7 2 3 4 2" xfId="4483"/>
    <cellStyle name="Normal 3 10 7 2 3 5" xfId="4484"/>
    <cellStyle name="Normal 3 10 7 2 4" xfId="4485"/>
    <cellStyle name="Normal 3 10 7 2 4 2" xfId="4486"/>
    <cellStyle name="Normal 3 10 7 2 5" xfId="4487"/>
    <cellStyle name="Normal 3 10 7 2 5 2" xfId="4488"/>
    <cellStyle name="Normal 3 10 7 2 6" xfId="4489"/>
    <cellStyle name="Normal 3 10 7 2 6 2" xfId="4490"/>
    <cellStyle name="Normal 3 10 7 2 7" xfId="4491"/>
    <cellStyle name="Normal 3 10 7 3" xfId="4492"/>
    <cellStyle name="Normal 3 10 7 3 2" xfId="4493"/>
    <cellStyle name="Normal 3 10 7 3 2 2" xfId="4494"/>
    <cellStyle name="Normal 3 10 7 3 3" xfId="4495"/>
    <cellStyle name="Normal 3 10 7 3 3 2" xfId="4496"/>
    <cellStyle name="Normal 3 10 7 3 4" xfId="4497"/>
    <cellStyle name="Normal 3 10 7 3 4 2" xfId="4498"/>
    <cellStyle name="Normal 3 10 7 3 5" xfId="4499"/>
    <cellStyle name="Normal 3 10 7 4" xfId="4500"/>
    <cellStyle name="Normal 3 10 7 4 2" xfId="4501"/>
    <cellStyle name="Normal 3 10 7 4 2 2" xfId="4502"/>
    <cellStyle name="Normal 3 10 7 4 3" xfId="4503"/>
    <cellStyle name="Normal 3 10 7 4 3 2" xfId="4504"/>
    <cellStyle name="Normal 3 10 7 4 4" xfId="4505"/>
    <cellStyle name="Normal 3 10 7 4 4 2" xfId="4506"/>
    <cellStyle name="Normal 3 10 7 4 5" xfId="4507"/>
    <cellStyle name="Normal 3 10 7 5" xfId="4508"/>
    <cellStyle name="Normal 3 10 7 5 2" xfId="4509"/>
    <cellStyle name="Normal 3 10 7 6" xfId="4510"/>
    <cellStyle name="Normal 3 10 7 6 2" xfId="4511"/>
    <cellStyle name="Normal 3 10 7 7" xfId="4512"/>
    <cellStyle name="Normal 3 10 7 7 2" xfId="4513"/>
    <cellStyle name="Normal 3 10 7 8" xfId="4514"/>
    <cellStyle name="Normal 3 10 8" xfId="4515"/>
    <cellStyle name="Normal 3 10 8 2" xfId="4516"/>
    <cellStyle name="Normal 3 10 8 2 2" xfId="4517"/>
    <cellStyle name="Normal 3 10 8 2 2 2" xfId="4518"/>
    <cellStyle name="Normal 3 10 8 2 3" xfId="4519"/>
    <cellStyle name="Normal 3 10 8 2 3 2" xfId="4520"/>
    <cellStyle name="Normal 3 10 8 2 4" xfId="4521"/>
    <cellStyle name="Normal 3 10 8 2 4 2" xfId="4522"/>
    <cellStyle name="Normal 3 10 8 2 5" xfId="4523"/>
    <cellStyle name="Normal 3 10 8 3" xfId="4524"/>
    <cellStyle name="Normal 3 10 8 3 2" xfId="4525"/>
    <cellStyle name="Normal 3 10 8 3 2 2" xfId="4526"/>
    <cellStyle name="Normal 3 10 8 3 3" xfId="4527"/>
    <cellStyle name="Normal 3 10 8 3 3 2" xfId="4528"/>
    <cellStyle name="Normal 3 10 8 3 4" xfId="4529"/>
    <cellStyle name="Normal 3 10 8 3 4 2" xfId="4530"/>
    <cellStyle name="Normal 3 10 8 3 5" xfId="4531"/>
    <cellStyle name="Normal 3 10 8 4" xfId="4532"/>
    <cellStyle name="Normal 3 10 8 4 2" xfId="4533"/>
    <cellStyle name="Normal 3 10 8 5" xfId="4534"/>
    <cellStyle name="Normal 3 10 8 5 2" xfId="4535"/>
    <cellStyle name="Normal 3 10 8 6" xfId="4536"/>
    <cellStyle name="Normal 3 10 8 6 2" xfId="4537"/>
    <cellStyle name="Normal 3 10 8 7" xfId="4538"/>
    <cellStyle name="Normal 3 10 9" xfId="4539"/>
    <cellStyle name="Normal 3 10 9 2" xfId="4540"/>
    <cellStyle name="Normal 3 10 9 2 2" xfId="4541"/>
    <cellStyle name="Normal 3 10 9 3" xfId="4542"/>
    <cellStyle name="Normal 3 10 9 3 2" xfId="4543"/>
    <cellStyle name="Normal 3 10 9 4" xfId="4544"/>
    <cellStyle name="Normal 3 10 9 4 2" xfId="4545"/>
    <cellStyle name="Normal 3 10 9 5" xfId="4546"/>
    <cellStyle name="Normal 3 10_Input" xfId="2022"/>
    <cellStyle name="Normal 3 11" xfId="1406"/>
    <cellStyle name="Normal 3 11 10" xfId="4547"/>
    <cellStyle name="Normal 3 11 10 2" xfId="4548"/>
    <cellStyle name="Normal 3 11 10 2 2" xfId="4549"/>
    <cellStyle name="Normal 3 11 10 3" xfId="4550"/>
    <cellStyle name="Normal 3 11 10 3 2" xfId="4551"/>
    <cellStyle name="Normal 3 11 10 4" xfId="4552"/>
    <cellStyle name="Normal 3 11 10 4 2" xfId="4553"/>
    <cellStyle name="Normal 3 11 10 5" xfId="4554"/>
    <cellStyle name="Normal 3 11 11" xfId="4555"/>
    <cellStyle name="Normal 3 11 11 2" xfId="4556"/>
    <cellStyle name="Normal 3 11 12" xfId="4557"/>
    <cellStyle name="Normal 3 11 12 2" xfId="4558"/>
    <cellStyle name="Normal 3 11 13" xfId="4559"/>
    <cellStyle name="Normal 3 11 13 2" xfId="4560"/>
    <cellStyle name="Normal 3 11 14" xfId="4561"/>
    <cellStyle name="Normal 3 11 2" xfId="2009"/>
    <cellStyle name="Normal 3 11 2 10" xfId="4562"/>
    <cellStyle name="Normal 3 11 2 10 2" xfId="4563"/>
    <cellStyle name="Normal 3 11 2 11" xfId="4564"/>
    <cellStyle name="Normal 3 11 2 11 2" xfId="4565"/>
    <cellStyle name="Normal 3 11 2 12" xfId="4566"/>
    <cellStyle name="Normal 3 11 2 12 2" xfId="4567"/>
    <cellStyle name="Normal 3 11 2 13" xfId="4568"/>
    <cellStyle name="Normal 3 11 2 2" xfId="4569"/>
    <cellStyle name="Normal 3 11 2 2 2" xfId="4570"/>
    <cellStyle name="Normal 3 11 2 2 2 2" xfId="4571"/>
    <cellStyle name="Normal 3 11 2 2 2 2 2" xfId="4572"/>
    <cellStyle name="Normal 3 11 2 2 2 2 2 2" xfId="4573"/>
    <cellStyle name="Normal 3 11 2 2 2 2 3" xfId="4574"/>
    <cellStyle name="Normal 3 11 2 2 2 2 3 2" xfId="4575"/>
    <cellStyle name="Normal 3 11 2 2 2 2 4" xfId="4576"/>
    <cellStyle name="Normal 3 11 2 2 2 2 4 2" xfId="4577"/>
    <cellStyle name="Normal 3 11 2 2 2 2 5" xfId="4578"/>
    <cellStyle name="Normal 3 11 2 2 2 3" xfId="4579"/>
    <cellStyle name="Normal 3 11 2 2 2 3 2" xfId="4580"/>
    <cellStyle name="Normal 3 11 2 2 2 3 2 2" xfId="4581"/>
    <cellStyle name="Normal 3 11 2 2 2 3 3" xfId="4582"/>
    <cellStyle name="Normal 3 11 2 2 2 3 3 2" xfId="4583"/>
    <cellStyle name="Normal 3 11 2 2 2 3 4" xfId="4584"/>
    <cellStyle name="Normal 3 11 2 2 2 3 4 2" xfId="4585"/>
    <cellStyle name="Normal 3 11 2 2 2 3 5" xfId="4586"/>
    <cellStyle name="Normal 3 11 2 2 2 4" xfId="4587"/>
    <cellStyle name="Normal 3 11 2 2 2 4 2" xfId="4588"/>
    <cellStyle name="Normal 3 11 2 2 2 5" xfId="4589"/>
    <cellStyle name="Normal 3 11 2 2 2 5 2" xfId="4590"/>
    <cellStyle name="Normal 3 11 2 2 2 6" xfId="4591"/>
    <cellStyle name="Normal 3 11 2 2 2 6 2" xfId="4592"/>
    <cellStyle name="Normal 3 11 2 2 2 7" xfId="4593"/>
    <cellStyle name="Normal 3 11 2 2 3" xfId="4594"/>
    <cellStyle name="Normal 3 11 2 2 3 2" xfId="4595"/>
    <cellStyle name="Normal 3 11 2 2 3 2 2" xfId="4596"/>
    <cellStyle name="Normal 3 11 2 2 3 3" xfId="4597"/>
    <cellStyle name="Normal 3 11 2 2 3 3 2" xfId="4598"/>
    <cellStyle name="Normal 3 11 2 2 3 4" xfId="4599"/>
    <cellStyle name="Normal 3 11 2 2 3 4 2" xfId="4600"/>
    <cellStyle name="Normal 3 11 2 2 3 5" xfId="4601"/>
    <cellStyle name="Normal 3 11 2 2 4" xfId="4602"/>
    <cellStyle name="Normal 3 11 2 2 4 2" xfId="4603"/>
    <cellStyle name="Normal 3 11 2 2 4 2 2" xfId="4604"/>
    <cellStyle name="Normal 3 11 2 2 4 3" xfId="4605"/>
    <cellStyle name="Normal 3 11 2 2 4 3 2" xfId="4606"/>
    <cellStyle name="Normal 3 11 2 2 4 4" xfId="4607"/>
    <cellStyle name="Normal 3 11 2 2 4 4 2" xfId="4608"/>
    <cellStyle name="Normal 3 11 2 2 4 5" xfId="4609"/>
    <cellStyle name="Normal 3 11 2 2 5" xfId="4610"/>
    <cellStyle name="Normal 3 11 2 2 5 2" xfId="4611"/>
    <cellStyle name="Normal 3 11 2 2 6" xfId="4612"/>
    <cellStyle name="Normal 3 11 2 2 6 2" xfId="4613"/>
    <cellStyle name="Normal 3 11 2 2 7" xfId="4614"/>
    <cellStyle name="Normal 3 11 2 2 7 2" xfId="4615"/>
    <cellStyle name="Normal 3 11 2 2 8" xfId="4616"/>
    <cellStyle name="Normal 3 11 2 3" xfId="4617"/>
    <cellStyle name="Normal 3 11 2 3 2" xfId="4618"/>
    <cellStyle name="Normal 3 11 2 3 2 2" xfId="4619"/>
    <cellStyle name="Normal 3 11 2 3 2 2 2" xfId="4620"/>
    <cellStyle name="Normal 3 11 2 3 2 2 2 2" xfId="4621"/>
    <cellStyle name="Normal 3 11 2 3 2 2 3" xfId="4622"/>
    <cellStyle name="Normal 3 11 2 3 2 2 3 2" xfId="4623"/>
    <cellStyle name="Normal 3 11 2 3 2 2 4" xfId="4624"/>
    <cellStyle name="Normal 3 11 2 3 2 2 4 2" xfId="4625"/>
    <cellStyle name="Normal 3 11 2 3 2 2 5" xfId="4626"/>
    <cellStyle name="Normal 3 11 2 3 2 3" xfId="4627"/>
    <cellStyle name="Normal 3 11 2 3 2 3 2" xfId="4628"/>
    <cellStyle name="Normal 3 11 2 3 2 3 2 2" xfId="4629"/>
    <cellStyle name="Normal 3 11 2 3 2 3 3" xfId="4630"/>
    <cellStyle name="Normal 3 11 2 3 2 3 3 2" xfId="4631"/>
    <cellStyle name="Normal 3 11 2 3 2 3 4" xfId="4632"/>
    <cellStyle name="Normal 3 11 2 3 2 3 4 2" xfId="4633"/>
    <cellStyle name="Normal 3 11 2 3 2 3 5" xfId="4634"/>
    <cellStyle name="Normal 3 11 2 3 2 4" xfId="4635"/>
    <cellStyle name="Normal 3 11 2 3 2 4 2" xfId="4636"/>
    <cellStyle name="Normal 3 11 2 3 2 5" xfId="4637"/>
    <cellStyle name="Normal 3 11 2 3 2 5 2" xfId="4638"/>
    <cellStyle name="Normal 3 11 2 3 2 6" xfId="4639"/>
    <cellStyle name="Normal 3 11 2 3 2 6 2" xfId="4640"/>
    <cellStyle name="Normal 3 11 2 3 2 7" xfId="4641"/>
    <cellStyle name="Normal 3 11 2 3 3" xfId="4642"/>
    <cellStyle name="Normal 3 11 2 3 3 2" xfId="4643"/>
    <cellStyle name="Normal 3 11 2 3 3 2 2" xfId="4644"/>
    <cellStyle name="Normal 3 11 2 3 3 3" xfId="4645"/>
    <cellStyle name="Normal 3 11 2 3 3 3 2" xfId="4646"/>
    <cellStyle name="Normal 3 11 2 3 3 4" xfId="4647"/>
    <cellStyle name="Normal 3 11 2 3 3 4 2" xfId="4648"/>
    <cellStyle name="Normal 3 11 2 3 3 5" xfId="4649"/>
    <cellStyle name="Normal 3 11 2 3 4" xfId="4650"/>
    <cellStyle name="Normal 3 11 2 3 4 2" xfId="4651"/>
    <cellStyle name="Normal 3 11 2 3 4 2 2" xfId="4652"/>
    <cellStyle name="Normal 3 11 2 3 4 3" xfId="4653"/>
    <cellStyle name="Normal 3 11 2 3 4 3 2" xfId="4654"/>
    <cellStyle name="Normal 3 11 2 3 4 4" xfId="4655"/>
    <cellStyle name="Normal 3 11 2 3 4 4 2" xfId="4656"/>
    <cellStyle name="Normal 3 11 2 3 4 5" xfId="4657"/>
    <cellStyle name="Normal 3 11 2 3 5" xfId="4658"/>
    <cellStyle name="Normal 3 11 2 3 5 2" xfId="4659"/>
    <cellStyle name="Normal 3 11 2 3 6" xfId="4660"/>
    <cellStyle name="Normal 3 11 2 3 6 2" xfId="4661"/>
    <cellStyle name="Normal 3 11 2 3 7" xfId="4662"/>
    <cellStyle name="Normal 3 11 2 3 7 2" xfId="4663"/>
    <cellStyle name="Normal 3 11 2 3 8" xfId="4664"/>
    <cellStyle name="Normal 3 11 2 4" xfId="4665"/>
    <cellStyle name="Normal 3 11 2 4 2" xfId="4666"/>
    <cellStyle name="Normal 3 11 2 4 2 2" xfId="4667"/>
    <cellStyle name="Normal 3 11 2 4 2 2 2" xfId="4668"/>
    <cellStyle name="Normal 3 11 2 4 2 2 2 2" xfId="4669"/>
    <cellStyle name="Normal 3 11 2 4 2 2 3" xfId="4670"/>
    <cellStyle name="Normal 3 11 2 4 2 2 3 2" xfId="4671"/>
    <cellStyle name="Normal 3 11 2 4 2 2 4" xfId="4672"/>
    <cellStyle name="Normal 3 11 2 4 2 2 4 2" xfId="4673"/>
    <cellStyle name="Normal 3 11 2 4 2 2 5" xfId="4674"/>
    <cellStyle name="Normal 3 11 2 4 2 3" xfId="4675"/>
    <cellStyle name="Normal 3 11 2 4 2 3 2" xfId="4676"/>
    <cellStyle name="Normal 3 11 2 4 2 3 2 2" xfId="4677"/>
    <cellStyle name="Normal 3 11 2 4 2 3 3" xfId="4678"/>
    <cellStyle name="Normal 3 11 2 4 2 3 3 2" xfId="4679"/>
    <cellStyle name="Normal 3 11 2 4 2 3 4" xfId="4680"/>
    <cellStyle name="Normal 3 11 2 4 2 3 4 2" xfId="4681"/>
    <cellStyle name="Normal 3 11 2 4 2 3 5" xfId="4682"/>
    <cellStyle name="Normal 3 11 2 4 2 4" xfId="4683"/>
    <cellStyle name="Normal 3 11 2 4 2 4 2" xfId="4684"/>
    <cellStyle name="Normal 3 11 2 4 2 5" xfId="4685"/>
    <cellStyle name="Normal 3 11 2 4 2 5 2" xfId="4686"/>
    <cellStyle name="Normal 3 11 2 4 2 6" xfId="4687"/>
    <cellStyle name="Normal 3 11 2 4 2 6 2" xfId="4688"/>
    <cellStyle name="Normal 3 11 2 4 2 7" xfId="4689"/>
    <cellStyle name="Normal 3 11 2 4 3" xfId="4690"/>
    <cellStyle name="Normal 3 11 2 4 3 2" xfId="4691"/>
    <cellStyle name="Normal 3 11 2 4 3 2 2" xfId="4692"/>
    <cellStyle name="Normal 3 11 2 4 3 3" xfId="4693"/>
    <cellStyle name="Normal 3 11 2 4 3 3 2" xfId="4694"/>
    <cellStyle name="Normal 3 11 2 4 3 4" xfId="4695"/>
    <cellStyle name="Normal 3 11 2 4 3 4 2" xfId="4696"/>
    <cellStyle name="Normal 3 11 2 4 3 5" xfId="4697"/>
    <cellStyle name="Normal 3 11 2 4 4" xfId="4698"/>
    <cellStyle name="Normal 3 11 2 4 4 2" xfId="4699"/>
    <cellStyle name="Normal 3 11 2 4 4 2 2" xfId="4700"/>
    <cellStyle name="Normal 3 11 2 4 4 3" xfId="4701"/>
    <cellStyle name="Normal 3 11 2 4 4 3 2" xfId="4702"/>
    <cellStyle name="Normal 3 11 2 4 4 4" xfId="4703"/>
    <cellStyle name="Normal 3 11 2 4 4 4 2" xfId="4704"/>
    <cellStyle name="Normal 3 11 2 4 4 5" xfId="4705"/>
    <cellStyle name="Normal 3 11 2 4 5" xfId="4706"/>
    <cellStyle name="Normal 3 11 2 4 5 2" xfId="4707"/>
    <cellStyle name="Normal 3 11 2 4 6" xfId="4708"/>
    <cellStyle name="Normal 3 11 2 4 6 2" xfId="4709"/>
    <cellStyle name="Normal 3 11 2 4 7" xfId="4710"/>
    <cellStyle name="Normal 3 11 2 4 7 2" xfId="4711"/>
    <cellStyle name="Normal 3 11 2 4 8" xfId="4712"/>
    <cellStyle name="Normal 3 11 2 5" xfId="4713"/>
    <cellStyle name="Normal 3 11 2 5 2" xfId="4714"/>
    <cellStyle name="Normal 3 11 2 5 2 2" xfId="4715"/>
    <cellStyle name="Normal 3 11 2 5 2 2 2" xfId="4716"/>
    <cellStyle name="Normal 3 11 2 5 2 2 2 2" xfId="4717"/>
    <cellStyle name="Normal 3 11 2 5 2 2 3" xfId="4718"/>
    <cellStyle name="Normal 3 11 2 5 2 2 3 2" xfId="4719"/>
    <cellStyle name="Normal 3 11 2 5 2 2 4" xfId="4720"/>
    <cellStyle name="Normal 3 11 2 5 2 2 4 2" xfId="4721"/>
    <cellStyle name="Normal 3 11 2 5 2 2 5" xfId="4722"/>
    <cellStyle name="Normal 3 11 2 5 2 3" xfId="4723"/>
    <cellStyle name="Normal 3 11 2 5 2 3 2" xfId="4724"/>
    <cellStyle name="Normal 3 11 2 5 2 3 2 2" xfId="4725"/>
    <cellStyle name="Normal 3 11 2 5 2 3 3" xfId="4726"/>
    <cellStyle name="Normal 3 11 2 5 2 3 3 2" xfId="4727"/>
    <cellStyle name="Normal 3 11 2 5 2 3 4" xfId="4728"/>
    <cellStyle name="Normal 3 11 2 5 2 3 4 2" xfId="4729"/>
    <cellStyle name="Normal 3 11 2 5 2 3 5" xfId="4730"/>
    <cellStyle name="Normal 3 11 2 5 2 4" xfId="4731"/>
    <cellStyle name="Normal 3 11 2 5 2 4 2" xfId="4732"/>
    <cellStyle name="Normal 3 11 2 5 2 5" xfId="4733"/>
    <cellStyle name="Normal 3 11 2 5 2 5 2" xfId="4734"/>
    <cellStyle name="Normal 3 11 2 5 2 6" xfId="4735"/>
    <cellStyle name="Normal 3 11 2 5 2 6 2" xfId="4736"/>
    <cellStyle name="Normal 3 11 2 5 2 7" xfId="4737"/>
    <cellStyle name="Normal 3 11 2 5 3" xfId="4738"/>
    <cellStyle name="Normal 3 11 2 5 3 2" xfId="4739"/>
    <cellStyle name="Normal 3 11 2 5 3 2 2" xfId="4740"/>
    <cellStyle name="Normal 3 11 2 5 3 3" xfId="4741"/>
    <cellStyle name="Normal 3 11 2 5 3 3 2" xfId="4742"/>
    <cellStyle name="Normal 3 11 2 5 3 4" xfId="4743"/>
    <cellStyle name="Normal 3 11 2 5 3 4 2" xfId="4744"/>
    <cellStyle name="Normal 3 11 2 5 3 5" xfId="4745"/>
    <cellStyle name="Normal 3 11 2 5 4" xfId="4746"/>
    <cellStyle name="Normal 3 11 2 5 4 2" xfId="4747"/>
    <cellStyle name="Normal 3 11 2 5 4 2 2" xfId="4748"/>
    <cellStyle name="Normal 3 11 2 5 4 3" xfId="4749"/>
    <cellStyle name="Normal 3 11 2 5 4 3 2" xfId="4750"/>
    <cellStyle name="Normal 3 11 2 5 4 4" xfId="4751"/>
    <cellStyle name="Normal 3 11 2 5 4 4 2" xfId="4752"/>
    <cellStyle name="Normal 3 11 2 5 4 5" xfId="4753"/>
    <cellStyle name="Normal 3 11 2 5 5" xfId="4754"/>
    <cellStyle name="Normal 3 11 2 5 5 2" xfId="4755"/>
    <cellStyle name="Normal 3 11 2 5 6" xfId="4756"/>
    <cellStyle name="Normal 3 11 2 5 6 2" xfId="4757"/>
    <cellStyle name="Normal 3 11 2 5 7" xfId="4758"/>
    <cellStyle name="Normal 3 11 2 5 7 2" xfId="4759"/>
    <cellStyle name="Normal 3 11 2 5 8" xfId="4760"/>
    <cellStyle name="Normal 3 11 2 6" xfId="4761"/>
    <cellStyle name="Normal 3 11 2 6 2" xfId="4762"/>
    <cellStyle name="Normal 3 11 2 6 2 2" xfId="4763"/>
    <cellStyle name="Normal 3 11 2 6 2 2 2" xfId="4764"/>
    <cellStyle name="Normal 3 11 2 6 2 2 2 2" xfId="4765"/>
    <cellStyle name="Normal 3 11 2 6 2 2 3" xfId="4766"/>
    <cellStyle name="Normal 3 11 2 6 2 2 3 2" xfId="4767"/>
    <cellStyle name="Normal 3 11 2 6 2 2 4" xfId="4768"/>
    <cellStyle name="Normal 3 11 2 6 2 2 4 2" xfId="4769"/>
    <cellStyle name="Normal 3 11 2 6 2 2 5" xfId="4770"/>
    <cellStyle name="Normal 3 11 2 6 2 3" xfId="4771"/>
    <cellStyle name="Normal 3 11 2 6 2 3 2" xfId="4772"/>
    <cellStyle name="Normal 3 11 2 6 2 3 2 2" xfId="4773"/>
    <cellStyle name="Normal 3 11 2 6 2 3 3" xfId="4774"/>
    <cellStyle name="Normal 3 11 2 6 2 3 3 2" xfId="4775"/>
    <cellStyle name="Normal 3 11 2 6 2 3 4" xfId="4776"/>
    <cellStyle name="Normal 3 11 2 6 2 3 4 2" xfId="4777"/>
    <cellStyle name="Normal 3 11 2 6 2 3 5" xfId="4778"/>
    <cellStyle name="Normal 3 11 2 6 2 4" xfId="4779"/>
    <cellStyle name="Normal 3 11 2 6 2 4 2" xfId="4780"/>
    <cellStyle name="Normal 3 11 2 6 2 5" xfId="4781"/>
    <cellStyle name="Normal 3 11 2 6 2 5 2" xfId="4782"/>
    <cellStyle name="Normal 3 11 2 6 2 6" xfId="4783"/>
    <cellStyle name="Normal 3 11 2 6 2 6 2" xfId="4784"/>
    <cellStyle name="Normal 3 11 2 6 2 7" xfId="4785"/>
    <cellStyle name="Normal 3 11 2 6 3" xfId="4786"/>
    <cellStyle name="Normal 3 11 2 6 3 2" xfId="4787"/>
    <cellStyle name="Normal 3 11 2 6 3 2 2" xfId="4788"/>
    <cellStyle name="Normal 3 11 2 6 3 3" xfId="4789"/>
    <cellStyle name="Normal 3 11 2 6 3 3 2" xfId="4790"/>
    <cellStyle name="Normal 3 11 2 6 3 4" xfId="4791"/>
    <cellStyle name="Normal 3 11 2 6 3 4 2" xfId="4792"/>
    <cellStyle name="Normal 3 11 2 6 3 5" xfId="4793"/>
    <cellStyle name="Normal 3 11 2 6 4" xfId="4794"/>
    <cellStyle name="Normal 3 11 2 6 4 2" xfId="4795"/>
    <cellStyle name="Normal 3 11 2 6 4 2 2" xfId="4796"/>
    <cellStyle name="Normal 3 11 2 6 4 3" xfId="4797"/>
    <cellStyle name="Normal 3 11 2 6 4 3 2" xfId="4798"/>
    <cellStyle name="Normal 3 11 2 6 4 4" xfId="4799"/>
    <cellStyle name="Normal 3 11 2 6 4 4 2" xfId="4800"/>
    <cellStyle name="Normal 3 11 2 6 4 5" xfId="4801"/>
    <cellStyle name="Normal 3 11 2 6 5" xfId="4802"/>
    <cellStyle name="Normal 3 11 2 6 5 2" xfId="4803"/>
    <cellStyle name="Normal 3 11 2 6 6" xfId="4804"/>
    <cellStyle name="Normal 3 11 2 6 6 2" xfId="4805"/>
    <cellStyle name="Normal 3 11 2 6 7" xfId="4806"/>
    <cellStyle name="Normal 3 11 2 6 7 2" xfId="4807"/>
    <cellStyle name="Normal 3 11 2 6 8" xfId="4808"/>
    <cellStyle name="Normal 3 11 2 7" xfId="4809"/>
    <cellStyle name="Normal 3 11 2 7 2" xfId="4810"/>
    <cellStyle name="Normal 3 11 2 7 2 2" xfId="4811"/>
    <cellStyle name="Normal 3 11 2 7 2 2 2" xfId="4812"/>
    <cellStyle name="Normal 3 11 2 7 2 3" xfId="4813"/>
    <cellStyle name="Normal 3 11 2 7 2 3 2" xfId="4814"/>
    <cellStyle name="Normal 3 11 2 7 2 4" xfId="4815"/>
    <cellStyle name="Normal 3 11 2 7 2 4 2" xfId="4816"/>
    <cellStyle name="Normal 3 11 2 7 2 5" xfId="4817"/>
    <cellStyle name="Normal 3 11 2 7 3" xfId="4818"/>
    <cellStyle name="Normal 3 11 2 7 3 2" xfId="4819"/>
    <cellStyle name="Normal 3 11 2 7 3 2 2" xfId="4820"/>
    <cellStyle name="Normal 3 11 2 7 3 3" xfId="4821"/>
    <cellStyle name="Normal 3 11 2 7 3 3 2" xfId="4822"/>
    <cellStyle name="Normal 3 11 2 7 3 4" xfId="4823"/>
    <cellStyle name="Normal 3 11 2 7 3 4 2" xfId="4824"/>
    <cellStyle name="Normal 3 11 2 7 3 5" xfId="4825"/>
    <cellStyle name="Normal 3 11 2 7 4" xfId="4826"/>
    <cellStyle name="Normal 3 11 2 7 4 2" xfId="4827"/>
    <cellStyle name="Normal 3 11 2 7 5" xfId="4828"/>
    <cellStyle name="Normal 3 11 2 7 5 2" xfId="4829"/>
    <cellStyle name="Normal 3 11 2 7 6" xfId="4830"/>
    <cellStyle name="Normal 3 11 2 7 6 2" xfId="4831"/>
    <cellStyle name="Normal 3 11 2 7 7" xfId="4832"/>
    <cellStyle name="Normal 3 11 2 8" xfId="4833"/>
    <cellStyle name="Normal 3 11 2 8 2" xfId="4834"/>
    <cellStyle name="Normal 3 11 2 8 2 2" xfId="4835"/>
    <cellStyle name="Normal 3 11 2 8 3" xfId="4836"/>
    <cellStyle name="Normal 3 11 2 8 3 2" xfId="4837"/>
    <cellStyle name="Normal 3 11 2 8 4" xfId="4838"/>
    <cellStyle name="Normal 3 11 2 8 4 2" xfId="4839"/>
    <cellStyle name="Normal 3 11 2 8 5" xfId="4840"/>
    <cellStyle name="Normal 3 11 2 9" xfId="4841"/>
    <cellStyle name="Normal 3 11 2 9 2" xfId="4842"/>
    <cellStyle name="Normal 3 11 2 9 2 2" xfId="4843"/>
    <cellStyle name="Normal 3 11 2 9 3" xfId="4844"/>
    <cellStyle name="Normal 3 11 2 9 3 2" xfId="4845"/>
    <cellStyle name="Normal 3 11 2 9 4" xfId="4846"/>
    <cellStyle name="Normal 3 11 2 9 4 2" xfId="4847"/>
    <cellStyle name="Normal 3 11 2 9 5" xfId="4848"/>
    <cellStyle name="Normal 3 11 3" xfId="4849"/>
    <cellStyle name="Normal 3 11 3 2" xfId="4850"/>
    <cellStyle name="Normal 3 11 3 2 2" xfId="4851"/>
    <cellStyle name="Normal 3 11 3 2 2 2" xfId="4852"/>
    <cellStyle name="Normal 3 11 3 2 2 2 2" xfId="4853"/>
    <cellStyle name="Normal 3 11 3 2 2 3" xfId="4854"/>
    <cellStyle name="Normal 3 11 3 2 2 3 2" xfId="4855"/>
    <cellStyle name="Normal 3 11 3 2 2 4" xfId="4856"/>
    <cellStyle name="Normal 3 11 3 2 2 4 2" xfId="4857"/>
    <cellStyle name="Normal 3 11 3 2 2 5" xfId="4858"/>
    <cellStyle name="Normal 3 11 3 2 3" xfId="4859"/>
    <cellStyle name="Normal 3 11 3 2 3 2" xfId="4860"/>
    <cellStyle name="Normal 3 11 3 2 3 2 2" xfId="4861"/>
    <cellStyle name="Normal 3 11 3 2 3 3" xfId="4862"/>
    <cellStyle name="Normal 3 11 3 2 3 3 2" xfId="4863"/>
    <cellStyle name="Normal 3 11 3 2 3 4" xfId="4864"/>
    <cellStyle name="Normal 3 11 3 2 3 4 2" xfId="4865"/>
    <cellStyle name="Normal 3 11 3 2 3 5" xfId="4866"/>
    <cellStyle name="Normal 3 11 3 2 4" xfId="4867"/>
    <cellStyle name="Normal 3 11 3 2 4 2" xfId="4868"/>
    <cellStyle name="Normal 3 11 3 2 5" xfId="4869"/>
    <cellStyle name="Normal 3 11 3 2 5 2" xfId="4870"/>
    <cellStyle name="Normal 3 11 3 2 6" xfId="4871"/>
    <cellStyle name="Normal 3 11 3 2 6 2" xfId="4872"/>
    <cellStyle name="Normal 3 11 3 2 7" xfId="4873"/>
    <cellStyle name="Normal 3 11 3 3" xfId="4874"/>
    <cellStyle name="Normal 3 11 3 3 2" xfId="4875"/>
    <cellStyle name="Normal 3 11 3 3 2 2" xfId="4876"/>
    <cellStyle name="Normal 3 11 3 3 3" xfId="4877"/>
    <cellStyle name="Normal 3 11 3 3 3 2" xfId="4878"/>
    <cellStyle name="Normal 3 11 3 3 4" xfId="4879"/>
    <cellStyle name="Normal 3 11 3 3 4 2" xfId="4880"/>
    <cellStyle name="Normal 3 11 3 3 5" xfId="4881"/>
    <cellStyle name="Normal 3 11 3 4" xfId="4882"/>
    <cellStyle name="Normal 3 11 3 4 2" xfId="4883"/>
    <cellStyle name="Normal 3 11 3 4 2 2" xfId="4884"/>
    <cellStyle name="Normal 3 11 3 4 3" xfId="4885"/>
    <cellStyle name="Normal 3 11 3 4 3 2" xfId="4886"/>
    <cellStyle name="Normal 3 11 3 4 4" xfId="4887"/>
    <cellStyle name="Normal 3 11 3 4 4 2" xfId="4888"/>
    <cellStyle name="Normal 3 11 3 4 5" xfId="4889"/>
    <cellStyle name="Normal 3 11 3 5" xfId="4890"/>
    <cellStyle name="Normal 3 11 3 5 2" xfId="4891"/>
    <cellStyle name="Normal 3 11 3 6" xfId="4892"/>
    <cellStyle name="Normal 3 11 3 6 2" xfId="4893"/>
    <cellStyle name="Normal 3 11 3 7" xfId="4894"/>
    <cellStyle name="Normal 3 11 3 7 2" xfId="4895"/>
    <cellStyle name="Normal 3 11 3 8" xfId="4896"/>
    <cellStyle name="Normal 3 11 4" xfId="4897"/>
    <cellStyle name="Normal 3 11 4 2" xfId="4898"/>
    <cellStyle name="Normal 3 11 4 2 2" xfId="4899"/>
    <cellStyle name="Normal 3 11 4 2 2 2" xfId="4900"/>
    <cellStyle name="Normal 3 11 4 2 2 2 2" xfId="4901"/>
    <cellStyle name="Normal 3 11 4 2 2 3" xfId="4902"/>
    <cellStyle name="Normal 3 11 4 2 2 3 2" xfId="4903"/>
    <cellStyle name="Normal 3 11 4 2 2 4" xfId="4904"/>
    <cellStyle name="Normal 3 11 4 2 2 4 2" xfId="4905"/>
    <cellStyle name="Normal 3 11 4 2 2 5" xfId="4906"/>
    <cellStyle name="Normal 3 11 4 2 3" xfId="4907"/>
    <cellStyle name="Normal 3 11 4 2 3 2" xfId="4908"/>
    <cellStyle name="Normal 3 11 4 2 3 2 2" xfId="4909"/>
    <cellStyle name="Normal 3 11 4 2 3 3" xfId="4910"/>
    <cellStyle name="Normal 3 11 4 2 3 3 2" xfId="4911"/>
    <cellStyle name="Normal 3 11 4 2 3 4" xfId="4912"/>
    <cellStyle name="Normal 3 11 4 2 3 4 2" xfId="4913"/>
    <cellStyle name="Normal 3 11 4 2 3 5" xfId="4914"/>
    <cellStyle name="Normal 3 11 4 2 4" xfId="4915"/>
    <cellStyle name="Normal 3 11 4 2 4 2" xfId="4916"/>
    <cellStyle name="Normal 3 11 4 2 5" xfId="4917"/>
    <cellStyle name="Normal 3 11 4 2 5 2" xfId="4918"/>
    <cellStyle name="Normal 3 11 4 2 6" xfId="4919"/>
    <cellStyle name="Normal 3 11 4 2 6 2" xfId="4920"/>
    <cellStyle name="Normal 3 11 4 2 7" xfId="4921"/>
    <cellStyle name="Normal 3 11 4 3" xfId="4922"/>
    <cellStyle name="Normal 3 11 4 3 2" xfId="4923"/>
    <cellStyle name="Normal 3 11 4 3 2 2" xfId="4924"/>
    <cellStyle name="Normal 3 11 4 3 3" xfId="4925"/>
    <cellStyle name="Normal 3 11 4 3 3 2" xfId="4926"/>
    <cellStyle name="Normal 3 11 4 3 4" xfId="4927"/>
    <cellStyle name="Normal 3 11 4 3 4 2" xfId="4928"/>
    <cellStyle name="Normal 3 11 4 3 5" xfId="4929"/>
    <cellStyle name="Normal 3 11 4 4" xfId="4930"/>
    <cellStyle name="Normal 3 11 4 4 2" xfId="4931"/>
    <cellStyle name="Normal 3 11 4 4 2 2" xfId="4932"/>
    <cellStyle name="Normal 3 11 4 4 3" xfId="4933"/>
    <cellStyle name="Normal 3 11 4 4 3 2" xfId="4934"/>
    <cellStyle name="Normal 3 11 4 4 4" xfId="4935"/>
    <cellStyle name="Normal 3 11 4 4 4 2" xfId="4936"/>
    <cellStyle name="Normal 3 11 4 4 5" xfId="4937"/>
    <cellStyle name="Normal 3 11 4 5" xfId="4938"/>
    <cellStyle name="Normal 3 11 4 5 2" xfId="4939"/>
    <cellStyle name="Normal 3 11 4 6" xfId="4940"/>
    <cellStyle name="Normal 3 11 4 6 2" xfId="4941"/>
    <cellStyle name="Normal 3 11 4 7" xfId="4942"/>
    <cellStyle name="Normal 3 11 4 7 2" xfId="4943"/>
    <cellStyle name="Normal 3 11 4 8" xfId="4944"/>
    <cellStyle name="Normal 3 11 5" xfId="4945"/>
    <cellStyle name="Normal 3 11 5 2" xfId="4946"/>
    <cellStyle name="Normal 3 11 5 2 2" xfId="4947"/>
    <cellStyle name="Normal 3 11 5 2 2 2" xfId="4948"/>
    <cellStyle name="Normal 3 11 5 2 2 2 2" xfId="4949"/>
    <cellStyle name="Normal 3 11 5 2 2 3" xfId="4950"/>
    <cellStyle name="Normal 3 11 5 2 2 3 2" xfId="4951"/>
    <cellStyle name="Normal 3 11 5 2 2 4" xfId="4952"/>
    <cellStyle name="Normal 3 11 5 2 2 4 2" xfId="4953"/>
    <cellStyle name="Normal 3 11 5 2 2 5" xfId="4954"/>
    <cellStyle name="Normal 3 11 5 2 3" xfId="4955"/>
    <cellStyle name="Normal 3 11 5 2 3 2" xfId="4956"/>
    <cellStyle name="Normal 3 11 5 2 3 2 2" xfId="4957"/>
    <cellStyle name="Normal 3 11 5 2 3 3" xfId="4958"/>
    <cellStyle name="Normal 3 11 5 2 3 3 2" xfId="4959"/>
    <cellStyle name="Normal 3 11 5 2 3 4" xfId="4960"/>
    <cellStyle name="Normal 3 11 5 2 3 4 2" xfId="4961"/>
    <cellStyle name="Normal 3 11 5 2 3 5" xfId="4962"/>
    <cellStyle name="Normal 3 11 5 2 4" xfId="4963"/>
    <cellStyle name="Normal 3 11 5 2 4 2" xfId="4964"/>
    <cellStyle name="Normal 3 11 5 2 5" xfId="4965"/>
    <cellStyle name="Normal 3 11 5 2 5 2" xfId="4966"/>
    <cellStyle name="Normal 3 11 5 2 6" xfId="4967"/>
    <cellStyle name="Normal 3 11 5 2 6 2" xfId="4968"/>
    <cellStyle name="Normal 3 11 5 2 7" xfId="4969"/>
    <cellStyle name="Normal 3 11 5 3" xfId="4970"/>
    <cellStyle name="Normal 3 11 5 3 2" xfId="4971"/>
    <cellStyle name="Normal 3 11 5 3 2 2" xfId="4972"/>
    <cellStyle name="Normal 3 11 5 3 3" xfId="4973"/>
    <cellStyle name="Normal 3 11 5 3 3 2" xfId="4974"/>
    <cellStyle name="Normal 3 11 5 3 4" xfId="4975"/>
    <cellStyle name="Normal 3 11 5 3 4 2" xfId="4976"/>
    <cellStyle name="Normal 3 11 5 3 5" xfId="4977"/>
    <cellStyle name="Normal 3 11 5 4" xfId="4978"/>
    <cellStyle name="Normal 3 11 5 4 2" xfId="4979"/>
    <cellStyle name="Normal 3 11 5 4 2 2" xfId="4980"/>
    <cellStyle name="Normal 3 11 5 4 3" xfId="4981"/>
    <cellStyle name="Normal 3 11 5 4 3 2" xfId="4982"/>
    <cellStyle name="Normal 3 11 5 4 4" xfId="4983"/>
    <cellStyle name="Normal 3 11 5 4 4 2" xfId="4984"/>
    <cellStyle name="Normal 3 11 5 4 5" xfId="4985"/>
    <cellStyle name="Normal 3 11 5 5" xfId="4986"/>
    <cellStyle name="Normal 3 11 5 5 2" xfId="4987"/>
    <cellStyle name="Normal 3 11 5 6" xfId="4988"/>
    <cellStyle name="Normal 3 11 5 6 2" xfId="4989"/>
    <cellStyle name="Normal 3 11 5 7" xfId="4990"/>
    <cellStyle name="Normal 3 11 5 7 2" xfId="4991"/>
    <cellStyle name="Normal 3 11 5 8" xfId="4992"/>
    <cellStyle name="Normal 3 11 6" xfId="4993"/>
    <cellStyle name="Normal 3 11 6 2" xfId="4994"/>
    <cellStyle name="Normal 3 11 6 2 2" xfId="4995"/>
    <cellStyle name="Normal 3 11 6 2 2 2" xfId="4996"/>
    <cellStyle name="Normal 3 11 6 2 2 2 2" xfId="4997"/>
    <cellStyle name="Normal 3 11 6 2 2 3" xfId="4998"/>
    <cellStyle name="Normal 3 11 6 2 2 3 2" xfId="4999"/>
    <cellStyle name="Normal 3 11 6 2 2 4" xfId="5000"/>
    <cellStyle name="Normal 3 11 6 2 2 4 2" xfId="5001"/>
    <cellStyle name="Normal 3 11 6 2 2 5" xfId="5002"/>
    <cellStyle name="Normal 3 11 6 2 3" xfId="5003"/>
    <cellStyle name="Normal 3 11 6 2 3 2" xfId="5004"/>
    <cellStyle name="Normal 3 11 6 2 3 2 2" xfId="5005"/>
    <cellStyle name="Normal 3 11 6 2 3 3" xfId="5006"/>
    <cellStyle name="Normal 3 11 6 2 3 3 2" xfId="5007"/>
    <cellStyle name="Normal 3 11 6 2 3 4" xfId="5008"/>
    <cellStyle name="Normal 3 11 6 2 3 4 2" xfId="5009"/>
    <cellStyle name="Normal 3 11 6 2 3 5" xfId="5010"/>
    <cellStyle name="Normal 3 11 6 2 4" xfId="5011"/>
    <cellStyle name="Normal 3 11 6 2 4 2" xfId="5012"/>
    <cellStyle name="Normal 3 11 6 2 5" xfId="5013"/>
    <cellStyle name="Normal 3 11 6 2 5 2" xfId="5014"/>
    <cellStyle name="Normal 3 11 6 2 6" xfId="5015"/>
    <cellStyle name="Normal 3 11 6 2 6 2" xfId="5016"/>
    <cellStyle name="Normal 3 11 6 2 7" xfId="5017"/>
    <cellStyle name="Normal 3 11 6 3" xfId="5018"/>
    <cellStyle name="Normal 3 11 6 3 2" xfId="5019"/>
    <cellStyle name="Normal 3 11 6 3 2 2" xfId="5020"/>
    <cellStyle name="Normal 3 11 6 3 3" xfId="5021"/>
    <cellStyle name="Normal 3 11 6 3 3 2" xfId="5022"/>
    <cellStyle name="Normal 3 11 6 3 4" xfId="5023"/>
    <cellStyle name="Normal 3 11 6 3 4 2" xfId="5024"/>
    <cellStyle name="Normal 3 11 6 3 5" xfId="5025"/>
    <cellStyle name="Normal 3 11 6 4" xfId="5026"/>
    <cellStyle name="Normal 3 11 6 4 2" xfId="5027"/>
    <cellStyle name="Normal 3 11 6 4 2 2" xfId="5028"/>
    <cellStyle name="Normal 3 11 6 4 3" xfId="5029"/>
    <cellStyle name="Normal 3 11 6 4 3 2" xfId="5030"/>
    <cellStyle name="Normal 3 11 6 4 4" xfId="5031"/>
    <cellStyle name="Normal 3 11 6 4 4 2" xfId="5032"/>
    <cellStyle name="Normal 3 11 6 4 5" xfId="5033"/>
    <cellStyle name="Normal 3 11 6 5" xfId="5034"/>
    <cellStyle name="Normal 3 11 6 5 2" xfId="5035"/>
    <cellStyle name="Normal 3 11 6 6" xfId="5036"/>
    <cellStyle name="Normal 3 11 6 6 2" xfId="5037"/>
    <cellStyle name="Normal 3 11 6 7" xfId="5038"/>
    <cellStyle name="Normal 3 11 6 7 2" xfId="5039"/>
    <cellStyle name="Normal 3 11 6 8" xfId="5040"/>
    <cellStyle name="Normal 3 11 7" xfId="5041"/>
    <cellStyle name="Normal 3 11 7 2" xfId="5042"/>
    <cellStyle name="Normal 3 11 7 2 2" xfId="5043"/>
    <cellStyle name="Normal 3 11 7 2 2 2" xfId="5044"/>
    <cellStyle name="Normal 3 11 7 2 2 2 2" xfId="5045"/>
    <cellStyle name="Normal 3 11 7 2 2 3" xfId="5046"/>
    <cellStyle name="Normal 3 11 7 2 2 3 2" xfId="5047"/>
    <cellStyle name="Normal 3 11 7 2 2 4" xfId="5048"/>
    <cellStyle name="Normal 3 11 7 2 2 4 2" xfId="5049"/>
    <cellStyle name="Normal 3 11 7 2 2 5" xfId="5050"/>
    <cellStyle name="Normal 3 11 7 2 3" xfId="5051"/>
    <cellStyle name="Normal 3 11 7 2 3 2" xfId="5052"/>
    <cellStyle name="Normal 3 11 7 2 3 2 2" xfId="5053"/>
    <cellStyle name="Normal 3 11 7 2 3 3" xfId="5054"/>
    <cellStyle name="Normal 3 11 7 2 3 3 2" xfId="5055"/>
    <cellStyle name="Normal 3 11 7 2 3 4" xfId="5056"/>
    <cellStyle name="Normal 3 11 7 2 3 4 2" xfId="5057"/>
    <cellStyle name="Normal 3 11 7 2 3 5" xfId="5058"/>
    <cellStyle name="Normal 3 11 7 2 4" xfId="5059"/>
    <cellStyle name="Normal 3 11 7 2 4 2" xfId="5060"/>
    <cellStyle name="Normal 3 11 7 2 5" xfId="5061"/>
    <cellStyle name="Normal 3 11 7 2 5 2" xfId="5062"/>
    <cellStyle name="Normal 3 11 7 2 6" xfId="5063"/>
    <cellStyle name="Normal 3 11 7 2 6 2" xfId="5064"/>
    <cellStyle name="Normal 3 11 7 2 7" xfId="5065"/>
    <cellStyle name="Normal 3 11 7 3" xfId="5066"/>
    <cellStyle name="Normal 3 11 7 3 2" xfId="5067"/>
    <cellStyle name="Normal 3 11 7 3 2 2" xfId="5068"/>
    <cellStyle name="Normal 3 11 7 3 3" xfId="5069"/>
    <cellStyle name="Normal 3 11 7 3 3 2" xfId="5070"/>
    <cellStyle name="Normal 3 11 7 3 4" xfId="5071"/>
    <cellStyle name="Normal 3 11 7 3 4 2" xfId="5072"/>
    <cellStyle name="Normal 3 11 7 3 5" xfId="5073"/>
    <cellStyle name="Normal 3 11 7 4" xfId="5074"/>
    <cellStyle name="Normal 3 11 7 4 2" xfId="5075"/>
    <cellStyle name="Normal 3 11 7 4 2 2" xfId="5076"/>
    <cellStyle name="Normal 3 11 7 4 3" xfId="5077"/>
    <cellStyle name="Normal 3 11 7 4 3 2" xfId="5078"/>
    <cellStyle name="Normal 3 11 7 4 4" xfId="5079"/>
    <cellStyle name="Normal 3 11 7 4 4 2" xfId="5080"/>
    <cellStyle name="Normal 3 11 7 4 5" xfId="5081"/>
    <cellStyle name="Normal 3 11 7 5" xfId="5082"/>
    <cellStyle name="Normal 3 11 7 5 2" xfId="5083"/>
    <cellStyle name="Normal 3 11 7 6" xfId="5084"/>
    <cellStyle name="Normal 3 11 7 6 2" xfId="5085"/>
    <cellStyle name="Normal 3 11 7 7" xfId="5086"/>
    <cellStyle name="Normal 3 11 7 7 2" xfId="5087"/>
    <cellStyle name="Normal 3 11 7 8" xfId="5088"/>
    <cellStyle name="Normal 3 11 8" xfId="5089"/>
    <cellStyle name="Normal 3 11 8 2" xfId="5090"/>
    <cellStyle name="Normal 3 11 8 2 2" xfId="5091"/>
    <cellStyle name="Normal 3 11 8 2 2 2" xfId="5092"/>
    <cellStyle name="Normal 3 11 8 2 3" xfId="5093"/>
    <cellStyle name="Normal 3 11 8 2 3 2" xfId="5094"/>
    <cellStyle name="Normal 3 11 8 2 4" xfId="5095"/>
    <cellStyle name="Normal 3 11 8 2 4 2" xfId="5096"/>
    <cellStyle name="Normal 3 11 8 2 5" xfId="5097"/>
    <cellStyle name="Normal 3 11 8 3" xfId="5098"/>
    <cellStyle name="Normal 3 11 8 3 2" xfId="5099"/>
    <cellStyle name="Normal 3 11 8 3 2 2" xfId="5100"/>
    <cellStyle name="Normal 3 11 8 3 3" xfId="5101"/>
    <cellStyle name="Normal 3 11 8 3 3 2" xfId="5102"/>
    <cellStyle name="Normal 3 11 8 3 4" xfId="5103"/>
    <cellStyle name="Normal 3 11 8 3 4 2" xfId="5104"/>
    <cellStyle name="Normal 3 11 8 3 5" xfId="5105"/>
    <cellStyle name="Normal 3 11 8 4" xfId="5106"/>
    <cellStyle name="Normal 3 11 8 4 2" xfId="5107"/>
    <cellStyle name="Normal 3 11 8 5" xfId="5108"/>
    <cellStyle name="Normal 3 11 8 5 2" xfId="5109"/>
    <cellStyle name="Normal 3 11 8 6" xfId="5110"/>
    <cellStyle name="Normal 3 11 8 6 2" xfId="5111"/>
    <cellStyle name="Normal 3 11 8 7" xfId="5112"/>
    <cellStyle name="Normal 3 11 9" xfId="5113"/>
    <cellStyle name="Normal 3 11 9 2" xfId="5114"/>
    <cellStyle name="Normal 3 11 9 2 2" xfId="5115"/>
    <cellStyle name="Normal 3 11 9 3" xfId="5116"/>
    <cellStyle name="Normal 3 11 9 3 2" xfId="5117"/>
    <cellStyle name="Normal 3 11 9 4" xfId="5118"/>
    <cellStyle name="Normal 3 11 9 4 2" xfId="5119"/>
    <cellStyle name="Normal 3 11 9 5" xfId="5120"/>
    <cellStyle name="Normal 3 11_Input" xfId="2023"/>
    <cellStyle name="Normal 3 12" xfId="1410"/>
    <cellStyle name="Normal 3 12 10" xfId="5121"/>
    <cellStyle name="Normal 3 12 10 2" xfId="5122"/>
    <cellStyle name="Normal 3 12 10 2 2" xfId="5123"/>
    <cellStyle name="Normal 3 12 10 3" xfId="5124"/>
    <cellStyle name="Normal 3 12 10 3 2" xfId="5125"/>
    <cellStyle name="Normal 3 12 10 4" xfId="5126"/>
    <cellStyle name="Normal 3 12 10 4 2" xfId="5127"/>
    <cellStyle name="Normal 3 12 10 5" xfId="5128"/>
    <cellStyle name="Normal 3 12 11" xfId="5129"/>
    <cellStyle name="Normal 3 12 11 2" xfId="5130"/>
    <cellStyle name="Normal 3 12 12" xfId="5131"/>
    <cellStyle name="Normal 3 12 12 2" xfId="5132"/>
    <cellStyle name="Normal 3 12 13" xfId="5133"/>
    <cellStyle name="Normal 3 12 13 2" xfId="5134"/>
    <cellStyle name="Normal 3 12 14" xfId="5135"/>
    <cellStyle name="Normal 3 12 2" xfId="2010"/>
    <cellStyle name="Normal 3 12 2 10" xfId="5136"/>
    <cellStyle name="Normal 3 12 2 10 2" xfId="5137"/>
    <cellStyle name="Normal 3 12 2 11" xfId="5138"/>
    <cellStyle name="Normal 3 12 2 11 2" xfId="5139"/>
    <cellStyle name="Normal 3 12 2 12" xfId="5140"/>
    <cellStyle name="Normal 3 12 2 12 2" xfId="5141"/>
    <cellStyle name="Normal 3 12 2 13" xfId="5142"/>
    <cellStyle name="Normal 3 12 2 2" xfId="5143"/>
    <cellStyle name="Normal 3 12 2 2 2" xfId="5144"/>
    <cellStyle name="Normal 3 12 2 2 2 2" xfId="5145"/>
    <cellStyle name="Normal 3 12 2 2 2 2 2" xfId="5146"/>
    <cellStyle name="Normal 3 12 2 2 2 2 2 2" xfId="5147"/>
    <cellStyle name="Normal 3 12 2 2 2 2 3" xfId="5148"/>
    <cellStyle name="Normal 3 12 2 2 2 2 3 2" xfId="5149"/>
    <cellStyle name="Normal 3 12 2 2 2 2 4" xfId="5150"/>
    <cellStyle name="Normal 3 12 2 2 2 2 4 2" xfId="5151"/>
    <cellStyle name="Normal 3 12 2 2 2 2 5" xfId="5152"/>
    <cellStyle name="Normal 3 12 2 2 2 3" xfId="5153"/>
    <cellStyle name="Normal 3 12 2 2 2 3 2" xfId="5154"/>
    <cellStyle name="Normal 3 12 2 2 2 3 2 2" xfId="5155"/>
    <cellStyle name="Normal 3 12 2 2 2 3 3" xfId="5156"/>
    <cellStyle name="Normal 3 12 2 2 2 3 3 2" xfId="5157"/>
    <cellStyle name="Normal 3 12 2 2 2 3 4" xfId="5158"/>
    <cellStyle name="Normal 3 12 2 2 2 3 4 2" xfId="5159"/>
    <cellStyle name="Normal 3 12 2 2 2 3 5" xfId="5160"/>
    <cellStyle name="Normal 3 12 2 2 2 4" xfId="5161"/>
    <cellStyle name="Normal 3 12 2 2 2 4 2" xfId="5162"/>
    <cellStyle name="Normal 3 12 2 2 2 5" xfId="5163"/>
    <cellStyle name="Normal 3 12 2 2 2 5 2" xfId="5164"/>
    <cellStyle name="Normal 3 12 2 2 2 6" xfId="5165"/>
    <cellStyle name="Normal 3 12 2 2 2 6 2" xfId="5166"/>
    <cellStyle name="Normal 3 12 2 2 2 7" xfId="5167"/>
    <cellStyle name="Normal 3 12 2 2 3" xfId="5168"/>
    <cellStyle name="Normal 3 12 2 2 3 2" xfId="5169"/>
    <cellStyle name="Normal 3 12 2 2 3 2 2" xfId="5170"/>
    <cellStyle name="Normal 3 12 2 2 3 3" xfId="5171"/>
    <cellStyle name="Normal 3 12 2 2 3 3 2" xfId="5172"/>
    <cellStyle name="Normal 3 12 2 2 3 4" xfId="5173"/>
    <cellStyle name="Normal 3 12 2 2 3 4 2" xfId="5174"/>
    <cellStyle name="Normal 3 12 2 2 3 5" xfId="5175"/>
    <cellStyle name="Normal 3 12 2 2 4" xfId="5176"/>
    <cellStyle name="Normal 3 12 2 2 4 2" xfId="5177"/>
    <cellStyle name="Normal 3 12 2 2 4 2 2" xfId="5178"/>
    <cellStyle name="Normal 3 12 2 2 4 3" xfId="5179"/>
    <cellStyle name="Normal 3 12 2 2 4 3 2" xfId="5180"/>
    <cellStyle name="Normal 3 12 2 2 4 4" xfId="5181"/>
    <cellStyle name="Normal 3 12 2 2 4 4 2" xfId="5182"/>
    <cellStyle name="Normal 3 12 2 2 4 5" xfId="5183"/>
    <cellStyle name="Normal 3 12 2 2 5" xfId="5184"/>
    <cellStyle name="Normal 3 12 2 2 5 2" xfId="5185"/>
    <cellStyle name="Normal 3 12 2 2 6" xfId="5186"/>
    <cellStyle name="Normal 3 12 2 2 6 2" xfId="5187"/>
    <cellStyle name="Normal 3 12 2 2 7" xfId="5188"/>
    <cellStyle name="Normal 3 12 2 2 7 2" xfId="5189"/>
    <cellStyle name="Normal 3 12 2 2 8" xfId="5190"/>
    <cellStyle name="Normal 3 12 2 3" xfId="5191"/>
    <cellStyle name="Normal 3 12 2 3 2" xfId="5192"/>
    <cellStyle name="Normal 3 12 2 3 2 2" xfId="5193"/>
    <cellStyle name="Normal 3 12 2 3 2 2 2" xfId="5194"/>
    <cellStyle name="Normal 3 12 2 3 2 2 2 2" xfId="5195"/>
    <cellStyle name="Normal 3 12 2 3 2 2 3" xfId="5196"/>
    <cellStyle name="Normal 3 12 2 3 2 2 3 2" xfId="5197"/>
    <cellStyle name="Normal 3 12 2 3 2 2 4" xfId="5198"/>
    <cellStyle name="Normal 3 12 2 3 2 2 4 2" xfId="5199"/>
    <cellStyle name="Normal 3 12 2 3 2 2 5" xfId="5200"/>
    <cellStyle name="Normal 3 12 2 3 2 3" xfId="5201"/>
    <cellStyle name="Normal 3 12 2 3 2 3 2" xfId="5202"/>
    <cellStyle name="Normal 3 12 2 3 2 3 2 2" xfId="5203"/>
    <cellStyle name="Normal 3 12 2 3 2 3 3" xfId="5204"/>
    <cellStyle name="Normal 3 12 2 3 2 3 3 2" xfId="5205"/>
    <cellStyle name="Normal 3 12 2 3 2 3 4" xfId="5206"/>
    <cellStyle name="Normal 3 12 2 3 2 3 4 2" xfId="5207"/>
    <cellStyle name="Normal 3 12 2 3 2 3 5" xfId="5208"/>
    <cellStyle name="Normal 3 12 2 3 2 4" xfId="5209"/>
    <cellStyle name="Normal 3 12 2 3 2 4 2" xfId="5210"/>
    <cellStyle name="Normal 3 12 2 3 2 5" xfId="5211"/>
    <cellStyle name="Normal 3 12 2 3 2 5 2" xfId="5212"/>
    <cellStyle name="Normal 3 12 2 3 2 6" xfId="5213"/>
    <cellStyle name="Normal 3 12 2 3 2 6 2" xfId="5214"/>
    <cellStyle name="Normal 3 12 2 3 2 7" xfId="5215"/>
    <cellStyle name="Normal 3 12 2 3 3" xfId="5216"/>
    <cellStyle name="Normal 3 12 2 3 3 2" xfId="5217"/>
    <cellStyle name="Normal 3 12 2 3 3 2 2" xfId="5218"/>
    <cellStyle name="Normal 3 12 2 3 3 3" xfId="5219"/>
    <cellStyle name="Normal 3 12 2 3 3 3 2" xfId="5220"/>
    <cellStyle name="Normal 3 12 2 3 3 4" xfId="5221"/>
    <cellStyle name="Normal 3 12 2 3 3 4 2" xfId="5222"/>
    <cellStyle name="Normal 3 12 2 3 3 5" xfId="5223"/>
    <cellStyle name="Normal 3 12 2 3 4" xfId="5224"/>
    <cellStyle name="Normal 3 12 2 3 4 2" xfId="5225"/>
    <cellStyle name="Normal 3 12 2 3 4 2 2" xfId="5226"/>
    <cellStyle name="Normal 3 12 2 3 4 3" xfId="5227"/>
    <cellStyle name="Normal 3 12 2 3 4 3 2" xfId="5228"/>
    <cellStyle name="Normal 3 12 2 3 4 4" xfId="5229"/>
    <cellStyle name="Normal 3 12 2 3 4 4 2" xfId="5230"/>
    <cellStyle name="Normal 3 12 2 3 4 5" xfId="5231"/>
    <cellStyle name="Normal 3 12 2 3 5" xfId="5232"/>
    <cellStyle name="Normal 3 12 2 3 5 2" xfId="5233"/>
    <cellStyle name="Normal 3 12 2 3 6" xfId="5234"/>
    <cellStyle name="Normal 3 12 2 3 6 2" xfId="5235"/>
    <cellStyle name="Normal 3 12 2 3 7" xfId="5236"/>
    <cellStyle name="Normal 3 12 2 3 7 2" xfId="5237"/>
    <cellStyle name="Normal 3 12 2 3 8" xfId="5238"/>
    <cellStyle name="Normal 3 12 2 4" xfId="5239"/>
    <cellStyle name="Normal 3 12 2 4 2" xfId="5240"/>
    <cellStyle name="Normal 3 12 2 4 2 2" xfId="5241"/>
    <cellStyle name="Normal 3 12 2 4 2 2 2" xfId="5242"/>
    <cellStyle name="Normal 3 12 2 4 2 2 2 2" xfId="5243"/>
    <cellStyle name="Normal 3 12 2 4 2 2 3" xfId="5244"/>
    <cellStyle name="Normal 3 12 2 4 2 2 3 2" xfId="5245"/>
    <cellStyle name="Normal 3 12 2 4 2 2 4" xfId="5246"/>
    <cellStyle name="Normal 3 12 2 4 2 2 4 2" xfId="5247"/>
    <cellStyle name="Normal 3 12 2 4 2 2 5" xfId="5248"/>
    <cellStyle name="Normal 3 12 2 4 2 3" xfId="5249"/>
    <cellStyle name="Normal 3 12 2 4 2 3 2" xfId="5250"/>
    <cellStyle name="Normal 3 12 2 4 2 3 2 2" xfId="5251"/>
    <cellStyle name="Normal 3 12 2 4 2 3 3" xfId="5252"/>
    <cellStyle name="Normal 3 12 2 4 2 3 3 2" xfId="5253"/>
    <cellStyle name="Normal 3 12 2 4 2 3 4" xfId="5254"/>
    <cellStyle name="Normal 3 12 2 4 2 3 4 2" xfId="5255"/>
    <cellStyle name="Normal 3 12 2 4 2 3 5" xfId="5256"/>
    <cellStyle name="Normal 3 12 2 4 2 4" xfId="5257"/>
    <cellStyle name="Normal 3 12 2 4 2 4 2" xfId="5258"/>
    <cellStyle name="Normal 3 12 2 4 2 5" xfId="5259"/>
    <cellStyle name="Normal 3 12 2 4 2 5 2" xfId="5260"/>
    <cellStyle name="Normal 3 12 2 4 2 6" xfId="5261"/>
    <cellStyle name="Normal 3 12 2 4 2 6 2" xfId="5262"/>
    <cellStyle name="Normal 3 12 2 4 2 7" xfId="5263"/>
    <cellStyle name="Normal 3 12 2 4 3" xfId="5264"/>
    <cellStyle name="Normal 3 12 2 4 3 2" xfId="5265"/>
    <cellStyle name="Normal 3 12 2 4 3 2 2" xfId="5266"/>
    <cellStyle name="Normal 3 12 2 4 3 3" xfId="5267"/>
    <cellStyle name="Normal 3 12 2 4 3 3 2" xfId="5268"/>
    <cellStyle name="Normal 3 12 2 4 3 4" xfId="5269"/>
    <cellStyle name="Normal 3 12 2 4 3 4 2" xfId="5270"/>
    <cellStyle name="Normal 3 12 2 4 3 5" xfId="5271"/>
    <cellStyle name="Normal 3 12 2 4 4" xfId="5272"/>
    <cellStyle name="Normal 3 12 2 4 4 2" xfId="5273"/>
    <cellStyle name="Normal 3 12 2 4 4 2 2" xfId="5274"/>
    <cellStyle name="Normal 3 12 2 4 4 3" xfId="5275"/>
    <cellStyle name="Normal 3 12 2 4 4 3 2" xfId="5276"/>
    <cellStyle name="Normal 3 12 2 4 4 4" xfId="5277"/>
    <cellStyle name="Normal 3 12 2 4 4 4 2" xfId="5278"/>
    <cellStyle name="Normal 3 12 2 4 4 5" xfId="5279"/>
    <cellStyle name="Normal 3 12 2 4 5" xfId="5280"/>
    <cellStyle name="Normal 3 12 2 4 5 2" xfId="5281"/>
    <cellStyle name="Normal 3 12 2 4 6" xfId="5282"/>
    <cellStyle name="Normal 3 12 2 4 6 2" xfId="5283"/>
    <cellStyle name="Normal 3 12 2 4 7" xfId="5284"/>
    <cellStyle name="Normal 3 12 2 4 7 2" xfId="5285"/>
    <cellStyle name="Normal 3 12 2 4 8" xfId="5286"/>
    <cellStyle name="Normal 3 12 2 5" xfId="5287"/>
    <cellStyle name="Normal 3 12 2 5 2" xfId="5288"/>
    <cellStyle name="Normal 3 12 2 5 2 2" xfId="5289"/>
    <cellStyle name="Normal 3 12 2 5 2 2 2" xfId="5290"/>
    <cellStyle name="Normal 3 12 2 5 2 2 2 2" xfId="5291"/>
    <cellStyle name="Normal 3 12 2 5 2 2 3" xfId="5292"/>
    <cellStyle name="Normal 3 12 2 5 2 2 3 2" xfId="5293"/>
    <cellStyle name="Normal 3 12 2 5 2 2 4" xfId="5294"/>
    <cellStyle name="Normal 3 12 2 5 2 2 4 2" xfId="5295"/>
    <cellStyle name="Normal 3 12 2 5 2 2 5" xfId="5296"/>
    <cellStyle name="Normal 3 12 2 5 2 3" xfId="5297"/>
    <cellStyle name="Normal 3 12 2 5 2 3 2" xfId="5298"/>
    <cellStyle name="Normal 3 12 2 5 2 3 2 2" xfId="5299"/>
    <cellStyle name="Normal 3 12 2 5 2 3 3" xfId="5300"/>
    <cellStyle name="Normal 3 12 2 5 2 3 3 2" xfId="5301"/>
    <cellStyle name="Normal 3 12 2 5 2 3 4" xfId="5302"/>
    <cellStyle name="Normal 3 12 2 5 2 3 4 2" xfId="5303"/>
    <cellStyle name="Normal 3 12 2 5 2 3 5" xfId="5304"/>
    <cellStyle name="Normal 3 12 2 5 2 4" xfId="5305"/>
    <cellStyle name="Normal 3 12 2 5 2 4 2" xfId="5306"/>
    <cellStyle name="Normal 3 12 2 5 2 5" xfId="5307"/>
    <cellStyle name="Normal 3 12 2 5 2 5 2" xfId="5308"/>
    <cellStyle name="Normal 3 12 2 5 2 6" xfId="5309"/>
    <cellStyle name="Normal 3 12 2 5 2 6 2" xfId="5310"/>
    <cellStyle name="Normal 3 12 2 5 2 7" xfId="5311"/>
    <cellStyle name="Normal 3 12 2 5 3" xfId="5312"/>
    <cellStyle name="Normal 3 12 2 5 3 2" xfId="5313"/>
    <cellStyle name="Normal 3 12 2 5 3 2 2" xfId="5314"/>
    <cellStyle name="Normal 3 12 2 5 3 3" xfId="5315"/>
    <cellStyle name="Normal 3 12 2 5 3 3 2" xfId="5316"/>
    <cellStyle name="Normal 3 12 2 5 3 4" xfId="5317"/>
    <cellStyle name="Normal 3 12 2 5 3 4 2" xfId="5318"/>
    <cellStyle name="Normal 3 12 2 5 3 5" xfId="5319"/>
    <cellStyle name="Normal 3 12 2 5 4" xfId="5320"/>
    <cellStyle name="Normal 3 12 2 5 4 2" xfId="5321"/>
    <cellStyle name="Normal 3 12 2 5 4 2 2" xfId="5322"/>
    <cellStyle name="Normal 3 12 2 5 4 3" xfId="5323"/>
    <cellStyle name="Normal 3 12 2 5 4 3 2" xfId="5324"/>
    <cellStyle name="Normal 3 12 2 5 4 4" xfId="5325"/>
    <cellStyle name="Normal 3 12 2 5 4 4 2" xfId="5326"/>
    <cellStyle name="Normal 3 12 2 5 4 5" xfId="5327"/>
    <cellStyle name="Normal 3 12 2 5 5" xfId="5328"/>
    <cellStyle name="Normal 3 12 2 5 5 2" xfId="5329"/>
    <cellStyle name="Normal 3 12 2 5 6" xfId="5330"/>
    <cellStyle name="Normal 3 12 2 5 6 2" xfId="5331"/>
    <cellStyle name="Normal 3 12 2 5 7" xfId="5332"/>
    <cellStyle name="Normal 3 12 2 5 7 2" xfId="5333"/>
    <cellStyle name="Normal 3 12 2 5 8" xfId="5334"/>
    <cellStyle name="Normal 3 12 2 6" xfId="5335"/>
    <cellStyle name="Normal 3 12 2 6 2" xfId="5336"/>
    <cellStyle name="Normal 3 12 2 6 2 2" xfId="5337"/>
    <cellStyle name="Normal 3 12 2 6 2 2 2" xfId="5338"/>
    <cellStyle name="Normal 3 12 2 6 2 2 2 2" xfId="5339"/>
    <cellStyle name="Normal 3 12 2 6 2 2 3" xfId="5340"/>
    <cellStyle name="Normal 3 12 2 6 2 2 3 2" xfId="5341"/>
    <cellStyle name="Normal 3 12 2 6 2 2 4" xfId="5342"/>
    <cellStyle name="Normal 3 12 2 6 2 2 4 2" xfId="5343"/>
    <cellStyle name="Normal 3 12 2 6 2 2 5" xfId="5344"/>
    <cellStyle name="Normal 3 12 2 6 2 3" xfId="5345"/>
    <cellStyle name="Normal 3 12 2 6 2 3 2" xfId="5346"/>
    <cellStyle name="Normal 3 12 2 6 2 3 2 2" xfId="5347"/>
    <cellStyle name="Normal 3 12 2 6 2 3 3" xfId="5348"/>
    <cellStyle name="Normal 3 12 2 6 2 3 3 2" xfId="5349"/>
    <cellStyle name="Normal 3 12 2 6 2 3 4" xfId="5350"/>
    <cellStyle name="Normal 3 12 2 6 2 3 4 2" xfId="5351"/>
    <cellStyle name="Normal 3 12 2 6 2 3 5" xfId="5352"/>
    <cellStyle name="Normal 3 12 2 6 2 4" xfId="5353"/>
    <cellStyle name="Normal 3 12 2 6 2 4 2" xfId="5354"/>
    <cellStyle name="Normal 3 12 2 6 2 5" xfId="5355"/>
    <cellStyle name="Normal 3 12 2 6 2 5 2" xfId="5356"/>
    <cellStyle name="Normal 3 12 2 6 2 6" xfId="5357"/>
    <cellStyle name="Normal 3 12 2 6 2 6 2" xfId="5358"/>
    <cellStyle name="Normal 3 12 2 6 2 7" xfId="5359"/>
    <cellStyle name="Normal 3 12 2 6 3" xfId="5360"/>
    <cellStyle name="Normal 3 12 2 6 3 2" xfId="5361"/>
    <cellStyle name="Normal 3 12 2 6 3 2 2" xfId="5362"/>
    <cellStyle name="Normal 3 12 2 6 3 3" xfId="5363"/>
    <cellStyle name="Normal 3 12 2 6 3 3 2" xfId="5364"/>
    <cellStyle name="Normal 3 12 2 6 3 4" xfId="5365"/>
    <cellStyle name="Normal 3 12 2 6 3 4 2" xfId="5366"/>
    <cellStyle name="Normal 3 12 2 6 3 5" xfId="5367"/>
    <cellStyle name="Normal 3 12 2 6 4" xfId="5368"/>
    <cellStyle name="Normal 3 12 2 6 4 2" xfId="5369"/>
    <cellStyle name="Normal 3 12 2 6 4 2 2" xfId="5370"/>
    <cellStyle name="Normal 3 12 2 6 4 3" xfId="5371"/>
    <cellStyle name="Normal 3 12 2 6 4 3 2" xfId="5372"/>
    <cellStyle name="Normal 3 12 2 6 4 4" xfId="5373"/>
    <cellStyle name="Normal 3 12 2 6 4 4 2" xfId="5374"/>
    <cellStyle name="Normal 3 12 2 6 4 5" xfId="5375"/>
    <cellStyle name="Normal 3 12 2 6 5" xfId="5376"/>
    <cellStyle name="Normal 3 12 2 6 5 2" xfId="5377"/>
    <cellStyle name="Normal 3 12 2 6 6" xfId="5378"/>
    <cellStyle name="Normal 3 12 2 6 6 2" xfId="5379"/>
    <cellStyle name="Normal 3 12 2 6 7" xfId="5380"/>
    <cellStyle name="Normal 3 12 2 6 7 2" xfId="5381"/>
    <cellStyle name="Normal 3 12 2 6 8" xfId="5382"/>
    <cellStyle name="Normal 3 12 2 7" xfId="5383"/>
    <cellStyle name="Normal 3 12 2 7 2" xfId="5384"/>
    <cellStyle name="Normal 3 12 2 7 2 2" xfId="5385"/>
    <cellStyle name="Normal 3 12 2 7 2 2 2" xfId="5386"/>
    <cellStyle name="Normal 3 12 2 7 2 3" xfId="5387"/>
    <cellStyle name="Normal 3 12 2 7 2 3 2" xfId="5388"/>
    <cellStyle name="Normal 3 12 2 7 2 4" xfId="5389"/>
    <cellStyle name="Normal 3 12 2 7 2 4 2" xfId="5390"/>
    <cellStyle name="Normal 3 12 2 7 2 5" xfId="5391"/>
    <cellStyle name="Normal 3 12 2 7 3" xfId="5392"/>
    <cellStyle name="Normal 3 12 2 7 3 2" xfId="5393"/>
    <cellStyle name="Normal 3 12 2 7 3 2 2" xfId="5394"/>
    <cellStyle name="Normal 3 12 2 7 3 3" xfId="5395"/>
    <cellStyle name="Normal 3 12 2 7 3 3 2" xfId="5396"/>
    <cellStyle name="Normal 3 12 2 7 3 4" xfId="5397"/>
    <cellStyle name="Normal 3 12 2 7 3 4 2" xfId="5398"/>
    <cellStyle name="Normal 3 12 2 7 3 5" xfId="5399"/>
    <cellStyle name="Normal 3 12 2 7 4" xfId="5400"/>
    <cellStyle name="Normal 3 12 2 7 4 2" xfId="5401"/>
    <cellStyle name="Normal 3 12 2 7 5" xfId="5402"/>
    <cellStyle name="Normal 3 12 2 7 5 2" xfId="5403"/>
    <cellStyle name="Normal 3 12 2 7 6" xfId="5404"/>
    <cellStyle name="Normal 3 12 2 7 6 2" xfId="5405"/>
    <cellStyle name="Normal 3 12 2 7 7" xfId="5406"/>
    <cellStyle name="Normal 3 12 2 8" xfId="5407"/>
    <cellStyle name="Normal 3 12 2 8 2" xfId="5408"/>
    <cellStyle name="Normal 3 12 2 8 2 2" xfId="5409"/>
    <cellStyle name="Normal 3 12 2 8 3" xfId="5410"/>
    <cellStyle name="Normal 3 12 2 8 3 2" xfId="5411"/>
    <cellStyle name="Normal 3 12 2 8 4" xfId="5412"/>
    <cellStyle name="Normal 3 12 2 8 4 2" xfId="5413"/>
    <cellStyle name="Normal 3 12 2 8 5" xfId="5414"/>
    <cellStyle name="Normal 3 12 2 9" xfId="5415"/>
    <cellStyle name="Normal 3 12 2 9 2" xfId="5416"/>
    <cellStyle name="Normal 3 12 2 9 2 2" xfId="5417"/>
    <cellStyle name="Normal 3 12 2 9 3" xfId="5418"/>
    <cellStyle name="Normal 3 12 2 9 3 2" xfId="5419"/>
    <cellStyle name="Normal 3 12 2 9 4" xfId="5420"/>
    <cellStyle name="Normal 3 12 2 9 4 2" xfId="5421"/>
    <cellStyle name="Normal 3 12 2 9 5" xfId="5422"/>
    <cellStyle name="Normal 3 12 3" xfId="5423"/>
    <cellStyle name="Normal 3 12 3 2" xfId="5424"/>
    <cellStyle name="Normal 3 12 3 2 2" xfId="5425"/>
    <cellStyle name="Normal 3 12 3 2 2 2" xfId="5426"/>
    <cellStyle name="Normal 3 12 3 2 2 2 2" xfId="5427"/>
    <cellStyle name="Normal 3 12 3 2 2 3" xfId="5428"/>
    <cellStyle name="Normal 3 12 3 2 2 3 2" xfId="5429"/>
    <cellStyle name="Normal 3 12 3 2 2 4" xfId="5430"/>
    <cellStyle name="Normal 3 12 3 2 2 4 2" xfId="5431"/>
    <cellStyle name="Normal 3 12 3 2 2 5" xfId="5432"/>
    <cellStyle name="Normal 3 12 3 2 3" xfId="5433"/>
    <cellStyle name="Normal 3 12 3 2 3 2" xfId="5434"/>
    <cellStyle name="Normal 3 12 3 2 3 2 2" xfId="5435"/>
    <cellStyle name="Normal 3 12 3 2 3 3" xfId="5436"/>
    <cellStyle name="Normal 3 12 3 2 3 3 2" xfId="5437"/>
    <cellStyle name="Normal 3 12 3 2 3 4" xfId="5438"/>
    <cellStyle name="Normal 3 12 3 2 3 4 2" xfId="5439"/>
    <cellStyle name="Normal 3 12 3 2 3 5" xfId="5440"/>
    <cellStyle name="Normal 3 12 3 2 4" xfId="5441"/>
    <cellStyle name="Normal 3 12 3 2 4 2" xfId="5442"/>
    <cellStyle name="Normal 3 12 3 2 5" xfId="5443"/>
    <cellStyle name="Normal 3 12 3 2 5 2" xfId="5444"/>
    <cellStyle name="Normal 3 12 3 2 6" xfId="5445"/>
    <cellStyle name="Normal 3 12 3 2 6 2" xfId="5446"/>
    <cellStyle name="Normal 3 12 3 2 7" xfId="5447"/>
    <cellStyle name="Normal 3 12 3 3" xfId="5448"/>
    <cellStyle name="Normal 3 12 3 3 2" xfId="5449"/>
    <cellStyle name="Normal 3 12 3 3 2 2" xfId="5450"/>
    <cellStyle name="Normal 3 12 3 3 3" xfId="5451"/>
    <cellStyle name="Normal 3 12 3 3 3 2" xfId="5452"/>
    <cellStyle name="Normal 3 12 3 3 4" xfId="5453"/>
    <cellStyle name="Normal 3 12 3 3 4 2" xfId="5454"/>
    <cellStyle name="Normal 3 12 3 3 5" xfId="5455"/>
    <cellStyle name="Normal 3 12 3 4" xfId="5456"/>
    <cellStyle name="Normal 3 12 3 4 2" xfId="5457"/>
    <cellStyle name="Normal 3 12 3 4 2 2" xfId="5458"/>
    <cellStyle name="Normal 3 12 3 4 3" xfId="5459"/>
    <cellStyle name="Normal 3 12 3 4 3 2" xfId="5460"/>
    <cellStyle name="Normal 3 12 3 4 4" xfId="5461"/>
    <cellStyle name="Normal 3 12 3 4 4 2" xfId="5462"/>
    <cellStyle name="Normal 3 12 3 4 5" xfId="5463"/>
    <cellStyle name="Normal 3 12 3 5" xfId="5464"/>
    <cellStyle name="Normal 3 12 3 5 2" xfId="5465"/>
    <cellStyle name="Normal 3 12 3 6" xfId="5466"/>
    <cellStyle name="Normal 3 12 3 6 2" xfId="5467"/>
    <cellStyle name="Normal 3 12 3 7" xfId="5468"/>
    <cellStyle name="Normal 3 12 3 7 2" xfId="5469"/>
    <cellStyle name="Normal 3 12 3 8" xfId="5470"/>
    <cellStyle name="Normal 3 12 4" xfId="5471"/>
    <cellStyle name="Normal 3 12 4 2" xfId="5472"/>
    <cellStyle name="Normal 3 12 4 2 2" xfId="5473"/>
    <cellStyle name="Normal 3 12 4 2 2 2" xfId="5474"/>
    <cellStyle name="Normal 3 12 4 2 2 2 2" xfId="5475"/>
    <cellStyle name="Normal 3 12 4 2 2 3" xfId="5476"/>
    <cellStyle name="Normal 3 12 4 2 2 3 2" xfId="5477"/>
    <cellStyle name="Normal 3 12 4 2 2 4" xfId="5478"/>
    <cellStyle name="Normal 3 12 4 2 2 4 2" xfId="5479"/>
    <cellStyle name="Normal 3 12 4 2 2 5" xfId="5480"/>
    <cellStyle name="Normal 3 12 4 2 3" xfId="5481"/>
    <cellStyle name="Normal 3 12 4 2 3 2" xfId="5482"/>
    <cellStyle name="Normal 3 12 4 2 3 2 2" xfId="5483"/>
    <cellStyle name="Normal 3 12 4 2 3 3" xfId="5484"/>
    <cellStyle name="Normal 3 12 4 2 3 3 2" xfId="5485"/>
    <cellStyle name="Normal 3 12 4 2 3 4" xfId="5486"/>
    <cellStyle name="Normal 3 12 4 2 3 4 2" xfId="5487"/>
    <cellStyle name="Normal 3 12 4 2 3 5" xfId="5488"/>
    <cellStyle name="Normal 3 12 4 2 4" xfId="5489"/>
    <cellStyle name="Normal 3 12 4 2 4 2" xfId="5490"/>
    <cellStyle name="Normal 3 12 4 2 5" xfId="5491"/>
    <cellStyle name="Normal 3 12 4 2 5 2" xfId="5492"/>
    <cellStyle name="Normal 3 12 4 2 6" xfId="5493"/>
    <cellStyle name="Normal 3 12 4 2 6 2" xfId="5494"/>
    <cellStyle name="Normal 3 12 4 2 7" xfId="5495"/>
    <cellStyle name="Normal 3 12 4 3" xfId="5496"/>
    <cellStyle name="Normal 3 12 4 3 2" xfId="5497"/>
    <cellStyle name="Normal 3 12 4 3 2 2" xfId="5498"/>
    <cellStyle name="Normal 3 12 4 3 3" xfId="5499"/>
    <cellStyle name="Normal 3 12 4 3 3 2" xfId="5500"/>
    <cellStyle name="Normal 3 12 4 3 4" xfId="5501"/>
    <cellStyle name="Normal 3 12 4 3 4 2" xfId="5502"/>
    <cellStyle name="Normal 3 12 4 3 5" xfId="5503"/>
    <cellStyle name="Normal 3 12 4 4" xfId="5504"/>
    <cellStyle name="Normal 3 12 4 4 2" xfId="5505"/>
    <cellStyle name="Normal 3 12 4 4 2 2" xfId="5506"/>
    <cellStyle name="Normal 3 12 4 4 3" xfId="5507"/>
    <cellStyle name="Normal 3 12 4 4 3 2" xfId="5508"/>
    <cellStyle name="Normal 3 12 4 4 4" xfId="5509"/>
    <cellStyle name="Normal 3 12 4 4 4 2" xfId="5510"/>
    <cellStyle name="Normal 3 12 4 4 5" xfId="5511"/>
    <cellStyle name="Normal 3 12 4 5" xfId="5512"/>
    <cellStyle name="Normal 3 12 4 5 2" xfId="5513"/>
    <cellStyle name="Normal 3 12 4 6" xfId="5514"/>
    <cellStyle name="Normal 3 12 4 6 2" xfId="5515"/>
    <cellStyle name="Normal 3 12 4 7" xfId="5516"/>
    <cellStyle name="Normal 3 12 4 7 2" xfId="5517"/>
    <cellStyle name="Normal 3 12 4 8" xfId="5518"/>
    <cellStyle name="Normal 3 12 5" xfId="5519"/>
    <cellStyle name="Normal 3 12 5 2" xfId="5520"/>
    <cellStyle name="Normal 3 12 5 2 2" xfId="5521"/>
    <cellStyle name="Normal 3 12 5 2 2 2" xfId="5522"/>
    <cellStyle name="Normal 3 12 5 2 2 2 2" xfId="5523"/>
    <cellStyle name="Normal 3 12 5 2 2 3" xfId="5524"/>
    <cellStyle name="Normal 3 12 5 2 2 3 2" xfId="5525"/>
    <cellStyle name="Normal 3 12 5 2 2 4" xfId="5526"/>
    <cellStyle name="Normal 3 12 5 2 2 4 2" xfId="5527"/>
    <cellStyle name="Normal 3 12 5 2 2 5" xfId="5528"/>
    <cellStyle name="Normal 3 12 5 2 3" xfId="5529"/>
    <cellStyle name="Normal 3 12 5 2 3 2" xfId="5530"/>
    <cellStyle name="Normal 3 12 5 2 3 2 2" xfId="5531"/>
    <cellStyle name="Normal 3 12 5 2 3 3" xfId="5532"/>
    <cellStyle name="Normal 3 12 5 2 3 3 2" xfId="5533"/>
    <cellStyle name="Normal 3 12 5 2 3 4" xfId="5534"/>
    <cellStyle name="Normal 3 12 5 2 3 4 2" xfId="5535"/>
    <cellStyle name="Normal 3 12 5 2 3 5" xfId="5536"/>
    <cellStyle name="Normal 3 12 5 2 4" xfId="5537"/>
    <cellStyle name="Normal 3 12 5 2 4 2" xfId="5538"/>
    <cellStyle name="Normal 3 12 5 2 5" xfId="5539"/>
    <cellStyle name="Normal 3 12 5 2 5 2" xfId="5540"/>
    <cellStyle name="Normal 3 12 5 2 6" xfId="5541"/>
    <cellStyle name="Normal 3 12 5 2 6 2" xfId="5542"/>
    <cellStyle name="Normal 3 12 5 2 7" xfId="5543"/>
    <cellStyle name="Normal 3 12 5 3" xfId="5544"/>
    <cellStyle name="Normal 3 12 5 3 2" xfId="5545"/>
    <cellStyle name="Normal 3 12 5 3 2 2" xfId="5546"/>
    <cellStyle name="Normal 3 12 5 3 3" xfId="5547"/>
    <cellStyle name="Normal 3 12 5 3 3 2" xfId="5548"/>
    <cellStyle name="Normal 3 12 5 3 4" xfId="5549"/>
    <cellStyle name="Normal 3 12 5 3 4 2" xfId="5550"/>
    <cellStyle name="Normal 3 12 5 3 5" xfId="5551"/>
    <cellStyle name="Normal 3 12 5 4" xfId="5552"/>
    <cellStyle name="Normal 3 12 5 4 2" xfId="5553"/>
    <cellStyle name="Normal 3 12 5 4 2 2" xfId="5554"/>
    <cellStyle name="Normal 3 12 5 4 3" xfId="5555"/>
    <cellStyle name="Normal 3 12 5 4 3 2" xfId="5556"/>
    <cellStyle name="Normal 3 12 5 4 4" xfId="5557"/>
    <cellStyle name="Normal 3 12 5 4 4 2" xfId="5558"/>
    <cellStyle name="Normal 3 12 5 4 5" xfId="5559"/>
    <cellStyle name="Normal 3 12 5 5" xfId="5560"/>
    <cellStyle name="Normal 3 12 5 5 2" xfId="5561"/>
    <cellStyle name="Normal 3 12 5 6" xfId="5562"/>
    <cellStyle name="Normal 3 12 5 6 2" xfId="5563"/>
    <cellStyle name="Normal 3 12 5 7" xfId="5564"/>
    <cellStyle name="Normal 3 12 5 7 2" xfId="5565"/>
    <cellStyle name="Normal 3 12 5 8" xfId="5566"/>
    <cellStyle name="Normal 3 12 6" xfId="5567"/>
    <cellStyle name="Normal 3 12 6 2" xfId="5568"/>
    <cellStyle name="Normal 3 12 6 2 2" xfId="5569"/>
    <cellStyle name="Normal 3 12 6 2 2 2" xfId="5570"/>
    <cellStyle name="Normal 3 12 6 2 2 2 2" xfId="5571"/>
    <cellStyle name="Normal 3 12 6 2 2 3" xfId="5572"/>
    <cellStyle name="Normal 3 12 6 2 2 3 2" xfId="5573"/>
    <cellStyle name="Normal 3 12 6 2 2 4" xfId="5574"/>
    <cellStyle name="Normal 3 12 6 2 2 4 2" xfId="5575"/>
    <cellStyle name="Normal 3 12 6 2 2 5" xfId="5576"/>
    <cellStyle name="Normal 3 12 6 2 3" xfId="5577"/>
    <cellStyle name="Normal 3 12 6 2 3 2" xfId="5578"/>
    <cellStyle name="Normal 3 12 6 2 3 2 2" xfId="5579"/>
    <cellStyle name="Normal 3 12 6 2 3 3" xfId="5580"/>
    <cellStyle name="Normal 3 12 6 2 3 3 2" xfId="5581"/>
    <cellStyle name="Normal 3 12 6 2 3 4" xfId="5582"/>
    <cellStyle name="Normal 3 12 6 2 3 4 2" xfId="5583"/>
    <cellStyle name="Normal 3 12 6 2 3 5" xfId="5584"/>
    <cellStyle name="Normal 3 12 6 2 4" xfId="5585"/>
    <cellStyle name="Normal 3 12 6 2 4 2" xfId="5586"/>
    <cellStyle name="Normal 3 12 6 2 5" xfId="5587"/>
    <cellStyle name="Normal 3 12 6 2 5 2" xfId="5588"/>
    <cellStyle name="Normal 3 12 6 2 6" xfId="5589"/>
    <cellStyle name="Normal 3 12 6 2 6 2" xfId="5590"/>
    <cellStyle name="Normal 3 12 6 2 7" xfId="5591"/>
    <cellStyle name="Normal 3 12 6 3" xfId="5592"/>
    <cellStyle name="Normal 3 12 6 3 2" xfId="5593"/>
    <cellStyle name="Normal 3 12 6 3 2 2" xfId="5594"/>
    <cellStyle name="Normal 3 12 6 3 3" xfId="5595"/>
    <cellStyle name="Normal 3 12 6 3 3 2" xfId="5596"/>
    <cellStyle name="Normal 3 12 6 3 4" xfId="5597"/>
    <cellStyle name="Normal 3 12 6 3 4 2" xfId="5598"/>
    <cellStyle name="Normal 3 12 6 3 5" xfId="5599"/>
    <cellStyle name="Normal 3 12 6 4" xfId="5600"/>
    <cellStyle name="Normal 3 12 6 4 2" xfId="5601"/>
    <cellStyle name="Normal 3 12 6 4 2 2" xfId="5602"/>
    <cellStyle name="Normal 3 12 6 4 3" xfId="5603"/>
    <cellStyle name="Normal 3 12 6 4 3 2" xfId="5604"/>
    <cellStyle name="Normal 3 12 6 4 4" xfId="5605"/>
    <cellStyle name="Normal 3 12 6 4 4 2" xfId="5606"/>
    <cellStyle name="Normal 3 12 6 4 5" xfId="5607"/>
    <cellStyle name="Normal 3 12 6 5" xfId="5608"/>
    <cellStyle name="Normal 3 12 6 5 2" xfId="5609"/>
    <cellStyle name="Normal 3 12 6 6" xfId="5610"/>
    <cellStyle name="Normal 3 12 6 6 2" xfId="5611"/>
    <cellStyle name="Normal 3 12 6 7" xfId="5612"/>
    <cellStyle name="Normal 3 12 6 7 2" xfId="5613"/>
    <cellStyle name="Normal 3 12 6 8" xfId="5614"/>
    <cellStyle name="Normal 3 12 7" xfId="5615"/>
    <cellStyle name="Normal 3 12 7 2" xfId="5616"/>
    <cellStyle name="Normal 3 12 7 2 2" xfId="5617"/>
    <cellStyle name="Normal 3 12 7 2 2 2" xfId="5618"/>
    <cellStyle name="Normal 3 12 7 2 2 2 2" xfId="5619"/>
    <cellStyle name="Normal 3 12 7 2 2 3" xfId="5620"/>
    <cellStyle name="Normal 3 12 7 2 2 3 2" xfId="5621"/>
    <cellStyle name="Normal 3 12 7 2 2 4" xfId="5622"/>
    <cellStyle name="Normal 3 12 7 2 2 4 2" xfId="5623"/>
    <cellStyle name="Normal 3 12 7 2 2 5" xfId="5624"/>
    <cellStyle name="Normal 3 12 7 2 3" xfId="5625"/>
    <cellStyle name="Normal 3 12 7 2 3 2" xfId="5626"/>
    <cellStyle name="Normal 3 12 7 2 3 2 2" xfId="5627"/>
    <cellStyle name="Normal 3 12 7 2 3 3" xfId="5628"/>
    <cellStyle name="Normal 3 12 7 2 3 3 2" xfId="5629"/>
    <cellStyle name="Normal 3 12 7 2 3 4" xfId="5630"/>
    <cellStyle name="Normal 3 12 7 2 3 4 2" xfId="5631"/>
    <cellStyle name="Normal 3 12 7 2 3 5" xfId="5632"/>
    <cellStyle name="Normal 3 12 7 2 4" xfId="5633"/>
    <cellStyle name="Normal 3 12 7 2 4 2" xfId="5634"/>
    <cellStyle name="Normal 3 12 7 2 5" xfId="5635"/>
    <cellStyle name="Normal 3 12 7 2 5 2" xfId="5636"/>
    <cellStyle name="Normal 3 12 7 2 6" xfId="5637"/>
    <cellStyle name="Normal 3 12 7 2 6 2" xfId="5638"/>
    <cellStyle name="Normal 3 12 7 2 7" xfId="5639"/>
    <cellStyle name="Normal 3 12 7 3" xfId="5640"/>
    <cellStyle name="Normal 3 12 7 3 2" xfId="5641"/>
    <cellStyle name="Normal 3 12 7 3 2 2" xfId="5642"/>
    <cellStyle name="Normal 3 12 7 3 3" xfId="5643"/>
    <cellStyle name="Normal 3 12 7 3 3 2" xfId="5644"/>
    <cellStyle name="Normal 3 12 7 3 4" xfId="5645"/>
    <cellStyle name="Normal 3 12 7 3 4 2" xfId="5646"/>
    <cellStyle name="Normal 3 12 7 3 5" xfId="5647"/>
    <cellStyle name="Normal 3 12 7 4" xfId="5648"/>
    <cellStyle name="Normal 3 12 7 4 2" xfId="5649"/>
    <cellStyle name="Normal 3 12 7 4 2 2" xfId="5650"/>
    <cellStyle name="Normal 3 12 7 4 3" xfId="5651"/>
    <cellStyle name="Normal 3 12 7 4 3 2" xfId="5652"/>
    <cellStyle name="Normal 3 12 7 4 4" xfId="5653"/>
    <cellStyle name="Normal 3 12 7 4 4 2" xfId="5654"/>
    <cellStyle name="Normal 3 12 7 4 5" xfId="5655"/>
    <cellStyle name="Normal 3 12 7 5" xfId="5656"/>
    <cellStyle name="Normal 3 12 7 5 2" xfId="5657"/>
    <cellStyle name="Normal 3 12 7 6" xfId="5658"/>
    <cellStyle name="Normal 3 12 7 6 2" xfId="5659"/>
    <cellStyle name="Normal 3 12 7 7" xfId="5660"/>
    <cellStyle name="Normal 3 12 7 7 2" xfId="5661"/>
    <cellStyle name="Normal 3 12 7 8" xfId="5662"/>
    <cellStyle name="Normal 3 12 8" xfId="5663"/>
    <cellStyle name="Normal 3 12 8 2" xfId="5664"/>
    <cellStyle name="Normal 3 12 8 2 2" xfId="5665"/>
    <cellStyle name="Normal 3 12 8 2 2 2" xfId="5666"/>
    <cellStyle name="Normal 3 12 8 2 3" xfId="5667"/>
    <cellStyle name="Normal 3 12 8 2 3 2" xfId="5668"/>
    <cellStyle name="Normal 3 12 8 2 4" xfId="5669"/>
    <cellStyle name="Normal 3 12 8 2 4 2" xfId="5670"/>
    <cellStyle name="Normal 3 12 8 2 5" xfId="5671"/>
    <cellStyle name="Normal 3 12 8 3" xfId="5672"/>
    <cellStyle name="Normal 3 12 8 3 2" xfId="5673"/>
    <cellStyle name="Normal 3 12 8 3 2 2" xfId="5674"/>
    <cellStyle name="Normal 3 12 8 3 3" xfId="5675"/>
    <cellStyle name="Normal 3 12 8 3 3 2" xfId="5676"/>
    <cellStyle name="Normal 3 12 8 3 4" xfId="5677"/>
    <cellStyle name="Normal 3 12 8 3 4 2" xfId="5678"/>
    <cellStyle name="Normal 3 12 8 3 5" xfId="5679"/>
    <cellStyle name="Normal 3 12 8 4" xfId="5680"/>
    <cellStyle name="Normal 3 12 8 4 2" xfId="5681"/>
    <cellStyle name="Normal 3 12 8 5" xfId="5682"/>
    <cellStyle name="Normal 3 12 8 5 2" xfId="5683"/>
    <cellStyle name="Normal 3 12 8 6" xfId="5684"/>
    <cellStyle name="Normal 3 12 8 6 2" xfId="5685"/>
    <cellStyle name="Normal 3 12 8 7" xfId="5686"/>
    <cellStyle name="Normal 3 12 9" xfId="5687"/>
    <cellStyle name="Normal 3 12 9 2" xfId="5688"/>
    <cellStyle name="Normal 3 12 9 2 2" xfId="5689"/>
    <cellStyle name="Normal 3 12 9 3" xfId="5690"/>
    <cellStyle name="Normal 3 12 9 3 2" xfId="5691"/>
    <cellStyle name="Normal 3 12 9 4" xfId="5692"/>
    <cellStyle name="Normal 3 12 9 4 2" xfId="5693"/>
    <cellStyle name="Normal 3 12 9 5" xfId="5694"/>
    <cellStyle name="Normal 3 12_Input" xfId="2024"/>
    <cellStyle name="Normal 3 13" xfId="1423"/>
    <cellStyle name="Normal 3 13 2" xfId="2011"/>
    <cellStyle name="Normal 3 13 2 10" xfId="5696"/>
    <cellStyle name="Normal 3 13 2 10 2" xfId="5697"/>
    <cellStyle name="Normal 3 13 2 11" xfId="5698"/>
    <cellStyle name="Normal 3 13 2 11 2" xfId="5699"/>
    <cellStyle name="Normal 3 13 2 12" xfId="5700"/>
    <cellStyle name="Normal 3 13 2 12 2" xfId="5701"/>
    <cellStyle name="Normal 3 13 2 13" xfId="5702"/>
    <cellStyle name="Normal 3 13 2 2" xfId="5703"/>
    <cellStyle name="Normal 3 13 2 2 2" xfId="5704"/>
    <cellStyle name="Normal 3 13 2 2 2 2" xfId="5705"/>
    <cellStyle name="Normal 3 13 2 2 2 2 2" xfId="5706"/>
    <cellStyle name="Normal 3 13 2 2 2 2 2 2" xfId="5707"/>
    <cellStyle name="Normal 3 13 2 2 2 2 3" xfId="5708"/>
    <cellStyle name="Normal 3 13 2 2 2 2 3 2" xfId="5709"/>
    <cellStyle name="Normal 3 13 2 2 2 2 4" xfId="5710"/>
    <cellStyle name="Normal 3 13 2 2 2 2 4 2" xfId="5711"/>
    <cellStyle name="Normal 3 13 2 2 2 2 5" xfId="5712"/>
    <cellStyle name="Normal 3 13 2 2 2 3" xfId="5713"/>
    <cellStyle name="Normal 3 13 2 2 2 3 2" xfId="5714"/>
    <cellStyle name="Normal 3 13 2 2 2 3 2 2" xfId="5715"/>
    <cellStyle name="Normal 3 13 2 2 2 3 3" xfId="5716"/>
    <cellStyle name="Normal 3 13 2 2 2 3 3 2" xfId="5717"/>
    <cellStyle name="Normal 3 13 2 2 2 3 4" xfId="5718"/>
    <cellStyle name="Normal 3 13 2 2 2 3 4 2" xfId="5719"/>
    <cellStyle name="Normal 3 13 2 2 2 3 5" xfId="5720"/>
    <cellStyle name="Normal 3 13 2 2 2 4" xfId="5721"/>
    <cellStyle name="Normal 3 13 2 2 2 4 2" xfId="5722"/>
    <cellStyle name="Normal 3 13 2 2 2 5" xfId="5723"/>
    <cellStyle name="Normal 3 13 2 2 2 5 2" xfId="5724"/>
    <cellStyle name="Normal 3 13 2 2 2 6" xfId="5725"/>
    <cellStyle name="Normal 3 13 2 2 2 6 2" xfId="5726"/>
    <cellStyle name="Normal 3 13 2 2 2 7" xfId="5727"/>
    <cellStyle name="Normal 3 13 2 2 3" xfId="5728"/>
    <cellStyle name="Normal 3 13 2 2 3 2" xfId="5729"/>
    <cellStyle name="Normal 3 13 2 2 3 2 2" xfId="5730"/>
    <cellStyle name="Normal 3 13 2 2 3 3" xfId="5731"/>
    <cellStyle name="Normal 3 13 2 2 3 3 2" xfId="5732"/>
    <cellStyle name="Normal 3 13 2 2 3 4" xfId="5733"/>
    <cellStyle name="Normal 3 13 2 2 3 4 2" xfId="5734"/>
    <cellStyle name="Normal 3 13 2 2 3 5" xfId="5735"/>
    <cellStyle name="Normal 3 13 2 2 4" xfId="5736"/>
    <cellStyle name="Normal 3 13 2 2 4 2" xfId="5737"/>
    <cellStyle name="Normal 3 13 2 2 4 2 2" xfId="5738"/>
    <cellStyle name="Normal 3 13 2 2 4 3" xfId="5739"/>
    <cellStyle name="Normal 3 13 2 2 4 3 2" xfId="5740"/>
    <cellStyle name="Normal 3 13 2 2 4 4" xfId="5741"/>
    <cellStyle name="Normal 3 13 2 2 4 4 2" xfId="5742"/>
    <cellStyle name="Normal 3 13 2 2 4 5" xfId="5743"/>
    <cellStyle name="Normal 3 13 2 2 5" xfId="5744"/>
    <cellStyle name="Normal 3 13 2 2 5 2" xfId="5745"/>
    <cellStyle name="Normal 3 13 2 2 6" xfId="5746"/>
    <cellStyle name="Normal 3 13 2 2 6 2" xfId="5747"/>
    <cellStyle name="Normal 3 13 2 2 7" xfId="5748"/>
    <cellStyle name="Normal 3 13 2 2 7 2" xfId="5749"/>
    <cellStyle name="Normal 3 13 2 2 8" xfId="5750"/>
    <cellStyle name="Normal 3 13 2 3" xfId="5751"/>
    <cellStyle name="Normal 3 13 2 3 2" xfId="5752"/>
    <cellStyle name="Normal 3 13 2 3 2 2" xfId="5753"/>
    <cellStyle name="Normal 3 13 2 3 2 2 2" xfId="5754"/>
    <cellStyle name="Normal 3 13 2 3 2 2 2 2" xfId="5755"/>
    <cellStyle name="Normal 3 13 2 3 2 2 3" xfId="5756"/>
    <cellStyle name="Normal 3 13 2 3 2 2 3 2" xfId="5757"/>
    <cellStyle name="Normal 3 13 2 3 2 2 4" xfId="5758"/>
    <cellStyle name="Normal 3 13 2 3 2 2 4 2" xfId="5759"/>
    <cellStyle name="Normal 3 13 2 3 2 2 5" xfId="5760"/>
    <cellStyle name="Normal 3 13 2 3 2 3" xfId="5761"/>
    <cellStyle name="Normal 3 13 2 3 2 3 2" xfId="5762"/>
    <cellStyle name="Normal 3 13 2 3 2 3 2 2" xfId="5763"/>
    <cellStyle name="Normal 3 13 2 3 2 3 3" xfId="5764"/>
    <cellStyle name="Normal 3 13 2 3 2 3 3 2" xfId="5765"/>
    <cellStyle name="Normal 3 13 2 3 2 3 4" xfId="5766"/>
    <cellStyle name="Normal 3 13 2 3 2 3 4 2" xfId="5767"/>
    <cellStyle name="Normal 3 13 2 3 2 3 5" xfId="5768"/>
    <cellStyle name="Normal 3 13 2 3 2 4" xfId="5769"/>
    <cellStyle name="Normal 3 13 2 3 2 4 2" xfId="5770"/>
    <cellStyle name="Normal 3 13 2 3 2 5" xfId="5771"/>
    <cellStyle name="Normal 3 13 2 3 2 5 2" xfId="5772"/>
    <cellStyle name="Normal 3 13 2 3 2 6" xfId="5773"/>
    <cellStyle name="Normal 3 13 2 3 2 6 2" xfId="5774"/>
    <cellStyle name="Normal 3 13 2 3 2 7" xfId="5775"/>
    <cellStyle name="Normal 3 13 2 3 3" xfId="5776"/>
    <cellStyle name="Normal 3 13 2 3 3 2" xfId="5777"/>
    <cellStyle name="Normal 3 13 2 3 3 2 2" xfId="5778"/>
    <cellStyle name="Normal 3 13 2 3 3 3" xfId="5779"/>
    <cellStyle name="Normal 3 13 2 3 3 3 2" xfId="5780"/>
    <cellStyle name="Normal 3 13 2 3 3 4" xfId="5781"/>
    <cellStyle name="Normal 3 13 2 3 3 4 2" xfId="5782"/>
    <cellStyle name="Normal 3 13 2 3 3 5" xfId="5783"/>
    <cellStyle name="Normal 3 13 2 3 4" xfId="5784"/>
    <cellStyle name="Normal 3 13 2 3 4 2" xfId="5785"/>
    <cellStyle name="Normal 3 13 2 3 4 2 2" xfId="5786"/>
    <cellStyle name="Normal 3 13 2 3 4 3" xfId="5787"/>
    <cellStyle name="Normal 3 13 2 3 4 3 2" xfId="5788"/>
    <cellStyle name="Normal 3 13 2 3 4 4" xfId="5789"/>
    <cellStyle name="Normal 3 13 2 3 4 4 2" xfId="5790"/>
    <cellStyle name="Normal 3 13 2 3 4 5" xfId="5791"/>
    <cellStyle name="Normal 3 13 2 3 5" xfId="5792"/>
    <cellStyle name="Normal 3 13 2 3 5 2" xfId="5793"/>
    <cellStyle name="Normal 3 13 2 3 6" xfId="5794"/>
    <cellStyle name="Normal 3 13 2 3 6 2" xfId="5795"/>
    <cellStyle name="Normal 3 13 2 3 7" xfId="5796"/>
    <cellStyle name="Normal 3 13 2 3 7 2" xfId="5797"/>
    <cellStyle name="Normal 3 13 2 3 8" xfId="5798"/>
    <cellStyle name="Normal 3 13 2 4" xfId="5799"/>
    <cellStyle name="Normal 3 13 2 4 2" xfId="5800"/>
    <cellStyle name="Normal 3 13 2 4 2 2" xfId="5801"/>
    <cellStyle name="Normal 3 13 2 4 2 2 2" xfId="5802"/>
    <cellStyle name="Normal 3 13 2 4 2 2 2 2" xfId="5803"/>
    <cellStyle name="Normal 3 13 2 4 2 2 3" xfId="5804"/>
    <cellStyle name="Normal 3 13 2 4 2 2 3 2" xfId="5805"/>
    <cellStyle name="Normal 3 13 2 4 2 2 4" xfId="5806"/>
    <cellStyle name="Normal 3 13 2 4 2 2 4 2" xfId="5807"/>
    <cellStyle name="Normal 3 13 2 4 2 2 5" xfId="5808"/>
    <cellStyle name="Normal 3 13 2 4 2 3" xfId="5809"/>
    <cellStyle name="Normal 3 13 2 4 2 3 2" xfId="5810"/>
    <cellStyle name="Normal 3 13 2 4 2 3 2 2" xfId="5811"/>
    <cellStyle name="Normal 3 13 2 4 2 3 3" xfId="5812"/>
    <cellStyle name="Normal 3 13 2 4 2 3 3 2" xfId="5813"/>
    <cellStyle name="Normal 3 13 2 4 2 3 4" xfId="5814"/>
    <cellStyle name="Normal 3 13 2 4 2 3 4 2" xfId="5815"/>
    <cellStyle name="Normal 3 13 2 4 2 3 5" xfId="5816"/>
    <cellStyle name="Normal 3 13 2 4 2 4" xfId="5817"/>
    <cellStyle name="Normal 3 13 2 4 2 4 2" xfId="5818"/>
    <cellStyle name="Normal 3 13 2 4 2 5" xfId="5819"/>
    <cellStyle name="Normal 3 13 2 4 2 5 2" xfId="5820"/>
    <cellStyle name="Normal 3 13 2 4 2 6" xfId="5821"/>
    <cellStyle name="Normal 3 13 2 4 2 6 2" xfId="5822"/>
    <cellStyle name="Normal 3 13 2 4 2 7" xfId="5823"/>
    <cellStyle name="Normal 3 13 2 4 3" xfId="5824"/>
    <cellStyle name="Normal 3 13 2 4 3 2" xfId="5825"/>
    <cellStyle name="Normal 3 13 2 4 3 2 2" xfId="5826"/>
    <cellStyle name="Normal 3 13 2 4 3 3" xfId="5827"/>
    <cellStyle name="Normal 3 13 2 4 3 3 2" xfId="5828"/>
    <cellStyle name="Normal 3 13 2 4 3 4" xfId="5829"/>
    <cellStyle name="Normal 3 13 2 4 3 4 2" xfId="5830"/>
    <cellStyle name="Normal 3 13 2 4 3 5" xfId="5831"/>
    <cellStyle name="Normal 3 13 2 4 4" xfId="5832"/>
    <cellStyle name="Normal 3 13 2 4 4 2" xfId="5833"/>
    <cellStyle name="Normal 3 13 2 4 4 2 2" xfId="5834"/>
    <cellStyle name="Normal 3 13 2 4 4 3" xfId="5835"/>
    <cellStyle name="Normal 3 13 2 4 4 3 2" xfId="5836"/>
    <cellStyle name="Normal 3 13 2 4 4 4" xfId="5837"/>
    <cellStyle name="Normal 3 13 2 4 4 4 2" xfId="5838"/>
    <cellStyle name="Normal 3 13 2 4 4 5" xfId="5839"/>
    <cellStyle name="Normal 3 13 2 4 5" xfId="5840"/>
    <cellStyle name="Normal 3 13 2 4 5 2" xfId="5841"/>
    <cellStyle name="Normal 3 13 2 4 6" xfId="5842"/>
    <cellStyle name="Normal 3 13 2 4 6 2" xfId="5843"/>
    <cellStyle name="Normal 3 13 2 4 7" xfId="5844"/>
    <cellStyle name="Normal 3 13 2 4 7 2" xfId="5845"/>
    <cellStyle name="Normal 3 13 2 4 8" xfId="5846"/>
    <cellStyle name="Normal 3 13 2 5" xfId="5847"/>
    <cellStyle name="Normal 3 13 2 5 2" xfId="5848"/>
    <cellStyle name="Normal 3 13 2 5 2 2" xfId="5849"/>
    <cellStyle name="Normal 3 13 2 5 2 2 2" xfId="5850"/>
    <cellStyle name="Normal 3 13 2 5 2 2 2 2" xfId="5851"/>
    <cellStyle name="Normal 3 13 2 5 2 2 3" xfId="5852"/>
    <cellStyle name="Normal 3 13 2 5 2 2 3 2" xfId="5853"/>
    <cellStyle name="Normal 3 13 2 5 2 2 4" xfId="5854"/>
    <cellStyle name="Normal 3 13 2 5 2 2 4 2" xfId="5855"/>
    <cellStyle name="Normal 3 13 2 5 2 2 5" xfId="5856"/>
    <cellStyle name="Normal 3 13 2 5 2 3" xfId="5857"/>
    <cellStyle name="Normal 3 13 2 5 2 3 2" xfId="5858"/>
    <cellStyle name="Normal 3 13 2 5 2 3 2 2" xfId="5859"/>
    <cellStyle name="Normal 3 13 2 5 2 3 3" xfId="5860"/>
    <cellStyle name="Normal 3 13 2 5 2 3 3 2" xfId="5861"/>
    <cellStyle name="Normal 3 13 2 5 2 3 4" xfId="5862"/>
    <cellStyle name="Normal 3 13 2 5 2 3 4 2" xfId="5863"/>
    <cellStyle name="Normal 3 13 2 5 2 3 5" xfId="5864"/>
    <cellStyle name="Normal 3 13 2 5 2 4" xfId="5865"/>
    <cellStyle name="Normal 3 13 2 5 2 4 2" xfId="5866"/>
    <cellStyle name="Normal 3 13 2 5 2 5" xfId="5867"/>
    <cellStyle name="Normal 3 13 2 5 2 5 2" xfId="5868"/>
    <cellStyle name="Normal 3 13 2 5 2 6" xfId="5869"/>
    <cellStyle name="Normal 3 13 2 5 2 6 2" xfId="5870"/>
    <cellStyle name="Normal 3 13 2 5 2 7" xfId="5871"/>
    <cellStyle name="Normal 3 13 2 5 3" xfId="5872"/>
    <cellStyle name="Normal 3 13 2 5 3 2" xfId="5873"/>
    <cellStyle name="Normal 3 13 2 5 3 2 2" xfId="5874"/>
    <cellStyle name="Normal 3 13 2 5 3 3" xfId="5875"/>
    <cellStyle name="Normal 3 13 2 5 3 3 2" xfId="5876"/>
    <cellStyle name="Normal 3 13 2 5 3 4" xfId="5877"/>
    <cellStyle name="Normal 3 13 2 5 3 4 2" xfId="5878"/>
    <cellStyle name="Normal 3 13 2 5 3 5" xfId="5879"/>
    <cellStyle name="Normal 3 13 2 5 4" xfId="5880"/>
    <cellStyle name="Normal 3 13 2 5 4 2" xfId="5881"/>
    <cellStyle name="Normal 3 13 2 5 4 2 2" xfId="5882"/>
    <cellStyle name="Normal 3 13 2 5 4 3" xfId="5883"/>
    <cellStyle name="Normal 3 13 2 5 4 3 2" xfId="5884"/>
    <cellStyle name="Normal 3 13 2 5 4 4" xfId="5885"/>
    <cellStyle name="Normal 3 13 2 5 4 4 2" xfId="5886"/>
    <cellStyle name="Normal 3 13 2 5 4 5" xfId="5887"/>
    <cellStyle name="Normal 3 13 2 5 5" xfId="5888"/>
    <cellStyle name="Normal 3 13 2 5 5 2" xfId="5889"/>
    <cellStyle name="Normal 3 13 2 5 6" xfId="5890"/>
    <cellStyle name="Normal 3 13 2 5 6 2" xfId="5891"/>
    <cellStyle name="Normal 3 13 2 5 7" xfId="5892"/>
    <cellStyle name="Normal 3 13 2 5 7 2" xfId="5893"/>
    <cellStyle name="Normal 3 13 2 5 8" xfId="5894"/>
    <cellStyle name="Normal 3 13 2 6" xfId="5895"/>
    <cellStyle name="Normal 3 13 2 6 2" xfId="5896"/>
    <cellStyle name="Normal 3 13 2 6 2 2" xfId="5897"/>
    <cellStyle name="Normal 3 13 2 6 2 2 2" xfId="5898"/>
    <cellStyle name="Normal 3 13 2 6 2 2 2 2" xfId="5899"/>
    <cellStyle name="Normal 3 13 2 6 2 2 3" xfId="5900"/>
    <cellStyle name="Normal 3 13 2 6 2 2 3 2" xfId="5901"/>
    <cellStyle name="Normal 3 13 2 6 2 2 4" xfId="5902"/>
    <cellStyle name="Normal 3 13 2 6 2 2 4 2" xfId="5903"/>
    <cellStyle name="Normal 3 13 2 6 2 2 5" xfId="5904"/>
    <cellStyle name="Normal 3 13 2 6 2 3" xfId="5905"/>
    <cellStyle name="Normal 3 13 2 6 2 3 2" xfId="5906"/>
    <cellStyle name="Normal 3 13 2 6 2 3 2 2" xfId="5907"/>
    <cellStyle name="Normal 3 13 2 6 2 3 3" xfId="5908"/>
    <cellStyle name="Normal 3 13 2 6 2 3 3 2" xfId="5909"/>
    <cellStyle name="Normal 3 13 2 6 2 3 4" xfId="5910"/>
    <cellStyle name="Normal 3 13 2 6 2 3 4 2" xfId="5911"/>
    <cellStyle name="Normal 3 13 2 6 2 3 5" xfId="5912"/>
    <cellStyle name="Normal 3 13 2 6 2 4" xfId="5913"/>
    <cellStyle name="Normal 3 13 2 6 2 4 2" xfId="5914"/>
    <cellStyle name="Normal 3 13 2 6 2 5" xfId="5915"/>
    <cellStyle name="Normal 3 13 2 6 2 5 2" xfId="5916"/>
    <cellStyle name="Normal 3 13 2 6 2 6" xfId="5917"/>
    <cellStyle name="Normal 3 13 2 6 2 6 2" xfId="5918"/>
    <cellStyle name="Normal 3 13 2 6 2 7" xfId="5919"/>
    <cellStyle name="Normal 3 13 2 6 3" xfId="5920"/>
    <cellStyle name="Normal 3 13 2 6 3 2" xfId="5921"/>
    <cellStyle name="Normal 3 13 2 6 3 2 2" xfId="5922"/>
    <cellStyle name="Normal 3 13 2 6 3 3" xfId="5923"/>
    <cellStyle name="Normal 3 13 2 6 3 3 2" xfId="5924"/>
    <cellStyle name="Normal 3 13 2 6 3 4" xfId="5925"/>
    <cellStyle name="Normal 3 13 2 6 3 4 2" xfId="5926"/>
    <cellStyle name="Normal 3 13 2 6 3 5" xfId="5927"/>
    <cellStyle name="Normal 3 13 2 6 4" xfId="5928"/>
    <cellStyle name="Normal 3 13 2 6 4 2" xfId="5929"/>
    <cellStyle name="Normal 3 13 2 6 4 2 2" xfId="5930"/>
    <cellStyle name="Normal 3 13 2 6 4 3" xfId="5931"/>
    <cellStyle name="Normal 3 13 2 6 4 3 2" xfId="5932"/>
    <cellStyle name="Normal 3 13 2 6 4 4" xfId="5933"/>
    <cellStyle name="Normal 3 13 2 6 4 4 2" xfId="5934"/>
    <cellStyle name="Normal 3 13 2 6 4 5" xfId="5935"/>
    <cellStyle name="Normal 3 13 2 6 5" xfId="5936"/>
    <cellStyle name="Normal 3 13 2 6 5 2" xfId="5937"/>
    <cellStyle name="Normal 3 13 2 6 6" xfId="5938"/>
    <cellStyle name="Normal 3 13 2 6 6 2" xfId="5939"/>
    <cellStyle name="Normal 3 13 2 6 7" xfId="5940"/>
    <cellStyle name="Normal 3 13 2 6 7 2" xfId="5941"/>
    <cellStyle name="Normal 3 13 2 6 8" xfId="5942"/>
    <cellStyle name="Normal 3 13 2 7" xfId="5943"/>
    <cellStyle name="Normal 3 13 2 7 2" xfId="5944"/>
    <cellStyle name="Normal 3 13 2 7 2 2" xfId="5945"/>
    <cellStyle name="Normal 3 13 2 7 2 2 2" xfId="5946"/>
    <cellStyle name="Normal 3 13 2 7 2 3" xfId="5947"/>
    <cellStyle name="Normal 3 13 2 7 2 3 2" xfId="5948"/>
    <cellStyle name="Normal 3 13 2 7 2 4" xfId="5949"/>
    <cellStyle name="Normal 3 13 2 7 2 4 2" xfId="5950"/>
    <cellStyle name="Normal 3 13 2 7 2 5" xfId="5951"/>
    <cellStyle name="Normal 3 13 2 7 3" xfId="5952"/>
    <cellStyle name="Normal 3 13 2 7 3 2" xfId="5953"/>
    <cellStyle name="Normal 3 13 2 7 3 2 2" xfId="5954"/>
    <cellStyle name="Normal 3 13 2 7 3 3" xfId="5955"/>
    <cellStyle name="Normal 3 13 2 7 3 3 2" xfId="5956"/>
    <cellStyle name="Normal 3 13 2 7 3 4" xfId="5957"/>
    <cellStyle name="Normal 3 13 2 7 3 4 2" xfId="5958"/>
    <cellStyle name="Normal 3 13 2 7 3 5" xfId="5959"/>
    <cellStyle name="Normal 3 13 2 7 4" xfId="5960"/>
    <cellStyle name="Normal 3 13 2 7 4 2" xfId="5961"/>
    <cellStyle name="Normal 3 13 2 7 5" xfId="5962"/>
    <cellStyle name="Normal 3 13 2 7 5 2" xfId="5963"/>
    <cellStyle name="Normal 3 13 2 7 6" xfId="5964"/>
    <cellStyle name="Normal 3 13 2 7 6 2" xfId="5965"/>
    <cellStyle name="Normal 3 13 2 7 7" xfId="5966"/>
    <cellStyle name="Normal 3 13 2 8" xfId="5967"/>
    <cellStyle name="Normal 3 13 2 8 2" xfId="5968"/>
    <cellStyle name="Normal 3 13 2 8 2 2" xfId="5969"/>
    <cellStyle name="Normal 3 13 2 8 3" xfId="5970"/>
    <cellStyle name="Normal 3 13 2 8 3 2" xfId="5971"/>
    <cellStyle name="Normal 3 13 2 8 4" xfId="5972"/>
    <cellStyle name="Normal 3 13 2 8 4 2" xfId="5973"/>
    <cellStyle name="Normal 3 13 2 8 5" xfId="5974"/>
    <cellStyle name="Normal 3 13 2 9" xfId="5975"/>
    <cellStyle name="Normal 3 13 2 9 2" xfId="5976"/>
    <cellStyle name="Normal 3 13 2 9 2 2" xfId="5977"/>
    <cellStyle name="Normal 3 13 2 9 3" xfId="5978"/>
    <cellStyle name="Normal 3 13 2 9 3 2" xfId="5979"/>
    <cellStyle name="Normal 3 13 2 9 4" xfId="5980"/>
    <cellStyle name="Normal 3 13 2 9 4 2" xfId="5981"/>
    <cellStyle name="Normal 3 13 2 9 5" xfId="5982"/>
    <cellStyle name="Normal 3 13 3" xfId="5695"/>
    <cellStyle name="Normal 3 13_Input" xfId="2025"/>
    <cellStyle name="Normal 3 14" xfId="1818"/>
    <cellStyle name="Normal 3 14 2" xfId="2014"/>
    <cellStyle name="Normal 3 14 2 2" xfId="5983"/>
    <cellStyle name="Normal 3 14 2 2 2" xfId="5984"/>
    <cellStyle name="Normal 3 14 2 2 2 2" xfId="5985"/>
    <cellStyle name="Normal 3 14 2 2 3" xfId="5986"/>
    <cellStyle name="Normal 3 14 2 2 3 2" xfId="5987"/>
    <cellStyle name="Normal 3 14 2 2 4" xfId="5988"/>
    <cellStyle name="Normal 3 14 2 2 4 2" xfId="5989"/>
    <cellStyle name="Normal 3 14 2 2 5" xfId="5990"/>
    <cellStyle name="Normal 3 14 2 3" xfId="5991"/>
    <cellStyle name="Normal 3 14 2 3 2" xfId="5992"/>
    <cellStyle name="Normal 3 14 2 3 2 2" xfId="5993"/>
    <cellStyle name="Normal 3 14 2 3 3" xfId="5994"/>
    <cellStyle name="Normal 3 14 2 3 3 2" xfId="5995"/>
    <cellStyle name="Normal 3 14 2 3 4" xfId="5996"/>
    <cellStyle name="Normal 3 14 2 3 4 2" xfId="5997"/>
    <cellStyle name="Normal 3 14 2 3 5" xfId="5998"/>
    <cellStyle name="Normal 3 14 2 4" xfId="5999"/>
    <cellStyle name="Normal 3 14 2 4 2" xfId="6000"/>
    <cellStyle name="Normal 3 14 2 5" xfId="6001"/>
    <cellStyle name="Normal 3 14 2 5 2" xfId="6002"/>
    <cellStyle name="Normal 3 14 2 6" xfId="6003"/>
    <cellStyle name="Normal 3 14 2 6 2" xfId="6004"/>
    <cellStyle name="Normal 3 14 2 7" xfId="6005"/>
    <cellStyle name="Normal 3 14 3" xfId="6006"/>
    <cellStyle name="Normal 3 14 3 2" xfId="6007"/>
    <cellStyle name="Normal 3 14 3 2 2" xfId="6008"/>
    <cellStyle name="Normal 3 14 3 3" xfId="6009"/>
    <cellStyle name="Normal 3 14 3 3 2" xfId="6010"/>
    <cellStyle name="Normal 3 14 3 4" xfId="6011"/>
    <cellStyle name="Normal 3 14 3 4 2" xfId="6012"/>
    <cellStyle name="Normal 3 14 3 5" xfId="6013"/>
    <cellStyle name="Normal 3 14 4" xfId="6014"/>
    <cellStyle name="Normal 3 14 4 2" xfId="6015"/>
    <cellStyle name="Normal 3 14 4 2 2" xfId="6016"/>
    <cellStyle name="Normal 3 14 4 3" xfId="6017"/>
    <cellStyle name="Normal 3 14 4 3 2" xfId="6018"/>
    <cellStyle name="Normal 3 14 4 4" xfId="6019"/>
    <cellStyle name="Normal 3 14 4 4 2" xfId="6020"/>
    <cellStyle name="Normal 3 14 4 5" xfId="6021"/>
    <cellStyle name="Normal 3 14 5" xfId="6022"/>
    <cellStyle name="Normal 3 14 5 2" xfId="6023"/>
    <cellStyle name="Normal 3 14 6" xfId="6024"/>
    <cellStyle name="Normal 3 14 6 2" xfId="6025"/>
    <cellStyle name="Normal 3 14 7" xfId="6026"/>
    <cellStyle name="Normal 3 14 7 2" xfId="6027"/>
    <cellStyle name="Normal 3 14 8" xfId="6028"/>
    <cellStyle name="Normal 3 14_Input" xfId="2026"/>
    <cellStyle name="Normal 3 15" xfId="1838"/>
    <cellStyle name="Normal 3 15 2" xfId="2015"/>
    <cellStyle name="Normal 3 15 2 2" xfId="6029"/>
    <cellStyle name="Normal 3 15 2 2 2" xfId="6030"/>
    <cellStyle name="Normal 3 15 2 2 2 2" xfId="6031"/>
    <cellStyle name="Normal 3 15 2 2 3" xfId="6032"/>
    <cellStyle name="Normal 3 15 2 2 3 2" xfId="6033"/>
    <cellStyle name="Normal 3 15 2 2 4" xfId="6034"/>
    <cellStyle name="Normal 3 15 2 2 4 2" xfId="6035"/>
    <cellStyle name="Normal 3 15 2 2 5" xfId="6036"/>
    <cellStyle name="Normal 3 15 2 3" xfId="6037"/>
    <cellStyle name="Normal 3 15 2 3 2" xfId="6038"/>
    <cellStyle name="Normal 3 15 2 3 2 2" xfId="6039"/>
    <cellStyle name="Normal 3 15 2 3 3" xfId="6040"/>
    <cellStyle name="Normal 3 15 2 3 3 2" xfId="6041"/>
    <cellStyle name="Normal 3 15 2 3 4" xfId="6042"/>
    <cellStyle name="Normal 3 15 2 3 4 2" xfId="6043"/>
    <cellStyle name="Normal 3 15 2 3 5" xfId="6044"/>
    <cellStyle name="Normal 3 15 2 4" xfId="6045"/>
    <cellStyle name="Normal 3 15 2 4 2" xfId="6046"/>
    <cellStyle name="Normal 3 15 2 5" xfId="6047"/>
    <cellStyle name="Normal 3 15 2 5 2" xfId="6048"/>
    <cellStyle name="Normal 3 15 2 6" xfId="6049"/>
    <cellStyle name="Normal 3 15 2 6 2" xfId="6050"/>
    <cellStyle name="Normal 3 15 2 7" xfId="6051"/>
    <cellStyle name="Normal 3 15 3" xfId="6052"/>
    <cellStyle name="Normal 3 15 3 2" xfId="6053"/>
    <cellStyle name="Normal 3 15 3 2 2" xfId="6054"/>
    <cellStyle name="Normal 3 15 3 3" xfId="6055"/>
    <cellStyle name="Normal 3 15 3 3 2" xfId="6056"/>
    <cellStyle name="Normal 3 15 3 4" xfId="6057"/>
    <cellStyle name="Normal 3 15 3 4 2" xfId="6058"/>
    <cellStyle name="Normal 3 15 3 5" xfId="6059"/>
    <cellStyle name="Normal 3 15 4" xfId="6060"/>
    <cellStyle name="Normal 3 15 4 2" xfId="6061"/>
    <cellStyle name="Normal 3 15 4 2 2" xfId="6062"/>
    <cellStyle name="Normal 3 15 4 3" xfId="6063"/>
    <cellStyle name="Normal 3 15 4 3 2" xfId="6064"/>
    <cellStyle name="Normal 3 15 4 4" xfId="6065"/>
    <cellStyle name="Normal 3 15 4 4 2" xfId="6066"/>
    <cellStyle name="Normal 3 15 4 5" xfId="6067"/>
    <cellStyle name="Normal 3 15 5" xfId="6068"/>
    <cellStyle name="Normal 3 15 5 2" xfId="6069"/>
    <cellStyle name="Normal 3 15 6" xfId="6070"/>
    <cellStyle name="Normal 3 15 6 2" xfId="6071"/>
    <cellStyle name="Normal 3 15 7" xfId="6072"/>
    <cellStyle name="Normal 3 15 7 2" xfId="6073"/>
    <cellStyle name="Normal 3 15 8" xfId="6074"/>
    <cellStyle name="Normal 3 15_Input" xfId="2027"/>
    <cellStyle name="Normal 3 16" xfId="1877"/>
    <cellStyle name="Normal 3 16 2" xfId="2016"/>
    <cellStyle name="Normal 3 16 2 2" xfId="6075"/>
    <cellStyle name="Normal 3 16 2 2 2" xfId="6076"/>
    <cellStyle name="Normal 3 16 2 2 2 2" xfId="6077"/>
    <cellStyle name="Normal 3 16 2 2 3" xfId="6078"/>
    <cellStyle name="Normal 3 16 2 2 3 2" xfId="6079"/>
    <cellStyle name="Normal 3 16 2 2 4" xfId="6080"/>
    <cellStyle name="Normal 3 16 2 2 4 2" xfId="6081"/>
    <cellStyle name="Normal 3 16 2 2 5" xfId="6082"/>
    <cellStyle name="Normal 3 16 2 3" xfId="6083"/>
    <cellStyle name="Normal 3 16 2 3 2" xfId="6084"/>
    <cellStyle name="Normal 3 16 2 3 2 2" xfId="6085"/>
    <cellStyle name="Normal 3 16 2 3 3" xfId="6086"/>
    <cellStyle name="Normal 3 16 2 3 3 2" xfId="6087"/>
    <cellStyle name="Normal 3 16 2 3 4" xfId="6088"/>
    <cellStyle name="Normal 3 16 2 3 4 2" xfId="6089"/>
    <cellStyle name="Normal 3 16 2 3 5" xfId="6090"/>
    <cellStyle name="Normal 3 16 2 4" xfId="6091"/>
    <cellStyle name="Normal 3 16 2 4 2" xfId="6092"/>
    <cellStyle name="Normal 3 16 2 5" xfId="6093"/>
    <cellStyle name="Normal 3 16 2 5 2" xfId="6094"/>
    <cellStyle name="Normal 3 16 2 6" xfId="6095"/>
    <cellStyle name="Normal 3 16 2 6 2" xfId="6096"/>
    <cellStyle name="Normal 3 16 2 7" xfId="6097"/>
    <cellStyle name="Normal 3 16 3" xfId="6098"/>
    <cellStyle name="Normal 3 16 3 2" xfId="6099"/>
    <cellStyle name="Normal 3 16 3 2 2" xfId="6100"/>
    <cellStyle name="Normal 3 16 3 3" xfId="6101"/>
    <cellStyle name="Normal 3 16 3 3 2" xfId="6102"/>
    <cellStyle name="Normal 3 16 3 4" xfId="6103"/>
    <cellStyle name="Normal 3 16 3 4 2" xfId="6104"/>
    <cellStyle name="Normal 3 16 3 5" xfId="6105"/>
    <cellStyle name="Normal 3 16 4" xfId="6106"/>
    <cellStyle name="Normal 3 16 4 2" xfId="6107"/>
    <cellStyle name="Normal 3 16 4 2 2" xfId="6108"/>
    <cellStyle name="Normal 3 16 4 3" xfId="6109"/>
    <cellStyle name="Normal 3 16 4 3 2" xfId="6110"/>
    <cellStyle name="Normal 3 16 4 4" xfId="6111"/>
    <cellStyle name="Normal 3 16 4 4 2" xfId="6112"/>
    <cellStyle name="Normal 3 16 4 5" xfId="6113"/>
    <cellStyle name="Normal 3 16 5" xfId="6114"/>
    <cellStyle name="Normal 3 16 5 2" xfId="6115"/>
    <cellStyle name="Normal 3 16 6" xfId="6116"/>
    <cellStyle name="Normal 3 16 6 2" xfId="6117"/>
    <cellStyle name="Normal 3 16 7" xfId="6118"/>
    <cellStyle name="Normal 3 16 7 2" xfId="6119"/>
    <cellStyle name="Normal 3 16 8" xfId="6120"/>
    <cellStyle name="Normal 3 16_Input" xfId="2028"/>
    <cellStyle name="Normal 3 17" xfId="1930"/>
    <cellStyle name="Normal 3 17 2" xfId="2018"/>
    <cellStyle name="Normal 3 17 2 2" xfId="6121"/>
    <cellStyle name="Normal 3 17 2 2 2" xfId="6122"/>
    <cellStyle name="Normal 3 17 2 2 2 2" xfId="6123"/>
    <cellStyle name="Normal 3 17 2 2 3" xfId="6124"/>
    <cellStyle name="Normal 3 17 2 2 3 2" xfId="6125"/>
    <cellStyle name="Normal 3 17 2 2 4" xfId="6126"/>
    <cellStyle name="Normal 3 17 2 2 4 2" xfId="6127"/>
    <cellStyle name="Normal 3 17 2 2 5" xfId="6128"/>
    <cellStyle name="Normal 3 17 2 3" xfId="6129"/>
    <cellStyle name="Normal 3 17 2 3 2" xfId="6130"/>
    <cellStyle name="Normal 3 17 2 3 2 2" xfId="6131"/>
    <cellStyle name="Normal 3 17 2 3 3" xfId="6132"/>
    <cellStyle name="Normal 3 17 2 3 3 2" xfId="6133"/>
    <cellStyle name="Normal 3 17 2 3 4" xfId="6134"/>
    <cellStyle name="Normal 3 17 2 3 4 2" xfId="6135"/>
    <cellStyle name="Normal 3 17 2 3 5" xfId="6136"/>
    <cellStyle name="Normal 3 17 2 4" xfId="6137"/>
    <cellStyle name="Normal 3 17 2 4 2" xfId="6138"/>
    <cellStyle name="Normal 3 17 2 5" xfId="6139"/>
    <cellStyle name="Normal 3 17 2 5 2" xfId="6140"/>
    <cellStyle name="Normal 3 17 2 6" xfId="6141"/>
    <cellStyle name="Normal 3 17 2 6 2" xfId="6142"/>
    <cellStyle name="Normal 3 17 2 7" xfId="6143"/>
    <cellStyle name="Normal 3 17 3" xfId="6144"/>
    <cellStyle name="Normal 3 17 3 2" xfId="6145"/>
    <cellStyle name="Normal 3 17 3 2 2" xfId="6146"/>
    <cellStyle name="Normal 3 17 3 3" xfId="6147"/>
    <cellStyle name="Normal 3 17 3 3 2" xfId="6148"/>
    <cellStyle name="Normal 3 17 3 4" xfId="6149"/>
    <cellStyle name="Normal 3 17 3 4 2" xfId="6150"/>
    <cellStyle name="Normal 3 17 3 5" xfId="6151"/>
    <cellStyle name="Normal 3 17 4" xfId="6152"/>
    <cellStyle name="Normal 3 17 4 2" xfId="6153"/>
    <cellStyle name="Normal 3 17 4 2 2" xfId="6154"/>
    <cellStyle name="Normal 3 17 4 3" xfId="6155"/>
    <cellStyle name="Normal 3 17 4 3 2" xfId="6156"/>
    <cellStyle name="Normal 3 17 4 4" xfId="6157"/>
    <cellStyle name="Normal 3 17 4 4 2" xfId="6158"/>
    <cellStyle name="Normal 3 17 4 5" xfId="6159"/>
    <cellStyle name="Normal 3 17 5" xfId="6160"/>
    <cellStyle name="Normal 3 17 5 2" xfId="6161"/>
    <cellStyle name="Normal 3 17 6" xfId="6162"/>
    <cellStyle name="Normal 3 17 6 2" xfId="6163"/>
    <cellStyle name="Normal 3 17 7" xfId="6164"/>
    <cellStyle name="Normal 3 17 7 2" xfId="6165"/>
    <cellStyle name="Normal 3 17 8" xfId="6166"/>
    <cellStyle name="Normal 3 17_Input" xfId="2029"/>
    <cellStyle name="Normal 3 18" xfId="1975"/>
    <cellStyle name="Normal 3 18 2" xfId="6167"/>
    <cellStyle name="Normal 3 18 2 2" xfId="6168"/>
    <cellStyle name="Normal 3 18 2 2 2" xfId="6169"/>
    <cellStyle name="Normal 3 18 2 2 2 2" xfId="6170"/>
    <cellStyle name="Normal 3 18 2 2 3" xfId="6171"/>
    <cellStyle name="Normal 3 18 2 2 3 2" xfId="6172"/>
    <cellStyle name="Normal 3 18 2 2 4" xfId="6173"/>
    <cellStyle name="Normal 3 18 2 2 4 2" xfId="6174"/>
    <cellStyle name="Normal 3 18 2 2 5" xfId="6175"/>
    <cellStyle name="Normal 3 18 2 3" xfId="6176"/>
    <cellStyle name="Normal 3 18 2 3 2" xfId="6177"/>
    <cellStyle name="Normal 3 18 2 3 2 2" xfId="6178"/>
    <cellStyle name="Normal 3 18 2 3 3" xfId="6179"/>
    <cellStyle name="Normal 3 18 2 3 3 2" xfId="6180"/>
    <cellStyle name="Normal 3 18 2 3 4" xfId="6181"/>
    <cellStyle name="Normal 3 18 2 3 4 2" xfId="6182"/>
    <cellStyle name="Normal 3 18 2 3 5" xfId="6183"/>
    <cellStyle name="Normal 3 18 2 4" xfId="6184"/>
    <cellStyle name="Normal 3 18 2 4 2" xfId="6185"/>
    <cellStyle name="Normal 3 18 2 5" xfId="6186"/>
    <cellStyle name="Normal 3 18 2 5 2" xfId="6187"/>
    <cellStyle name="Normal 3 18 2 6" xfId="6188"/>
    <cellStyle name="Normal 3 18 2 6 2" xfId="6189"/>
    <cellStyle name="Normal 3 18 2 7" xfId="6190"/>
    <cellStyle name="Normal 3 18 3" xfId="6191"/>
    <cellStyle name="Normal 3 18 3 2" xfId="6192"/>
    <cellStyle name="Normal 3 18 3 2 2" xfId="6193"/>
    <cellStyle name="Normal 3 18 3 3" xfId="6194"/>
    <cellStyle name="Normal 3 18 3 3 2" xfId="6195"/>
    <cellStyle name="Normal 3 18 3 4" xfId="6196"/>
    <cellStyle name="Normal 3 18 3 4 2" xfId="6197"/>
    <cellStyle name="Normal 3 18 3 5" xfId="6198"/>
    <cellStyle name="Normal 3 18 4" xfId="6199"/>
    <cellStyle name="Normal 3 18 4 2" xfId="6200"/>
    <cellStyle name="Normal 3 18 4 2 2" xfId="6201"/>
    <cellStyle name="Normal 3 18 4 3" xfId="6202"/>
    <cellStyle name="Normal 3 18 4 3 2" xfId="6203"/>
    <cellStyle name="Normal 3 18 4 4" xfId="6204"/>
    <cellStyle name="Normal 3 18 4 4 2" xfId="6205"/>
    <cellStyle name="Normal 3 18 4 5" xfId="6206"/>
    <cellStyle name="Normal 3 18 5" xfId="6207"/>
    <cellStyle name="Normal 3 18 5 2" xfId="6208"/>
    <cellStyle name="Normal 3 18 6" xfId="6209"/>
    <cellStyle name="Normal 3 18 6 2" xfId="6210"/>
    <cellStyle name="Normal 3 18 7" xfId="6211"/>
    <cellStyle name="Normal 3 18 7 2" xfId="6212"/>
    <cellStyle name="Normal 3 18 8" xfId="6213"/>
    <cellStyle name="Normal 3 19" xfId="6214"/>
    <cellStyle name="Normal 3 19 2" xfId="6215"/>
    <cellStyle name="Normal 3 19 2 2" xfId="6216"/>
    <cellStyle name="Normal 3 19 2 2 2" xfId="6217"/>
    <cellStyle name="Normal 3 19 2 3" xfId="6218"/>
    <cellStyle name="Normal 3 19 2 3 2" xfId="6219"/>
    <cellStyle name="Normal 3 19 2 4" xfId="6220"/>
    <cellStyle name="Normal 3 19 2 4 2" xfId="6221"/>
    <cellStyle name="Normal 3 19 2 5" xfId="6222"/>
    <cellStyle name="Normal 3 19 3" xfId="6223"/>
    <cellStyle name="Normal 3 19 3 2" xfId="6224"/>
    <cellStyle name="Normal 3 19 3 2 2" xfId="6225"/>
    <cellStyle name="Normal 3 19 3 3" xfId="6226"/>
    <cellStyle name="Normal 3 19 3 3 2" xfId="6227"/>
    <cellStyle name="Normal 3 19 3 4" xfId="6228"/>
    <cellStyle name="Normal 3 19 3 4 2" xfId="6229"/>
    <cellStyle name="Normal 3 19 3 5" xfId="6230"/>
    <cellStyle name="Normal 3 19 4" xfId="6231"/>
    <cellStyle name="Normal 3 19 4 2" xfId="6232"/>
    <cellStyle name="Normal 3 19 5" xfId="6233"/>
    <cellStyle name="Normal 3 19 5 2" xfId="6234"/>
    <cellStyle name="Normal 3 19 6" xfId="6235"/>
    <cellStyle name="Normal 3 19 6 2" xfId="6236"/>
    <cellStyle name="Normal 3 19 7" xfId="6237"/>
    <cellStyle name="Normal 3 2" xfId="173"/>
    <cellStyle name="Normal 3 2 2" xfId="174"/>
    <cellStyle name="Normal 3 2 2 2" xfId="175"/>
    <cellStyle name="Normal 3 2 2 2 2" xfId="962"/>
    <cellStyle name="Normal 3 2 2 2 2 2" xfId="3559"/>
    <cellStyle name="Normal 3 2 2 2 3" xfId="3560"/>
    <cellStyle name="Normal 3 2 2 2 4" xfId="3558"/>
    <cellStyle name="Normal 3 2 2 2_Input" xfId="1483"/>
    <cellStyle name="Normal 3 2 2 3" xfId="961"/>
    <cellStyle name="Normal 3 2 2 3 2" xfId="1998"/>
    <cellStyle name="Normal 3 2 2 3 2 2" xfId="6238"/>
    <cellStyle name="Normal 3 2 2 3 2 2 2" xfId="6239"/>
    <cellStyle name="Normal 3 2 2 3 2 2 2 2" xfId="6240"/>
    <cellStyle name="Normal 3 2 2 3 2 2 3" xfId="6241"/>
    <cellStyle name="Normal 3 2 2 3 2 2 3 2" xfId="6242"/>
    <cellStyle name="Normal 3 2 2 3 2 2 4" xfId="6243"/>
    <cellStyle name="Normal 3 2 2 3 2 2 4 2" xfId="6244"/>
    <cellStyle name="Normal 3 2 2 3 2 2 5" xfId="6245"/>
    <cellStyle name="Normal 3 2 2 3 2 3" xfId="6246"/>
    <cellStyle name="Normal 3 2 2 3 2 3 2" xfId="6247"/>
    <cellStyle name="Normal 3 2 2 3 2 3 2 2" xfId="6248"/>
    <cellStyle name="Normal 3 2 2 3 2 3 3" xfId="6249"/>
    <cellStyle name="Normal 3 2 2 3 2 3 3 2" xfId="6250"/>
    <cellStyle name="Normal 3 2 2 3 2 3 4" xfId="6251"/>
    <cellStyle name="Normal 3 2 2 3 2 3 4 2" xfId="6252"/>
    <cellStyle name="Normal 3 2 2 3 2 3 5" xfId="6253"/>
    <cellStyle name="Normal 3 2 2 3 2 4" xfId="6254"/>
    <cellStyle name="Normal 3 2 2 3 2 4 2" xfId="6255"/>
    <cellStyle name="Normal 3 2 2 3 2 5" xfId="6256"/>
    <cellStyle name="Normal 3 2 2 3 2 5 2" xfId="6257"/>
    <cellStyle name="Normal 3 2 2 3 2 6" xfId="6258"/>
    <cellStyle name="Normal 3 2 2 3 2 6 2" xfId="6259"/>
    <cellStyle name="Normal 3 2 2 3 2 7" xfId="6260"/>
    <cellStyle name="Normal 3 2 2 3 3" xfId="6261"/>
    <cellStyle name="Normal 3 2 2 3 3 2" xfId="6262"/>
    <cellStyle name="Normal 3 2 2 3 3 2 2" xfId="6263"/>
    <cellStyle name="Normal 3 2 2 3 3 3" xfId="6264"/>
    <cellStyle name="Normal 3 2 2 3 3 3 2" xfId="6265"/>
    <cellStyle name="Normal 3 2 2 3 3 4" xfId="6266"/>
    <cellStyle name="Normal 3 2 2 3 3 4 2" xfId="6267"/>
    <cellStyle name="Normal 3 2 2 3 3 5" xfId="6268"/>
    <cellStyle name="Normal 3 2 2 3 4" xfId="6269"/>
    <cellStyle name="Normal 3 2 2 3 4 2" xfId="6270"/>
    <cellStyle name="Normal 3 2 2 3 4 2 2" xfId="6271"/>
    <cellStyle name="Normal 3 2 2 3 4 3" xfId="6272"/>
    <cellStyle name="Normal 3 2 2 3 4 3 2" xfId="6273"/>
    <cellStyle name="Normal 3 2 2 3 4 4" xfId="6274"/>
    <cellStyle name="Normal 3 2 2 3 4 4 2" xfId="6275"/>
    <cellStyle name="Normal 3 2 2 3 4 5" xfId="6276"/>
    <cellStyle name="Normal 3 2 2 3 5" xfId="6277"/>
    <cellStyle name="Normal 3 2 2 3 5 2" xfId="6278"/>
    <cellStyle name="Normal 3 2 2 3 6" xfId="6279"/>
    <cellStyle name="Normal 3 2 2 3 6 2" xfId="6280"/>
    <cellStyle name="Normal 3 2 2 3 7" xfId="6281"/>
    <cellStyle name="Normal 3 2 2 3 7 2" xfId="6282"/>
    <cellStyle name="Normal 3 2 2 3 8" xfId="6283"/>
    <cellStyle name="Normal 3 2 2 3_Input" xfId="2030"/>
    <cellStyle name="Normal 3 2 2 4" xfId="1976"/>
    <cellStyle name="Normal 3 2 2 4 2" xfId="6284"/>
    <cellStyle name="Normal 3 2 2 4 2 2" xfId="6285"/>
    <cellStyle name="Normal 3 2 2 4 2 2 2" xfId="6286"/>
    <cellStyle name="Normal 3 2 2 4 2 2 2 2" xfId="6287"/>
    <cellStyle name="Normal 3 2 2 4 2 2 3" xfId="6288"/>
    <cellStyle name="Normal 3 2 2 4 2 2 3 2" xfId="6289"/>
    <cellStyle name="Normal 3 2 2 4 2 2 4" xfId="6290"/>
    <cellStyle name="Normal 3 2 2 4 2 2 4 2" xfId="6291"/>
    <cellStyle name="Normal 3 2 2 4 2 2 5" xfId="6292"/>
    <cellStyle name="Normal 3 2 2 4 2 3" xfId="6293"/>
    <cellStyle name="Normal 3 2 2 4 2 3 2" xfId="6294"/>
    <cellStyle name="Normal 3 2 2 4 2 3 2 2" xfId="6295"/>
    <cellStyle name="Normal 3 2 2 4 2 3 3" xfId="6296"/>
    <cellStyle name="Normal 3 2 2 4 2 3 3 2" xfId="6297"/>
    <cellStyle name="Normal 3 2 2 4 2 3 4" xfId="6298"/>
    <cellStyle name="Normal 3 2 2 4 2 3 4 2" xfId="6299"/>
    <cellStyle name="Normal 3 2 2 4 2 3 5" xfId="6300"/>
    <cellStyle name="Normal 3 2 2 4 2 4" xfId="6301"/>
    <cellStyle name="Normal 3 2 2 4 2 4 2" xfId="6302"/>
    <cellStyle name="Normal 3 2 2 4 2 5" xfId="6303"/>
    <cellStyle name="Normal 3 2 2 4 2 5 2" xfId="6304"/>
    <cellStyle name="Normal 3 2 2 4 2 6" xfId="6305"/>
    <cellStyle name="Normal 3 2 2 4 2 6 2" xfId="6306"/>
    <cellStyle name="Normal 3 2 2 4 2 7" xfId="6307"/>
    <cellStyle name="Normal 3 2 2 4 3" xfId="6308"/>
    <cellStyle name="Normal 3 2 2 4 3 2" xfId="6309"/>
    <cellStyle name="Normal 3 2 2 4 3 2 2" xfId="6310"/>
    <cellStyle name="Normal 3 2 2 4 3 3" xfId="6311"/>
    <cellStyle name="Normal 3 2 2 4 3 3 2" xfId="6312"/>
    <cellStyle name="Normal 3 2 2 4 3 4" xfId="6313"/>
    <cellStyle name="Normal 3 2 2 4 3 4 2" xfId="6314"/>
    <cellStyle name="Normal 3 2 2 4 3 5" xfId="6315"/>
    <cellStyle name="Normal 3 2 2 4 4" xfId="6316"/>
    <cellStyle name="Normal 3 2 2 4 4 2" xfId="6317"/>
    <cellStyle name="Normal 3 2 2 4 4 2 2" xfId="6318"/>
    <cellStyle name="Normal 3 2 2 4 4 3" xfId="6319"/>
    <cellStyle name="Normal 3 2 2 4 4 3 2" xfId="6320"/>
    <cellStyle name="Normal 3 2 2 4 4 4" xfId="6321"/>
    <cellStyle name="Normal 3 2 2 4 4 4 2" xfId="6322"/>
    <cellStyle name="Normal 3 2 2 4 4 5" xfId="6323"/>
    <cellStyle name="Normal 3 2 2 4 5" xfId="6324"/>
    <cellStyle name="Normal 3 2 2 4 5 2" xfId="6325"/>
    <cellStyle name="Normal 3 2 2 4 6" xfId="6326"/>
    <cellStyle name="Normal 3 2 2 4 6 2" xfId="6327"/>
    <cellStyle name="Normal 3 2 2 4 7" xfId="6328"/>
    <cellStyle name="Normal 3 2 2 4 7 2" xfId="6329"/>
    <cellStyle name="Normal 3 2 2 4 8" xfId="6330"/>
    <cellStyle name="Normal 3 2 2 5" xfId="2012"/>
    <cellStyle name="Normal 3 2 2 5 2" xfId="6331"/>
    <cellStyle name="Normal 3 2 2 5 2 2" xfId="6332"/>
    <cellStyle name="Normal 3 2 2 5 2 2 2" xfId="6333"/>
    <cellStyle name="Normal 3 2 2 5 2 2 2 2" xfId="6334"/>
    <cellStyle name="Normal 3 2 2 5 2 2 3" xfId="6335"/>
    <cellStyle name="Normal 3 2 2 5 2 2 3 2" xfId="6336"/>
    <cellStyle name="Normal 3 2 2 5 2 2 4" xfId="6337"/>
    <cellStyle name="Normal 3 2 2 5 2 2 4 2" xfId="6338"/>
    <cellStyle name="Normal 3 2 2 5 2 2 5" xfId="6339"/>
    <cellStyle name="Normal 3 2 2 5 2 3" xfId="6340"/>
    <cellStyle name="Normal 3 2 2 5 2 3 2" xfId="6341"/>
    <cellStyle name="Normal 3 2 2 5 2 3 2 2" xfId="6342"/>
    <cellStyle name="Normal 3 2 2 5 2 3 3" xfId="6343"/>
    <cellStyle name="Normal 3 2 2 5 2 3 3 2" xfId="6344"/>
    <cellStyle name="Normal 3 2 2 5 2 3 4" xfId="6345"/>
    <cellStyle name="Normal 3 2 2 5 2 3 4 2" xfId="6346"/>
    <cellStyle name="Normal 3 2 2 5 2 3 5" xfId="6347"/>
    <cellStyle name="Normal 3 2 2 5 2 4" xfId="6348"/>
    <cellStyle name="Normal 3 2 2 5 2 4 2" xfId="6349"/>
    <cellStyle name="Normal 3 2 2 5 2 5" xfId="6350"/>
    <cellStyle name="Normal 3 2 2 5 2 5 2" xfId="6351"/>
    <cellStyle name="Normal 3 2 2 5 2 6" xfId="6352"/>
    <cellStyle name="Normal 3 2 2 5 2 6 2" xfId="6353"/>
    <cellStyle name="Normal 3 2 2 5 2 7" xfId="6354"/>
    <cellStyle name="Normal 3 2 2 5 3" xfId="6355"/>
    <cellStyle name="Normal 3 2 2 5 3 2" xfId="6356"/>
    <cellStyle name="Normal 3 2 2 5 3 2 2" xfId="6357"/>
    <cellStyle name="Normal 3 2 2 5 3 3" xfId="6358"/>
    <cellStyle name="Normal 3 2 2 5 3 3 2" xfId="6359"/>
    <cellStyle name="Normal 3 2 2 5 3 4" xfId="6360"/>
    <cellStyle name="Normal 3 2 2 5 3 4 2" xfId="6361"/>
    <cellStyle name="Normal 3 2 2 5 3 5" xfId="6362"/>
    <cellStyle name="Normal 3 2 2 5 4" xfId="6363"/>
    <cellStyle name="Normal 3 2 2 5 4 2" xfId="6364"/>
    <cellStyle name="Normal 3 2 2 5 4 2 2" xfId="6365"/>
    <cellStyle name="Normal 3 2 2 5 4 3" xfId="6366"/>
    <cellStyle name="Normal 3 2 2 5 4 3 2" xfId="6367"/>
    <cellStyle name="Normal 3 2 2 5 4 4" xfId="6368"/>
    <cellStyle name="Normal 3 2 2 5 4 4 2" xfId="6369"/>
    <cellStyle name="Normal 3 2 2 5 4 5" xfId="6370"/>
    <cellStyle name="Normal 3 2 2 5 5" xfId="6371"/>
    <cellStyle name="Normal 3 2 2 5 5 2" xfId="6372"/>
    <cellStyle name="Normal 3 2 2 5 6" xfId="6373"/>
    <cellStyle name="Normal 3 2 2 5 6 2" xfId="6374"/>
    <cellStyle name="Normal 3 2 2 5 7" xfId="6375"/>
    <cellStyle name="Normal 3 2 2 5 7 2" xfId="6376"/>
    <cellStyle name="Normal 3 2 2 5 8" xfId="6377"/>
    <cellStyle name="Normal 3 2 2 6" xfId="6378"/>
    <cellStyle name="Normal 3 2 2 6 2" xfId="6379"/>
    <cellStyle name="Normal 3 2 2 6 2 2" xfId="6380"/>
    <cellStyle name="Normal 3 2 2 6 2 2 2" xfId="6381"/>
    <cellStyle name="Normal 3 2 2 6 2 2 2 2" xfId="6382"/>
    <cellStyle name="Normal 3 2 2 6 2 2 3" xfId="6383"/>
    <cellStyle name="Normal 3 2 2 6 2 2 3 2" xfId="6384"/>
    <cellStyle name="Normal 3 2 2 6 2 2 4" xfId="6385"/>
    <cellStyle name="Normal 3 2 2 6 2 2 4 2" xfId="6386"/>
    <cellStyle name="Normal 3 2 2 6 2 2 5" xfId="6387"/>
    <cellStyle name="Normal 3 2 2 6 2 3" xfId="6388"/>
    <cellStyle name="Normal 3 2 2 6 2 3 2" xfId="6389"/>
    <cellStyle name="Normal 3 2 2 6 2 3 2 2" xfId="6390"/>
    <cellStyle name="Normal 3 2 2 6 2 3 3" xfId="6391"/>
    <cellStyle name="Normal 3 2 2 6 2 3 3 2" xfId="6392"/>
    <cellStyle name="Normal 3 2 2 6 2 3 4" xfId="6393"/>
    <cellStyle name="Normal 3 2 2 6 2 3 4 2" xfId="6394"/>
    <cellStyle name="Normal 3 2 2 6 2 3 5" xfId="6395"/>
    <cellStyle name="Normal 3 2 2 6 2 4" xfId="6396"/>
    <cellStyle name="Normal 3 2 2 6 2 4 2" xfId="6397"/>
    <cellStyle name="Normal 3 2 2 6 2 5" xfId="6398"/>
    <cellStyle name="Normal 3 2 2 6 2 5 2" xfId="6399"/>
    <cellStyle name="Normal 3 2 2 6 2 6" xfId="6400"/>
    <cellStyle name="Normal 3 2 2 6 2 6 2" xfId="6401"/>
    <cellStyle name="Normal 3 2 2 6 2 7" xfId="6402"/>
    <cellStyle name="Normal 3 2 2 6 3" xfId="6403"/>
    <cellStyle name="Normal 3 2 2 6 3 2" xfId="6404"/>
    <cellStyle name="Normal 3 2 2 6 3 2 2" xfId="6405"/>
    <cellStyle name="Normal 3 2 2 6 3 3" xfId="6406"/>
    <cellStyle name="Normal 3 2 2 6 3 3 2" xfId="6407"/>
    <cellStyle name="Normal 3 2 2 6 3 4" xfId="6408"/>
    <cellStyle name="Normal 3 2 2 6 3 4 2" xfId="6409"/>
    <cellStyle name="Normal 3 2 2 6 3 5" xfId="6410"/>
    <cellStyle name="Normal 3 2 2 6 4" xfId="6411"/>
    <cellStyle name="Normal 3 2 2 6 4 2" xfId="6412"/>
    <cellStyle name="Normal 3 2 2 6 4 2 2" xfId="6413"/>
    <cellStyle name="Normal 3 2 2 6 4 3" xfId="6414"/>
    <cellStyle name="Normal 3 2 2 6 4 3 2" xfId="6415"/>
    <cellStyle name="Normal 3 2 2 6 4 4" xfId="6416"/>
    <cellStyle name="Normal 3 2 2 6 4 4 2" xfId="6417"/>
    <cellStyle name="Normal 3 2 2 6 4 5" xfId="6418"/>
    <cellStyle name="Normal 3 2 2 6 5" xfId="6419"/>
    <cellStyle name="Normal 3 2 2 6 5 2" xfId="6420"/>
    <cellStyle name="Normal 3 2 2 6 6" xfId="6421"/>
    <cellStyle name="Normal 3 2 2 6 6 2" xfId="6422"/>
    <cellStyle name="Normal 3 2 2 6 7" xfId="6423"/>
    <cellStyle name="Normal 3 2 2 6 7 2" xfId="6424"/>
    <cellStyle name="Normal 3 2 2 6 8" xfId="6425"/>
    <cellStyle name="Normal 3 2 2 7" xfId="6426"/>
    <cellStyle name="Normal 3 2 2 7 2" xfId="6427"/>
    <cellStyle name="Normal 3 2 2 7 2 2" xfId="6428"/>
    <cellStyle name="Normal 3 2 2 7 2 2 2" xfId="6429"/>
    <cellStyle name="Normal 3 2 2 7 2 2 2 2" xfId="6430"/>
    <cellStyle name="Normal 3 2 2 7 2 2 3" xfId="6431"/>
    <cellStyle name="Normal 3 2 2 7 2 2 3 2" xfId="6432"/>
    <cellStyle name="Normal 3 2 2 7 2 2 4" xfId="6433"/>
    <cellStyle name="Normal 3 2 2 7 2 2 4 2" xfId="6434"/>
    <cellStyle name="Normal 3 2 2 7 2 2 5" xfId="6435"/>
    <cellStyle name="Normal 3 2 2 7 2 3" xfId="6436"/>
    <cellStyle name="Normal 3 2 2 7 2 3 2" xfId="6437"/>
    <cellStyle name="Normal 3 2 2 7 2 3 2 2" xfId="6438"/>
    <cellStyle name="Normal 3 2 2 7 2 3 3" xfId="6439"/>
    <cellStyle name="Normal 3 2 2 7 2 3 3 2" xfId="6440"/>
    <cellStyle name="Normal 3 2 2 7 2 3 4" xfId="6441"/>
    <cellStyle name="Normal 3 2 2 7 2 3 4 2" xfId="6442"/>
    <cellStyle name="Normal 3 2 2 7 2 3 5" xfId="6443"/>
    <cellStyle name="Normal 3 2 2 7 2 4" xfId="6444"/>
    <cellStyle name="Normal 3 2 2 7 2 4 2" xfId="6445"/>
    <cellStyle name="Normal 3 2 2 7 2 5" xfId="6446"/>
    <cellStyle name="Normal 3 2 2 7 2 5 2" xfId="6447"/>
    <cellStyle name="Normal 3 2 2 7 2 6" xfId="6448"/>
    <cellStyle name="Normal 3 2 2 7 2 6 2" xfId="6449"/>
    <cellStyle name="Normal 3 2 2 7 2 7" xfId="6450"/>
    <cellStyle name="Normal 3 2 2 7 3" xfId="6451"/>
    <cellStyle name="Normal 3 2 2 7 3 2" xfId="6452"/>
    <cellStyle name="Normal 3 2 2 7 3 2 2" xfId="6453"/>
    <cellStyle name="Normal 3 2 2 7 3 3" xfId="6454"/>
    <cellStyle name="Normal 3 2 2 7 3 3 2" xfId="6455"/>
    <cellStyle name="Normal 3 2 2 7 3 4" xfId="6456"/>
    <cellStyle name="Normal 3 2 2 7 3 4 2" xfId="6457"/>
    <cellStyle name="Normal 3 2 2 7 3 5" xfId="6458"/>
    <cellStyle name="Normal 3 2 2 7 4" xfId="6459"/>
    <cellStyle name="Normal 3 2 2 7 4 2" xfId="6460"/>
    <cellStyle name="Normal 3 2 2 7 4 2 2" xfId="6461"/>
    <cellStyle name="Normal 3 2 2 7 4 3" xfId="6462"/>
    <cellStyle name="Normal 3 2 2 7 4 3 2" xfId="6463"/>
    <cellStyle name="Normal 3 2 2 7 4 4" xfId="6464"/>
    <cellStyle name="Normal 3 2 2 7 4 4 2" xfId="6465"/>
    <cellStyle name="Normal 3 2 2 7 4 5" xfId="6466"/>
    <cellStyle name="Normal 3 2 2 7 5" xfId="6467"/>
    <cellStyle name="Normal 3 2 2 7 5 2" xfId="6468"/>
    <cellStyle name="Normal 3 2 2 7 6" xfId="6469"/>
    <cellStyle name="Normal 3 2 2 7 6 2" xfId="6470"/>
    <cellStyle name="Normal 3 2 2 7 7" xfId="6471"/>
    <cellStyle name="Normal 3 2 2 7 7 2" xfId="6472"/>
    <cellStyle name="Normal 3 2 2 7 8" xfId="6473"/>
    <cellStyle name="Normal 3 2 2 8" xfId="6474"/>
    <cellStyle name="Normal 3 2 2 8 2" xfId="6475"/>
    <cellStyle name="Normal 3 2 2 8 2 2" xfId="6476"/>
    <cellStyle name="Normal 3 2 2 8 2 2 2" xfId="6477"/>
    <cellStyle name="Normal 3 2 2 8 2 3" xfId="6478"/>
    <cellStyle name="Normal 3 2 2 8 2 3 2" xfId="6479"/>
    <cellStyle name="Normal 3 2 2 8 2 4" xfId="6480"/>
    <cellStyle name="Normal 3 2 2 8 2 4 2" xfId="6481"/>
    <cellStyle name="Normal 3 2 2 8 2 5" xfId="6482"/>
    <cellStyle name="Normal 3 2 2 8 3" xfId="6483"/>
    <cellStyle name="Normal 3 2 2 8 3 2" xfId="6484"/>
    <cellStyle name="Normal 3 2 2 8 3 2 2" xfId="6485"/>
    <cellStyle name="Normal 3 2 2 8 3 3" xfId="6486"/>
    <cellStyle name="Normal 3 2 2 8 3 3 2" xfId="6487"/>
    <cellStyle name="Normal 3 2 2 8 3 4" xfId="6488"/>
    <cellStyle name="Normal 3 2 2 8 3 4 2" xfId="6489"/>
    <cellStyle name="Normal 3 2 2 8 3 5" xfId="6490"/>
    <cellStyle name="Normal 3 2 2 8 4" xfId="6491"/>
    <cellStyle name="Normal 3 2 2 8 4 2" xfId="6492"/>
    <cellStyle name="Normal 3 2 2 8 5" xfId="6493"/>
    <cellStyle name="Normal 3 2 2 8 5 2" xfId="6494"/>
    <cellStyle name="Normal 3 2 2 8 6" xfId="6495"/>
    <cellStyle name="Normal 3 2 2 8 6 2" xfId="6496"/>
    <cellStyle name="Normal 3 2 2 8 7" xfId="6497"/>
    <cellStyle name="Normal 3 2 2 9" xfId="6498"/>
    <cellStyle name="Normal 3 2 2 9 2" xfId="6499"/>
    <cellStyle name="Normal 3 2 2 9 2 2" xfId="6500"/>
    <cellStyle name="Normal 3 2 2 9 2 2 2" xfId="6501"/>
    <cellStyle name="Normal 3 2 2 9 2 3" xfId="6502"/>
    <cellStyle name="Normal 3 2 2 9 2 3 2" xfId="6503"/>
    <cellStyle name="Normal 3 2 2 9 2 4" xfId="6504"/>
    <cellStyle name="Normal 3 2 2 9 2 4 2" xfId="6505"/>
    <cellStyle name="Normal 3 2 2 9 2 5" xfId="6506"/>
    <cellStyle name="Normal 3 2 2 9 3" xfId="6507"/>
    <cellStyle name="Normal 3 2 2 9 3 2" xfId="6508"/>
    <cellStyle name="Normal 3 2 2 9 3 2 2" xfId="6509"/>
    <cellStyle name="Normal 3 2 2 9 3 3" xfId="6510"/>
    <cellStyle name="Normal 3 2 2 9 3 3 2" xfId="6511"/>
    <cellStyle name="Normal 3 2 2 9 3 4" xfId="6512"/>
    <cellStyle name="Normal 3 2 2 9 3 4 2" xfId="6513"/>
    <cellStyle name="Normal 3 2 2 9 3 5" xfId="6514"/>
    <cellStyle name="Normal 3 2 2 9 4" xfId="6515"/>
    <cellStyle name="Normal 3 2 2 9 4 2" xfId="6516"/>
    <cellStyle name="Normal 3 2 2 9 5" xfId="6517"/>
    <cellStyle name="Normal 3 2 2 9 5 2" xfId="6518"/>
    <cellStyle name="Normal 3 2 2 9 6" xfId="6519"/>
    <cellStyle name="Normal 3 2 2 9 6 2" xfId="6520"/>
    <cellStyle name="Normal 3 2 2 9 7" xfId="6521"/>
    <cellStyle name="Normal 3 2 2_Input" xfId="1482"/>
    <cellStyle name="Normal 3 2 3" xfId="960"/>
    <cellStyle name="Normal 3 2 3 2" xfId="3562"/>
    <cellStyle name="Normal 3 2 3 3" xfId="3563"/>
    <cellStyle name="Normal 3 2 3 4" xfId="3561"/>
    <cellStyle name="Normal 3 2 4" xfId="3564"/>
    <cellStyle name="Normal 3 2 4 2" xfId="39786"/>
    <cellStyle name="Normal 3 2 5" xfId="3565"/>
    <cellStyle name="Normal 3 2 6" xfId="39495"/>
    <cellStyle name="Normal 3 2_Input" xfId="1481"/>
    <cellStyle name="Normal 3 20" xfId="6522"/>
    <cellStyle name="Normal 3 21" xfId="3972"/>
    <cellStyle name="Normal 3 3" xfId="176"/>
    <cellStyle name="Normal 3 3 2" xfId="177"/>
    <cellStyle name="Normal 3 3 2 2" xfId="963"/>
    <cellStyle name="Normal 3 3 2 2 2" xfId="3568"/>
    <cellStyle name="Normal 3 3 2 2 2 2" xfId="6523"/>
    <cellStyle name="Normal 3 3 2 2 3" xfId="6524"/>
    <cellStyle name="Normal 3 3 2 2 3 2" xfId="6525"/>
    <cellStyle name="Normal 3 3 2 2 4" xfId="6526"/>
    <cellStyle name="Normal 3 3 2 2 4 2" xfId="6527"/>
    <cellStyle name="Normal 3 3 2 2 5" xfId="6528"/>
    <cellStyle name="Normal 3 3 2 3" xfId="3569"/>
    <cellStyle name="Normal 3 3 2 3 2" xfId="6529"/>
    <cellStyle name="Normal 3 3 2 3 2 2" xfId="6530"/>
    <cellStyle name="Normal 3 3 2 3 3" xfId="6531"/>
    <cellStyle name="Normal 3 3 2 3 3 2" xfId="6532"/>
    <cellStyle name="Normal 3 3 2 3 4" xfId="6533"/>
    <cellStyle name="Normal 3 3 2 3 4 2" xfId="6534"/>
    <cellStyle name="Normal 3 3 2 3 5" xfId="6535"/>
    <cellStyle name="Normal 3 3 2 4" xfId="3567"/>
    <cellStyle name="Normal 3 3 2 4 2" xfId="6536"/>
    <cellStyle name="Normal 3 3 2 5" xfId="6537"/>
    <cellStyle name="Normal 3 3 2 5 2" xfId="6538"/>
    <cellStyle name="Normal 3 3 2 6" xfId="6539"/>
    <cellStyle name="Normal 3 3 2 6 2" xfId="6540"/>
    <cellStyle name="Normal 3 3 2 7" xfId="6541"/>
    <cellStyle name="Normal 3 3 2_Input" xfId="1484"/>
    <cellStyle name="Normal 3 3 3" xfId="3570"/>
    <cellStyle name="Normal 3 3 3 2" xfId="6542"/>
    <cellStyle name="Normal 3 3 3 3" xfId="39787"/>
    <cellStyle name="Normal 3 3 4" xfId="3571"/>
    <cellStyle name="Normal 3 3 4 2" xfId="6543"/>
    <cellStyle name="Normal 3 3 4 2 2" xfId="6544"/>
    <cellStyle name="Normal 3 3 4 3" xfId="6545"/>
    <cellStyle name="Normal 3 3 4 3 2" xfId="6546"/>
    <cellStyle name="Normal 3 3 4 4" xfId="6547"/>
    <cellStyle name="Normal 3 3 4 4 2" xfId="6548"/>
    <cellStyle name="Normal 3 3 4 5" xfId="6549"/>
    <cellStyle name="Normal 3 3 5" xfId="3566"/>
    <cellStyle name="Normal 3 3 5 2" xfId="6550"/>
    <cellStyle name="Normal 3 3 5 2 2" xfId="6551"/>
    <cellStyle name="Normal 3 3 5 3" xfId="6552"/>
    <cellStyle name="Normal 3 3 5 3 2" xfId="6553"/>
    <cellStyle name="Normal 3 3 5 4" xfId="6554"/>
    <cellStyle name="Normal 3 3 5 4 2" xfId="6555"/>
    <cellStyle name="Normal 3 3 5 5" xfId="6556"/>
    <cellStyle name="Normal 3 3 6" xfId="6557"/>
    <cellStyle name="Normal 3 3 6 2" xfId="6558"/>
    <cellStyle name="Normal 3 3 7" xfId="6559"/>
    <cellStyle name="Normal 3 3 7 2" xfId="6560"/>
    <cellStyle name="Normal 3 3 8" xfId="6561"/>
    <cellStyle name="Normal 3 3 8 2" xfId="6562"/>
    <cellStyle name="Normal 3 3 9" xfId="6563"/>
    <cellStyle name="Normal 3 4" xfId="819"/>
    <cellStyle name="Normal 3 4 2" xfId="1397"/>
    <cellStyle name="Normal 3 4 2 2" xfId="2003"/>
    <cellStyle name="Normal 3 4 2 3" xfId="6564"/>
    <cellStyle name="Normal 3 4 2_Input" xfId="2031"/>
    <cellStyle name="Normal 3 4 3" xfId="1987"/>
    <cellStyle name="Normal 3 4 3 2" xfId="6565"/>
    <cellStyle name="Normal 3 4 3 2 2" xfId="6566"/>
    <cellStyle name="Normal 3 4 3 3" xfId="6567"/>
    <cellStyle name="Normal 3 4 3 3 2" xfId="6568"/>
    <cellStyle name="Normal 3 4 3 4" xfId="6569"/>
    <cellStyle name="Normal 3 4 3 4 2" xfId="6570"/>
    <cellStyle name="Normal 3 4 3 5" xfId="6571"/>
    <cellStyle name="Normal 3 4 4" xfId="6572"/>
    <cellStyle name="Normal 3 4 4 2" xfId="6573"/>
    <cellStyle name="Normal 3 4 4 2 2" xfId="6574"/>
    <cellStyle name="Normal 3 4 4 3" xfId="6575"/>
    <cellStyle name="Normal 3 4 4 3 2" xfId="6576"/>
    <cellStyle name="Normal 3 4 4 4" xfId="6577"/>
    <cellStyle name="Normal 3 4 4 4 2" xfId="6578"/>
    <cellStyle name="Normal 3 4 4 5" xfId="6579"/>
    <cellStyle name="Normal 3 4 5" xfId="6580"/>
    <cellStyle name="Normal 3 4 5 2" xfId="6581"/>
    <cellStyle name="Normal 3 4 6" xfId="6582"/>
    <cellStyle name="Normal 3 4 6 2" xfId="6583"/>
    <cellStyle name="Normal 3 4 7" xfId="6584"/>
    <cellStyle name="Normal 3 4 7 2" xfId="6585"/>
    <cellStyle name="Normal 3 4 8" xfId="6586"/>
    <cellStyle name="Normal 3 4_Input" xfId="1485"/>
    <cellStyle name="Normal 3 5" xfId="824"/>
    <cellStyle name="Normal 3 5 10" xfId="6587"/>
    <cellStyle name="Normal 3 5 10 2" xfId="6588"/>
    <cellStyle name="Normal 3 5 10 2 2" xfId="6589"/>
    <cellStyle name="Normal 3 5 10 2 2 2" xfId="6590"/>
    <cellStyle name="Normal 3 5 10 2 2 2 2" xfId="6591"/>
    <cellStyle name="Normal 3 5 10 2 2 3" xfId="6592"/>
    <cellStyle name="Normal 3 5 10 2 2 3 2" xfId="6593"/>
    <cellStyle name="Normal 3 5 10 2 2 4" xfId="6594"/>
    <cellStyle name="Normal 3 5 10 2 2 4 2" xfId="6595"/>
    <cellStyle name="Normal 3 5 10 2 2 5" xfId="6596"/>
    <cellStyle name="Normal 3 5 10 2 3" xfId="6597"/>
    <cellStyle name="Normal 3 5 10 2 3 2" xfId="6598"/>
    <cellStyle name="Normal 3 5 10 2 3 2 2" xfId="6599"/>
    <cellStyle name="Normal 3 5 10 2 3 3" xfId="6600"/>
    <cellStyle name="Normal 3 5 10 2 3 3 2" xfId="6601"/>
    <cellStyle name="Normal 3 5 10 2 3 4" xfId="6602"/>
    <cellStyle name="Normal 3 5 10 2 3 4 2" xfId="6603"/>
    <cellStyle name="Normal 3 5 10 2 3 5" xfId="6604"/>
    <cellStyle name="Normal 3 5 10 2 4" xfId="6605"/>
    <cellStyle name="Normal 3 5 10 2 4 2" xfId="6606"/>
    <cellStyle name="Normal 3 5 10 2 5" xfId="6607"/>
    <cellStyle name="Normal 3 5 10 2 5 2" xfId="6608"/>
    <cellStyle name="Normal 3 5 10 2 6" xfId="6609"/>
    <cellStyle name="Normal 3 5 10 2 6 2" xfId="6610"/>
    <cellStyle name="Normal 3 5 10 2 7" xfId="6611"/>
    <cellStyle name="Normal 3 5 10 3" xfId="6612"/>
    <cellStyle name="Normal 3 5 10 3 2" xfId="6613"/>
    <cellStyle name="Normal 3 5 10 3 2 2" xfId="6614"/>
    <cellStyle name="Normal 3 5 10 3 3" xfId="6615"/>
    <cellStyle name="Normal 3 5 10 3 3 2" xfId="6616"/>
    <cellStyle name="Normal 3 5 10 3 4" xfId="6617"/>
    <cellStyle name="Normal 3 5 10 3 4 2" xfId="6618"/>
    <cellStyle name="Normal 3 5 10 3 5" xfId="6619"/>
    <cellStyle name="Normal 3 5 10 4" xfId="6620"/>
    <cellStyle name="Normal 3 5 10 4 2" xfId="6621"/>
    <cellStyle name="Normal 3 5 10 4 2 2" xfId="6622"/>
    <cellStyle name="Normal 3 5 10 4 3" xfId="6623"/>
    <cellStyle name="Normal 3 5 10 4 3 2" xfId="6624"/>
    <cellStyle name="Normal 3 5 10 4 4" xfId="6625"/>
    <cellStyle name="Normal 3 5 10 4 4 2" xfId="6626"/>
    <cellStyle name="Normal 3 5 10 4 5" xfId="6627"/>
    <cellStyle name="Normal 3 5 10 5" xfId="6628"/>
    <cellStyle name="Normal 3 5 10 5 2" xfId="6629"/>
    <cellStyle name="Normal 3 5 10 6" xfId="6630"/>
    <cellStyle name="Normal 3 5 10 6 2" xfId="6631"/>
    <cellStyle name="Normal 3 5 10 7" xfId="6632"/>
    <cellStyle name="Normal 3 5 10 7 2" xfId="6633"/>
    <cellStyle name="Normal 3 5 10 8" xfId="6634"/>
    <cellStyle name="Normal 3 5 11" xfId="6635"/>
    <cellStyle name="Normal 3 5 11 2" xfId="6636"/>
    <cellStyle name="Normal 3 5 11 2 2" xfId="6637"/>
    <cellStyle name="Normal 3 5 11 2 2 2" xfId="6638"/>
    <cellStyle name="Normal 3 5 11 2 2 2 2" xfId="6639"/>
    <cellStyle name="Normal 3 5 11 2 2 3" xfId="6640"/>
    <cellStyle name="Normal 3 5 11 2 2 3 2" xfId="6641"/>
    <cellStyle name="Normal 3 5 11 2 2 4" xfId="6642"/>
    <cellStyle name="Normal 3 5 11 2 2 4 2" xfId="6643"/>
    <cellStyle name="Normal 3 5 11 2 2 5" xfId="6644"/>
    <cellStyle name="Normal 3 5 11 2 3" xfId="6645"/>
    <cellStyle name="Normal 3 5 11 2 3 2" xfId="6646"/>
    <cellStyle name="Normal 3 5 11 2 3 2 2" xfId="6647"/>
    <cellStyle name="Normal 3 5 11 2 3 3" xfId="6648"/>
    <cellStyle name="Normal 3 5 11 2 3 3 2" xfId="6649"/>
    <cellStyle name="Normal 3 5 11 2 3 4" xfId="6650"/>
    <cellStyle name="Normal 3 5 11 2 3 4 2" xfId="6651"/>
    <cellStyle name="Normal 3 5 11 2 3 5" xfId="6652"/>
    <cellStyle name="Normal 3 5 11 2 4" xfId="6653"/>
    <cellStyle name="Normal 3 5 11 2 4 2" xfId="6654"/>
    <cellStyle name="Normal 3 5 11 2 5" xfId="6655"/>
    <cellStyle name="Normal 3 5 11 2 5 2" xfId="6656"/>
    <cellStyle name="Normal 3 5 11 2 6" xfId="6657"/>
    <cellStyle name="Normal 3 5 11 2 6 2" xfId="6658"/>
    <cellStyle name="Normal 3 5 11 2 7" xfId="6659"/>
    <cellStyle name="Normal 3 5 11 3" xfId="6660"/>
    <cellStyle name="Normal 3 5 11 3 2" xfId="6661"/>
    <cellStyle name="Normal 3 5 11 3 2 2" xfId="6662"/>
    <cellStyle name="Normal 3 5 11 3 3" xfId="6663"/>
    <cellStyle name="Normal 3 5 11 3 3 2" xfId="6664"/>
    <cellStyle name="Normal 3 5 11 3 4" xfId="6665"/>
    <cellStyle name="Normal 3 5 11 3 4 2" xfId="6666"/>
    <cellStyle name="Normal 3 5 11 3 5" xfId="6667"/>
    <cellStyle name="Normal 3 5 11 4" xfId="6668"/>
    <cellStyle name="Normal 3 5 11 4 2" xfId="6669"/>
    <cellStyle name="Normal 3 5 11 4 2 2" xfId="6670"/>
    <cellStyle name="Normal 3 5 11 4 3" xfId="6671"/>
    <cellStyle name="Normal 3 5 11 4 3 2" xfId="6672"/>
    <cellStyle name="Normal 3 5 11 4 4" xfId="6673"/>
    <cellStyle name="Normal 3 5 11 4 4 2" xfId="6674"/>
    <cellStyle name="Normal 3 5 11 4 5" xfId="6675"/>
    <cellStyle name="Normal 3 5 11 5" xfId="6676"/>
    <cellStyle name="Normal 3 5 11 5 2" xfId="6677"/>
    <cellStyle name="Normal 3 5 11 6" xfId="6678"/>
    <cellStyle name="Normal 3 5 11 6 2" xfId="6679"/>
    <cellStyle name="Normal 3 5 11 7" xfId="6680"/>
    <cellStyle name="Normal 3 5 11 7 2" xfId="6681"/>
    <cellStyle name="Normal 3 5 11 8" xfId="6682"/>
    <cellStyle name="Normal 3 5 12" xfId="6683"/>
    <cellStyle name="Normal 3 5 12 2" xfId="6684"/>
    <cellStyle name="Normal 3 5 12 2 2" xfId="6685"/>
    <cellStyle name="Normal 3 5 12 2 2 2" xfId="6686"/>
    <cellStyle name="Normal 3 5 12 2 2 2 2" xfId="6687"/>
    <cellStyle name="Normal 3 5 12 2 2 3" xfId="6688"/>
    <cellStyle name="Normal 3 5 12 2 2 3 2" xfId="6689"/>
    <cellStyle name="Normal 3 5 12 2 2 4" xfId="6690"/>
    <cellStyle name="Normal 3 5 12 2 2 4 2" xfId="6691"/>
    <cellStyle name="Normal 3 5 12 2 2 5" xfId="6692"/>
    <cellStyle name="Normal 3 5 12 2 3" xfId="6693"/>
    <cellStyle name="Normal 3 5 12 2 3 2" xfId="6694"/>
    <cellStyle name="Normal 3 5 12 2 3 2 2" xfId="6695"/>
    <cellStyle name="Normal 3 5 12 2 3 3" xfId="6696"/>
    <cellStyle name="Normal 3 5 12 2 3 3 2" xfId="6697"/>
    <cellStyle name="Normal 3 5 12 2 3 4" xfId="6698"/>
    <cellStyle name="Normal 3 5 12 2 3 4 2" xfId="6699"/>
    <cellStyle name="Normal 3 5 12 2 3 5" xfId="6700"/>
    <cellStyle name="Normal 3 5 12 2 4" xfId="6701"/>
    <cellStyle name="Normal 3 5 12 2 4 2" xfId="6702"/>
    <cellStyle name="Normal 3 5 12 2 5" xfId="6703"/>
    <cellStyle name="Normal 3 5 12 2 5 2" xfId="6704"/>
    <cellStyle name="Normal 3 5 12 2 6" xfId="6705"/>
    <cellStyle name="Normal 3 5 12 2 6 2" xfId="6706"/>
    <cellStyle name="Normal 3 5 12 2 7" xfId="6707"/>
    <cellStyle name="Normal 3 5 12 3" xfId="6708"/>
    <cellStyle name="Normal 3 5 12 3 2" xfId="6709"/>
    <cellStyle name="Normal 3 5 12 3 2 2" xfId="6710"/>
    <cellStyle name="Normal 3 5 12 3 3" xfId="6711"/>
    <cellStyle name="Normal 3 5 12 3 3 2" xfId="6712"/>
    <cellStyle name="Normal 3 5 12 3 4" xfId="6713"/>
    <cellStyle name="Normal 3 5 12 3 4 2" xfId="6714"/>
    <cellStyle name="Normal 3 5 12 3 5" xfId="6715"/>
    <cellStyle name="Normal 3 5 12 4" xfId="6716"/>
    <cellStyle name="Normal 3 5 12 4 2" xfId="6717"/>
    <cellStyle name="Normal 3 5 12 4 2 2" xfId="6718"/>
    <cellStyle name="Normal 3 5 12 4 3" xfId="6719"/>
    <cellStyle name="Normal 3 5 12 4 3 2" xfId="6720"/>
    <cellStyle name="Normal 3 5 12 4 4" xfId="6721"/>
    <cellStyle name="Normal 3 5 12 4 4 2" xfId="6722"/>
    <cellStyle name="Normal 3 5 12 4 5" xfId="6723"/>
    <cellStyle name="Normal 3 5 12 5" xfId="6724"/>
    <cellStyle name="Normal 3 5 12 5 2" xfId="6725"/>
    <cellStyle name="Normal 3 5 12 6" xfId="6726"/>
    <cellStyle name="Normal 3 5 12 6 2" xfId="6727"/>
    <cellStyle name="Normal 3 5 12 7" xfId="6728"/>
    <cellStyle name="Normal 3 5 12 7 2" xfId="6729"/>
    <cellStyle name="Normal 3 5 12 8" xfId="6730"/>
    <cellStyle name="Normal 3 5 13" xfId="6731"/>
    <cellStyle name="Normal 3 5 13 2" xfId="6732"/>
    <cellStyle name="Normal 3 5 13 2 2" xfId="6733"/>
    <cellStyle name="Normal 3 5 13 2 2 2" xfId="6734"/>
    <cellStyle name="Normal 3 5 13 2 3" xfId="6735"/>
    <cellStyle name="Normal 3 5 13 2 3 2" xfId="6736"/>
    <cellStyle name="Normal 3 5 13 2 4" xfId="6737"/>
    <cellStyle name="Normal 3 5 13 2 4 2" xfId="6738"/>
    <cellStyle name="Normal 3 5 13 2 5" xfId="6739"/>
    <cellStyle name="Normal 3 5 13 3" xfId="6740"/>
    <cellStyle name="Normal 3 5 13 3 2" xfId="6741"/>
    <cellStyle name="Normal 3 5 13 3 2 2" xfId="6742"/>
    <cellStyle name="Normal 3 5 13 3 3" xfId="6743"/>
    <cellStyle name="Normal 3 5 13 3 3 2" xfId="6744"/>
    <cellStyle name="Normal 3 5 13 3 4" xfId="6745"/>
    <cellStyle name="Normal 3 5 13 3 4 2" xfId="6746"/>
    <cellStyle name="Normal 3 5 13 3 5" xfId="6747"/>
    <cellStyle name="Normal 3 5 13 4" xfId="6748"/>
    <cellStyle name="Normal 3 5 13 4 2" xfId="6749"/>
    <cellStyle name="Normal 3 5 13 5" xfId="6750"/>
    <cellStyle name="Normal 3 5 13 5 2" xfId="6751"/>
    <cellStyle name="Normal 3 5 13 6" xfId="6752"/>
    <cellStyle name="Normal 3 5 13 6 2" xfId="6753"/>
    <cellStyle name="Normal 3 5 13 7" xfId="6754"/>
    <cellStyle name="Normal 3 5 14" xfId="6755"/>
    <cellStyle name="Normal 3 5 14 2" xfId="6756"/>
    <cellStyle name="Normal 3 5 14 2 2" xfId="6757"/>
    <cellStyle name="Normal 3 5 14 3" xfId="6758"/>
    <cellStyle name="Normal 3 5 14 3 2" xfId="6759"/>
    <cellStyle name="Normal 3 5 14 4" xfId="6760"/>
    <cellStyle name="Normal 3 5 14 4 2" xfId="6761"/>
    <cellStyle name="Normal 3 5 14 5" xfId="6762"/>
    <cellStyle name="Normal 3 5 15" xfId="6763"/>
    <cellStyle name="Normal 3 5 15 2" xfId="6764"/>
    <cellStyle name="Normal 3 5 15 2 2" xfId="6765"/>
    <cellStyle name="Normal 3 5 15 3" xfId="6766"/>
    <cellStyle name="Normal 3 5 15 3 2" xfId="6767"/>
    <cellStyle name="Normal 3 5 15 4" xfId="6768"/>
    <cellStyle name="Normal 3 5 15 4 2" xfId="6769"/>
    <cellStyle name="Normal 3 5 15 5" xfId="6770"/>
    <cellStyle name="Normal 3 5 16" xfId="6771"/>
    <cellStyle name="Normal 3 5 16 2" xfId="6772"/>
    <cellStyle name="Normal 3 5 17" xfId="6773"/>
    <cellStyle name="Normal 3 5 17 2" xfId="6774"/>
    <cellStyle name="Normal 3 5 18" xfId="6775"/>
    <cellStyle name="Normal 3 5 18 2" xfId="6776"/>
    <cellStyle name="Normal 3 5 19" xfId="6777"/>
    <cellStyle name="Normal 3 5 2" xfId="1398"/>
    <cellStyle name="Normal 3 5 2 10" xfId="6778"/>
    <cellStyle name="Normal 3 5 2 10 2" xfId="6779"/>
    <cellStyle name="Normal 3 5 2 10 2 2" xfId="6780"/>
    <cellStyle name="Normal 3 5 2 10 2 2 2" xfId="6781"/>
    <cellStyle name="Normal 3 5 2 10 2 2 2 2" xfId="6782"/>
    <cellStyle name="Normal 3 5 2 10 2 2 3" xfId="6783"/>
    <cellStyle name="Normal 3 5 2 10 2 2 3 2" xfId="6784"/>
    <cellStyle name="Normal 3 5 2 10 2 2 4" xfId="6785"/>
    <cellStyle name="Normal 3 5 2 10 2 2 4 2" xfId="6786"/>
    <cellStyle name="Normal 3 5 2 10 2 2 5" xfId="6787"/>
    <cellStyle name="Normal 3 5 2 10 2 3" xfId="6788"/>
    <cellStyle name="Normal 3 5 2 10 2 3 2" xfId="6789"/>
    <cellStyle name="Normal 3 5 2 10 2 3 2 2" xfId="6790"/>
    <cellStyle name="Normal 3 5 2 10 2 3 3" xfId="6791"/>
    <cellStyle name="Normal 3 5 2 10 2 3 3 2" xfId="6792"/>
    <cellStyle name="Normal 3 5 2 10 2 3 4" xfId="6793"/>
    <cellStyle name="Normal 3 5 2 10 2 3 4 2" xfId="6794"/>
    <cellStyle name="Normal 3 5 2 10 2 3 5" xfId="6795"/>
    <cellStyle name="Normal 3 5 2 10 2 4" xfId="6796"/>
    <cellStyle name="Normal 3 5 2 10 2 4 2" xfId="6797"/>
    <cellStyle name="Normal 3 5 2 10 2 5" xfId="6798"/>
    <cellStyle name="Normal 3 5 2 10 2 5 2" xfId="6799"/>
    <cellStyle name="Normal 3 5 2 10 2 6" xfId="6800"/>
    <cellStyle name="Normal 3 5 2 10 2 6 2" xfId="6801"/>
    <cellStyle name="Normal 3 5 2 10 2 7" xfId="6802"/>
    <cellStyle name="Normal 3 5 2 10 3" xfId="6803"/>
    <cellStyle name="Normal 3 5 2 10 3 2" xfId="6804"/>
    <cellStyle name="Normal 3 5 2 10 3 2 2" xfId="6805"/>
    <cellStyle name="Normal 3 5 2 10 3 3" xfId="6806"/>
    <cellStyle name="Normal 3 5 2 10 3 3 2" xfId="6807"/>
    <cellStyle name="Normal 3 5 2 10 3 4" xfId="6808"/>
    <cellStyle name="Normal 3 5 2 10 3 4 2" xfId="6809"/>
    <cellStyle name="Normal 3 5 2 10 3 5" xfId="6810"/>
    <cellStyle name="Normal 3 5 2 10 4" xfId="6811"/>
    <cellStyle name="Normal 3 5 2 10 4 2" xfId="6812"/>
    <cellStyle name="Normal 3 5 2 10 4 2 2" xfId="6813"/>
    <cellStyle name="Normal 3 5 2 10 4 3" xfId="6814"/>
    <cellStyle name="Normal 3 5 2 10 4 3 2" xfId="6815"/>
    <cellStyle name="Normal 3 5 2 10 4 4" xfId="6816"/>
    <cellStyle name="Normal 3 5 2 10 4 4 2" xfId="6817"/>
    <cellStyle name="Normal 3 5 2 10 4 5" xfId="6818"/>
    <cellStyle name="Normal 3 5 2 10 5" xfId="6819"/>
    <cellStyle name="Normal 3 5 2 10 5 2" xfId="6820"/>
    <cellStyle name="Normal 3 5 2 10 6" xfId="6821"/>
    <cellStyle name="Normal 3 5 2 10 6 2" xfId="6822"/>
    <cellStyle name="Normal 3 5 2 10 7" xfId="6823"/>
    <cellStyle name="Normal 3 5 2 10 7 2" xfId="6824"/>
    <cellStyle name="Normal 3 5 2 10 8" xfId="6825"/>
    <cellStyle name="Normal 3 5 2 11" xfId="6826"/>
    <cellStyle name="Normal 3 5 2 11 2" xfId="6827"/>
    <cellStyle name="Normal 3 5 2 11 2 2" xfId="6828"/>
    <cellStyle name="Normal 3 5 2 11 2 2 2" xfId="6829"/>
    <cellStyle name="Normal 3 5 2 11 2 2 2 2" xfId="6830"/>
    <cellStyle name="Normal 3 5 2 11 2 2 3" xfId="6831"/>
    <cellStyle name="Normal 3 5 2 11 2 2 3 2" xfId="6832"/>
    <cellStyle name="Normal 3 5 2 11 2 2 4" xfId="6833"/>
    <cellStyle name="Normal 3 5 2 11 2 2 4 2" xfId="6834"/>
    <cellStyle name="Normal 3 5 2 11 2 2 5" xfId="6835"/>
    <cellStyle name="Normal 3 5 2 11 2 3" xfId="6836"/>
    <cellStyle name="Normal 3 5 2 11 2 3 2" xfId="6837"/>
    <cellStyle name="Normal 3 5 2 11 2 3 2 2" xfId="6838"/>
    <cellStyle name="Normal 3 5 2 11 2 3 3" xfId="6839"/>
    <cellStyle name="Normal 3 5 2 11 2 3 3 2" xfId="6840"/>
    <cellStyle name="Normal 3 5 2 11 2 3 4" xfId="6841"/>
    <cellStyle name="Normal 3 5 2 11 2 3 4 2" xfId="6842"/>
    <cellStyle name="Normal 3 5 2 11 2 3 5" xfId="6843"/>
    <cellStyle name="Normal 3 5 2 11 2 4" xfId="6844"/>
    <cellStyle name="Normal 3 5 2 11 2 4 2" xfId="6845"/>
    <cellStyle name="Normal 3 5 2 11 2 5" xfId="6846"/>
    <cellStyle name="Normal 3 5 2 11 2 5 2" xfId="6847"/>
    <cellStyle name="Normal 3 5 2 11 2 6" xfId="6848"/>
    <cellStyle name="Normal 3 5 2 11 2 6 2" xfId="6849"/>
    <cellStyle name="Normal 3 5 2 11 2 7" xfId="6850"/>
    <cellStyle name="Normal 3 5 2 11 3" xfId="6851"/>
    <cellStyle name="Normal 3 5 2 11 3 2" xfId="6852"/>
    <cellStyle name="Normal 3 5 2 11 3 2 2" xfId="6853"/>
    <cellStyle name="Normal 3 5 2 11 3 3" xfId="6854"/>
    <cellStyle name="Normal 3 5 2 11 3 3 2" xfId="6855"/>
    <cellStyle name="Normal 3 5 2 11 3 4" xfId="6856"/>
    <cellStyle name="Normal 3 5 2 11 3 4 2" xfId="6857"/>
    <cellStyle name="Normal 3 5 2 11 3 5" xfId="6858"/>
    <cellStyle name="Normal 3 5 2 11 4" xfId="6859"/>
    <cellStyle name="Normal 3 5 2 11 4 2" xfId="6860"/>
    <cellStyle name="Normal 3 5 2 11 4 2 2" xfId="6861"/>
    <cellStyle name="Normal 3 5 2 11 4 3" xfId="6862"/>
    <cellStyle name="Normal 3 5 2 11 4 3 2" xfId="6863"/>
    <cellStyle name="Normal 3 5 2 11 4 4" xfId="6864"/>
    <cellStyle name="Normal 3 5 2 11 4 4 2" xfId="6865"/>
    <cellStyle name="Normal 3 5 2 11 4 5" xfId="6866"/>
    <cellStyle name="Normal 3 5 2 11 5" xfId="6867"/>
    <cellStyle name="Normal 3 5 2 11 5 2" xfId="6868"/>
    <cellStyle name="Normal 3 5 2 11 6" xfId="6869"/>
    <cellStyle name="Normal 3 5 2 11 6 2" xfId="6870"/>
    <cellStyle name="Normal 3 5 2 11 7" xfId="6871"/>
    <cellStyle name="Normal 3 5 2 11 7 2" xfId="6872"/>
    <cellStyle name="Normal 3 5 2 11 8" xfId="6873"/>
    <cellStyle name="Normal 3 5 2 12" xfId="6874"/>
    <cellStyle name="Normal 3 5 2 12 2" xfId="6875"/>
    <cellStyle name="Normal 3 5 2 12 2 2" xfId="6876"/>
    <cellStyle name="Normal 3 5 2 12 2 2 2" xfId="6877"/>
    <cellStyle name="Normal 3 5 2 12 2 3" xfId="6878"/>
    <cellStyle name="Normal 3 5 2 12 2 3 2" xfId="6879"/>
    <cellStyle name="Normal 3 5 2 12 2 4" xfId="6880"/>
    <cellStyle name="Normal 3 5 2 12 2 4 2" xfId="6881"/>
    <cellStyle name="Normal 3 5 2 12 2 5" xfId="6882"/>
    <cellStyle name="Normal 3 5 2 12 3" xfId="6883"/>
    <cellStyle name="Normal 3 5 2 12 3 2" xfId="6884"/>
    <cellStyle name="Normal 3 5 2 12 3 2 2" xfId="6885"/>
    <cellStyle name="Normal 3 5 2 12 3 3" xfId="6886"/>
    <cellStyle name="Normal 3 5 2 12 3 3 2" xfId="6887"/>
    <cellStyle name="Normal 3 5 2 12 3 4" xfId="6888"/>
    <cellStyle name="Normal 3 5 2 12 3 4 2" xfId="6889"/>
    <cellStyle name="Normal 3 5 2 12 3 5" xfId="6890"/>
    <cellStyle name="Normal 3 5 2 12 4" xfId="6891"/>
    <cellStyle name="Normal 3 5 2 12 4 2" xfId="6892"/>
    <cellStyle name="Normal 3 5 2 12 5" xfId="6893"/>
    <cellStyle name="Normal 3 5 2 12 5 2" xfId="6894"/>
    <cellStyle name="Normal 3 5 2 12 6" xfId="6895"/>
    <cellStyle name="Normal 3 5 2 12 6 2" xfId="6896"/>
    <cellStyle name="Normal 3 5 2 12 7" xfId="6897"/>
    <cellStyle name="Normal 3 5 2 13" xfId="6898"/>
    <cellStyle name="Normal 3 5 2 13 2" xfId="6899"/>
    <cellStyle name="Normal 3 5 2 13 2 2" xfId="6900"/>
    <cellStyle name="Normal 3 5 2 13 3" xfId="6901"/>
    <cellStyle name="Normal 3 5 2 13 3 2" xfId="6902"/>
    <cellStyle name="Normal 3 5 2 13 4" xfId="6903"/>
    <cellStyle name="Normal 3 5 2 13 4 2" xfId="6904"/>
    <cellStyle name="Normal 3 5 2 13 5" xfId="6905"/>
    <cellStyle name="Normal 3 5 2 14" xfId="6906"/>
    <cellStyle name="Normal 3 5 2 14 2" xfId="6907"/>
    <cellStyle name="Normal 3 5 2 14 2 2" xfId="6908"/>
    <cellStyle name="Normal 3 5 2 14 3" xfId="6909"/>
    <cellStyle name="Normal 3 5 2 14 3 2" xfId="6910"/>
    <cellStyle name="Normal 3 5 2 14 4" xfId="6911"/>
    <cellStyle name="Normal 3 5 2 14 4 2" xfId="6912"/>
    <cellStyle name="Normal 3 5 2 14 5" xfId="6913"/>
    <cellStyle name="Normal 3 5 2 15" xfId="6914"/>
    <cellStyle name="Normal 3 5 2 15 2" xfId="6915"/>
    <cellStyle name="Normal 3 5 2 16" xfId="6916"/>
    <cellStyle name="Normal 3 5 2 16 2" xfId="6917"/>
    <cellStyle name="Normal 3 5 2 17" xfId="6918"/>
    <cellStyle name="Normal 3 5 2 17 2" xfId="6919"/>
    <cellStyle name="Normal 3 5 2 18" xfId="6920"/>
    <cellStyle name="Normal 3 5 2 2" xfId="2004"/>
    <cellStyle name="Normal 3 5 2 2 10" xfId="6921"/>
    <cellStyle name="Normal 3 5 2 2 10 2" xfId="6922"/>
    <cellStyle name="Normal 3 5 2 2 10 2 2" xfId="6923"/>
    <cellStyle name="Normal 3 5 2 2 10 3" xfId="6924"/>
    <cellStyle name="Normal 3 5 2 2 10 3 2" xfId="6925"/>
    <cellStyle name="Normal 3 5 2 2 10 4" xfId="6926"/>
    <cellStyle name="Normal 3 5 2 2 10 4 2" xfId="6927"/>
    <cellStyle name="Normal 3 5 2 2 10 5" xfId="6928"/>
    <cellStyle name="Normal 3 5 2 2 11" xfId="6929"/>
    <cellStyle name="Normal 3 5 2 2 11 2" xfId="6930"/>
    <cellStyle name="Normal 3 5 2 2 12" xfId="6931"/>
    <cellStyle name="Normal 3 5 2 2 12 2" xfId="6932"/>
    <cellStyle name="Normal 3 5 2 2 13" xfId="6933"/>
    <cellStyle name="Normal 3 5 2 2 13 2" xfId="6934"/>
    <cellStyle name="Normal 3 5 2 2 14" xfId="6935"/>
    <cellStyle name="Normal 3 5 2 2 2" xfId="6936"/>
    <cellStyle name="Normal 3 5 2 2 2 10" xfId="6937"/>
    <cellStyle name="Normal 3 5 2 2 2 10 2" xfId="6938"/>
    <cellStyle name="Normal 3 5 2 2 2 11" xfId="6939"/>
    <cellStyle name="Normal 3 5 2 2 2 11 2" xfId="6940"/>
    <cellStyle name="Normal 3 5 2 2 2 12" xfId="6941"/>
    <cellStyle name="Normal 3 5 2 2 2 12 2" xfId="6942"/>
    <cellStyle name="Normal 3 5 2 2 2 13" xfId="6943"/>
    <cellStyle name="Normal 3 5 2 2 2 2" xfId="6944"/>
    <cellStyle name="Normal 3 5 2 2 2 2 2" xfId="6945"/>
    <cellStyle name="Normal 3 5 2 2 2 2 2 2" xfId="6946"/>
    <cellStyle name="Normal 3 5 2 2 2 2 2 2 2" xfId="6947"/>
    <cellStyle name="Normal 3 5 2 2 2 2 2 2 2 2" xfId="6948"/>
    <cellStyle name="Normal 3 5 2 2 2 2 2 2 3" xfId="6949"/>
    <cellStyle name="Normal 3 5 2 2 2 2 2 2 3 2" xfId="6950"/>
    <cellStyle name="Normal 3 5 2 2 2 2 2 2 4" xfId="6951"/>
    <cellStyle name="Normal 3 5 2 2 2 2 2 2 4 2" xfId="6952"/>
    <cellStyle name="Normal 3 5 2 2 2 2 2 2 5" xfId="6953"/>
    <cellStyle name="Normal 3 5 2 2 2 2 2 3" xfId="6954"/>
    <cellStyle name="Normal 3 5 2 2 2 2 2 3 2" xfId="6955"/>
    <cellStyle name="Normal 3 5 2 2 2 2 2 3 2 2" xfId="6956"/>
    <cellStyle name="Normal 3 5 2 2 2 2 2 3 3" xfId="6957"/>
    <cellStyle name="Normal 3 5 2 2 2 2 2 3 3 2" xfId="6958"/>
    <cellStyle name="Normal 3 5 2 2 2 2 2 3 4" xfId="6959"/>
    <cellStyle name="Normal 3 5 2 2 2 2 2 3 4 2" xfId="6960"/>
    <cellStyle name="Normal 3 5 2 2 2 2 2 3 5" xfId="6961"/>
    <cellStyle name="Normal 3 5 2 2 2 2 2 4" xfId="6962"/>
    <cellStyle name="Normal 3 5 2 2 2 2 2 4 2" xfId="6963"/>
    <cellStyle name="Normal 3 5 2 2 2 2 2 5" xfId="6964"/>
    <cellStyle name="Normal 3 5 2 2 2 2 2 5 2" xfId="6965"/>
    <cellStyle name="Normal 3 5 2 2 2 2 2 6" xfId="6966"/>
    <cellStyle name="Normal 3 5 2 2 2 2 2 6 2" xfId="6967"/>
    <cellStyle name="Normal 3 5 2 2 2 2 2 7" xfId="6968"/>
    <cellStyle name="Normal 3 5 2 2 2 2 3" xfId="6969"/>
    <cellStyle name="Normal 3 5 2 2 2 2 3 2" xfId="6970"/>
    <cellStyle name="Normal 3 5 2 2 2 2 3 2 2" xfId="6971"/>
    <cellStyle name="Normal 3 5 2 2 2 2 3 3" xfId="6972"/>
    <cellStyle name="Normal 3 5 2 2 2 2 3 3 2" xfId="6973"/>
    <cellStyle name="Normal 3 5 2 2 2 2 3 4" xfId="6974"/>
    <cellStyle name="Normal 3 5 2 2 2 2 3 4 2" xfId="6975"/>
    <cellStyle name="Normal 3 5 2 2 2 2 3 5" xfId="6976"/>
    <cellStyle name="Normal 3 5 2 2 2 2 4" xfId="6977"/>
    <cellStyle name="Normal 3 5 2 2 2 2 4 2" xfId="6978"/>
    <cellStyle name="Normal 3 5 2 2 2 2 4 2 2" xfId="6979"/>
    <cellStyle name="Normal 3 5 2 2 2 2 4 3" xfId="6980"/>
    <cellStyle name="Normal 3 5 2 2 2 2 4 3 2" xfId="6981"/>
    <cellStyle name="Normal 3 5 2 2 2 2 4 4" xfId="6982"/>
    <cellStyle name="Normal 3 5 2 2 2 2 4 4 2" xfId="6983"/>
    <cellStyle name="Normal 3 5 2 2 2 2 4 5" xfId="6984"/>
    <cellStyle name="Normal 3 5 2 2 2 2 5" xfId="6985"/>
    <cellStyle name="Normal 3 5 2 2 2 2 5 2" xfId="6986"/>
    <cellStyle name="Normal 3 5 2 2 2 2 6" xfId="6987"/>
    <cellStyle name="Normal 3 5 2 2 2 2 6 2" xfId="6988"/>
    <cellStyle name="Normal 3 5 2 2 2 2 7" xfId="6989"/>
    <cellStyle name="Normal 3 5 2 2 2 2 7 2" xfId="6990"/>
    <cellStyle name="Normal 3 5 2 2 2 2 8" xfId="6991"/>
    <cellStyle name="Normal 3 5 2 2 2 3" xfId="6992"/>
    <cellStyle name="Normal 3 5 2 2 2 3 2" xfId="6993"/>
    <cellStyle name="Normal 3 5 2 2 2 3 2 2" xfId="6994"/>
    <cellStyle name="Normal 3 5 2 2 2 3 2 2 2" xfId="6995"/>
    <cellStyle name="Normal 3 5 2 2 2 3 2 2 2 2" xfId="6996"/>
    <cellStyle name="Normal 3 5 2 2 2 3 2 2 3" xfId="6997"/>
    <cellStyle name="Normal 3 5 2 2 2 3 2 2 3 2" xfId="6998"/>
    <cellStyle name="Normal 3 5 2 2 2 3 2 2 4" xfId="6999"/>
    <cellStyle name="Normal 3 5 2 2 2 3 2 2 4 2" xfId="7000"/>
    <cellStyle name="Normal 3 5 2 2 2 3 2 2 5" xfId="7001"/>
    <cellStyle name="Normal 3 5 2 2 2 3 2 3" xfId="7002"/>
    <cellStyle name="Normal 3 5 2 2 2 3 2 3 2" xfId="7003"/>
    <cellStyle name="Normal 3 5 2 2 2 3 2 3 2 2" xfId="7004"/>
    <cellStyle name="Normal 3 5 2 2 2 3 2 3 3" xfId="7005"/>
    <cellStyle name="Normal 3 5 2 2 2 3 2 3 3 2" xfId="7006"/>
    <cellStyle name="Normal 3 5 2 2 2 3 2 3 4" xfId="7007"/>
    <cellStyle name="Normal 3 5 2 2 2 3 2 3 4 2" xfId="7008"/>
    <cellStyle name="Normal 3 5 2 2 2 3 2 3 5" xfId="7009"/>
    <cellStyle name="Normal 3 5 2 2 2 3 2 4" xfId="7010"/>
    <cellStyle name="Normal 3 5 2 2 2 3 2 4 2" xfId="7011"/>
    <cellStyle name="Normal 3 5 2 2 2 3 2 5" xfId="7012"/>
    <cellStyle name="Normal 3 5 2 2 2 3 2 5 2" xfId="7013"/>
    <cellStyle name="Normal 3 5 2 2 2 3 2 6" xfId="7014"/>
    <cellStyle name="Normal 3 5 2 2 2 3 2 6 2" xfId="7015"/>
    <cellStyle name="Normal 3 5 2 2 2 3 2 7" xfId="7016"/>
    <cellStyle name="Normal 3 5 2 2 2 3 3" xfId="7017"/>
    <cellStyle name="Normal 3 5 2 2 2 3 3 2" xfId="7018"/>
    <cellStyle name="Normal 3 5 2 2 2 3 3 2 2" xfId="7019"/>
    <cellStyle name="Normal 3 5 2 2 2 3 3 3" xfId="7020"/>
    <cellStyle name="Normal 3 5 2 2 2 3 3 3 2" xfId="7021"/>
    <cellStyle name="Normal 3 5 2 2 2 3 3 4" xfId="7022"/>
    <cellStyle name="Normal 3 5 2 2 2 3 3 4 2" xfId="7023"/>
    <cellStyle name="Normal 3 5 2 2 2 3 3 5" xfId="7024"/>
    <cellStyle name="Normal 3 5 2 2 2 3 4" xfId="7025"/>
    <cellStyle name="Normal 3 5 2 2 2 3 4 2" xfId="7026"/>
    <cellStyle name="Normal 3 5 2 2 2 3 4 2 2" xfId="7027"/>
    <cellStyle name="Normal 3 5 2 2 2 3 4 3" xfId="7028"/>
    <cellStyle name="Normal 3 5 2 2 2 3 4 3 2" xfId="7029"/>
    <cellStyle name="Normal 3 5 2 2 2 3 4 4" xfId="7030"/>
    <cellStyle name="Normal 3 5 2 2 2 3 4 4 2" xfId="7031"/>
    <cellStyle name="Normal 3 5 2 2 2 3 4 5" xfId="7032"/>
    <cellStyle name="Normal 3 5 2 2 2 3 5" xfId="7033"/>
    <cellStyle name="Normal 3 5 2 2 2 3 5 2" xfId="7034"/>
    <cellStyle name="Normal 3 5 2 2 2 3 6" xfId="7035"/>
    <cellStyle name="Normal 3 5 2 2 2 3 6 2" xfId="7036"/>
    <cellStyle name="Normal 3 5 2 2 2 3 7" xfId="7037"/>
    <cellStyle name="Normal 3 5 2 2 2 3 7 2" xfId="7038"/>
    <cellStyle name="Normal 3 5 2 2 2 3 8" xfId="7039"/>
    <cellStyle name="Normal 3 5 2 2 2 4" xfId="7040"/>
    <cellStyle name="Normal 3 5 2 2 2 4 2" xfId="7041"/>
    <cellStyle name="Normal 3 5 2 2 2 4 2 2" xfId="7042"/>
    <cellStyle name="Normal 3 5 2 2 2 4 2 2 2" xfId="7043"/>
    <cellStyle name="Normal 3 5 2 2 2 4 2 2 2 2" xfId="7044"/>
    <cellStyle name="Normal 3 5 2 2 2 4 2 2 3" xfId="7045"/>
    <cellStyle name="Normal 3 5 2 2 2 4 2 2 3 2" xfId="7046"/>
    <cellStyle name="Normal 3 5 2 2 2 4 2 2 4" xfId="7047"/>
    <cellStyle name="Normal 3 5 2 2 2 4 2 2 4 2" xfId="7048"/>
    <cellStyle name="Normal 3 5 2 2 2 4 2 2 5" xfId="7049"/>
    <cellStyle name="Normal 3 5 2 2 2 4 2 3" xfId="7050"/>
    <cellStyle name="Normal 3 5 2 2 2 4 2 3 2" xfId="7051"/>
    <cellStyle name="Normal 3 5 2 2 2 4 2 3 2 2" xfId="7052"/>
    <cellStyle name="Normal 3 5 2 2 2 4 2 3 3" xfId="7053"/>
    <cellStyle name="Normal 3 5 2 2 2 4 2 3 3 2" xfId="7054"/>
    <cellStyle name="Normal 3 5 2 2 2 4 2 3 4" xfId="7055"/>
    <cellStyle name="Normal 3 5 2 2 2 4 2 3 4 2" xfId="7056"/>
    <cellStyle name="Normal 3 5 2 2 2 4 2 3 5" xfId="7057"/>
    <cellStyle name="Normal 3 5 2 2 2 4 2 4" xfId="7058"/>
    <cellStyle name="Normal 3 5 2 2 2 4 2 4 2" xfId="7059"/>
    <cellStyle name="Normal 3 5 2 2 2 4 2 5" xfId="7060"/>
    <cellStyle name="Normal 3 5 2 2 2 4 2 5 2" xfId="7061"/>
    <cellStyle name="Normal 3 5 2 2 2 4 2 6" xfId="7062"/>
    <cellStyle name="Normal 3 5 2 2 2 4 2 6 2" xfId="7063"/>
    <cellStyle name="Normal 3 5 2 2 2 4 2 7" xfId="7064"/>
    <cellStyle name="Normal 3 5 2 2 2 4 3" xfId="7065"/>
    <cellStyle name="Normal 3 5 2 2 2 4 3 2" xfId="7066"/>
    <cellStyle name="Normal 3 5 2 2 2 4 3 2 2" xfId="7067"/>
    <cellStyle name="Normal 3 5 2 2 2 4 3 3" xfId="7068"/>
    <cellStyle name="Normal 3 5 2 2 2 4 3 3 2" xfId="7069"/>
    <cellStyle name="Normal 3 5 2 2 2 4 3 4" xfId="7070"/>
    <cellStyle name="Normal 3 5 2 2 2 4 3 4 2" xfId="7071"/>
    <cellStyle name="Normal 3 5 2 2 2 4 3 5" xfId="7072"/>
    <cellStyle name="Normal 3 5 2 2 2 4 4" xfId="7073"/>
    <cellStyle name="Normal 3 5 2 2 2 4 4 2" xfId="7074"/>
    <cellStyle name="Normal 3 5 2 2 2 4 4 2 2" xfId="7075"/>
    <cellStyle name="Normal 3 5 2 2 2 4 4 3" xfId="7076"/>
    <cellStyle name="Normal 3 5 2 2 2 4 4 3 2" xfId="7077"/>
    <cellStyle name="Normal 3 5 2 2 2 4 4 4" xfId="7078"/>
    <cellStyle name="Normal 3 5 2 2 2 4 4 4 2" xfId="7079"/>
    <cellStyle name="Normal 3 5 2 2 2 4 4 5" xfId="7080"/>
    <cellStyle name="Normal 3 5 2 2 2 4 5" xfId="7081"/>
    <cellStyle name="Normal 3 5 2 2 2 4 5 2" xfId="7082"/>
    <cellStyle name="Normal 3 5 2 2 2 4 6" xfId="7083"/>
    <cellStyle name="Normal 3 5 2 2 2 4 6 2" xfId="7084"/>
    <cellStyle name="Normal 3 5 2 2 2 4 7" xfId="7085"/>
    <cellStyle name="Normal 3 5 2 2 2 4 7 2" xfId="7086"/>
    <cellStyle name="Normal 3 5 2 2 2 4 8" xfId="7087"/>
    <cellStyle name="Normal 3 5 2 2 2 5" xfId="7088"/>
    <cellStyle name="Normal 3 5 2 2 2 5 2" xfId="7089"/>
    <cellStyle name="Normal 3 5 2 2 2 5 2 2" xfId="7090"/>
    <cellStyle name="Normal 3 5 2 2 2 5 2 2 2" xfId="7091"/>
    <cellStyle name="Normal 3 5 2 2 2 5 2 2 2 2" xfId="7092"/>
    <cellStyle name="Normal 3 5 2 2 2 5 2 2 3" xfId="7093"/>
    <cellStyle name="Normal 3 5 2 2 2 5 2 2 3 2" xfId="7094"/>
    <cellStyle name="Normal 3 5 2 2 2 5 2 2 4" xfId="7095"/>
    <cellStyle name="Normal 3 5 2 2 2 5 2 2 4 2" xfId="7096"/>
    <cellStyle name="Normal 3 5 2 2 2 5 2 2 5" xfId="7097"/>
    <cellStyle name="Normal 3 5 2 2 2 5 2 3" xfId="7098"/>
    <cellStyle name="Normal 3 5 2 2 2 5 2 3 2" xfId="7099"/>
    <cellStyle name="Normal 3 5 2 2 2 5 2 3 2 2" xfId="7100"/>
    <cellStyle name="Normal 3 5 2 2 2 5 2 3 3" xfId="7101"/>
    <cellStyle name="Normal 3 5 2 2 2 5 2 3 3 2" xfId="7102"/>
    <cellStyle name="Normal 3 5 2 2 2 5 2 3 4" xfId="7103"/>
    <cellStyle name="Normal 3 5 2 2 2 5 2 3 4 2" xfId="7104"/>
    <cellStyle name="Normal 3 5 2 2 2 5 2 3 5" xfId="7105"/>
    <cellStyle name="Normal 3 5 2 2 2 5 2 4" xfId="7106"/>
    <cellStyle name="Normal 3 5 2 2 2 5 2 4 2" xfId="7107"/>
    <cellStyle name="Normal 3 5 2 2 2 5 2 5" xfId="7108"/>
    <cellStyle name="Normal 3 5 2 2 2 5 2 5 2" xfId="7109"/>
    <cellStyle name="Normal 3 5 2 2 2 5 2 6" xfId="7110"/>
    <cellStyle name="Normal 3 5 2 2 2 5 2 6 2" xfId="7111"/>
    <cellStyle name="Normal 3 5 2 2 2 5 2 7" xfId="7112"/>
    <cellStyle name="Normal 3 5 2 2 2 5 3" xfId="7113"/>
    <cellStyle name="Normal 3 5 2 2 2 5 3 2" xfId="7114"/>
    <cellStyle name="Normal 3 5 2 2 2 5 3 2 2" xfId="7115"/>
    <cellStyle name="Normal 3 5 2 2 2 5 3 3" xfId="7116"/>
    <cellStyle name="Normal 3 5 2 2 2 5 3 3 2" xfId="7117"/>
    <cellStyle name="Normal 3 5 2 2 2 5 3 4" xfId="7118"/>
    <cellStyle name="Normal 3 5 2 2 2 5 3 4 2" xfId="7119"/>
    <cellStyle name="Normal 3 5 2 2 2 5 3 5" xfId="7120"/>
    <cellStyle name="Normal 3 5 2 2 2 5 4" xfId="7121"/>
    <cellStyle name="Normal 3 5 2 2 2 5 4 2" xfId="7122"/>
    <cellStyle name="Normal 3 5 2 2 2 5 4 2 2" xfId="7123"/>
    <cellStyle name="Normal 3 5 2 2 2 5 4 3" xfId="7124"/>
    <cellStyle name="Normal 3 5 2 2 2 5 4 3 2" xfId="7125"/>
    <cellStyle name="Normal 3 5 2 2 2 5 4 4" xfId="7126"/>
    <cellStyle name="Normal 3 5 2 2 2 5 4 4 2" xfId="7127"/>
    <cellStyle name="Normal 3 5 2 2 2 5 4 5" xfId="7128"/>
    <cellStyle name="Normal 3 5 2 2 2 5 5" xfId="7129"/>
    <cellStyle name="Normal 3 5 2 2 2 5 5 2" xfId="7130"/>
    <cellStyle name="Normal 3 5 2 2 2 5 6" xfId="7131"/>
    <cellStyle name="Normal 3 5 2 2 2 5 6 2" xfId="7132"/>
    <cellStyle name="Normal 3 5 2 2 2 5 7" xfId="7133"/>
    <cellStyle name="Normal 3 5 2 2 2 5 7 2" xfId="7134"/>
    <cellStyle name="Normal 3 5 2 2 2 5 8" xfId="7135"/>
    <cellStyle name="Normal 3 5 2 2 2 6" xfId="7136"/>
    <cellStyle name="Normal 3 5 2 2 2 6 2" xfId="7137"/>
    <cellStyle name="Normal 3 5 2 2 2 6 2 2" xfId="7138"/>
    <cellStyle name="Normal 3 5 2 2 2 6 2 2 2" xfId="7139"/>
    <cellStyle name="Normal 3 5 2 2 2 6 2 2 2 2" xfId="7140"/>
    <cellStyle name="Normal 3 5 2 2 2 6 2 2 3" xfId="7141"/>
    <cellStyle name="Normal 3 5 2 2 2 6 2 2 3 2" xfId="7142"/>
    <cellStyle name="Normal 3 5 2 2 2 6 2 2 4" xfId="7143"/>
    <cellStyle name="Normal 3 5 2 2 2 6 2 2 4 2" xfId="7144"/>
    <cellStyle name="Normal 3 5 2 2 2 6 2 2 5" xfId="7145"/>
    <cellStyle name="Normal 3 5 2 2 2 6 2 3" xfId="7146"/>
    <cellStyle name="Normal 3 5 2 2 2 6 2 3 2" xfId="7147"/>
    <cellStyle name="Normal 3 5 2 2 2 6 2 3 2 2" xfId="7148"/>
    <cellStyle name="Normal 3 5 2 2 2 6 2 3 3" xfId="7149"/>
    <cellStyle name="Normal 3 5 2 2 2 6 2 3 3 2" xfId="7150"/>
    <cellStyle name="Normal 3 5 2 2 2 6 2 3 4" xfId="7151"/>
    <cellStyle name="Normal 3 5 2 2 2 6 2 3 4 2" xfId="7152"/>
    <cellStyle name="Normal 3 5 2 2 2 6 2 3 5" xfId="7153"/>
    <cellStyle name="Normal 3 5 2 2 2 6 2 4" xfId="7154"/>
    <cellStyle name="Normal 3 5 2 2 2 6 2 4 2" xfId="7155"/>
    <cellStyle name="Normal 3 5 2 2 2 6 2 5" xfId="7156"/>
    <cellStyle name="Normal 3 5 2 2 2 6 2 5 2" xfId="7157"/>
    <cellStyle name="Normal 3 5 2 2 2 6 2 6" xfId="7158"/>
    <cellStyle name="Normal 3 5 2 2 2 6 2 6 2" xfId="7159"/>
    <cellStyle name="Normal 3 5 2 2 2 6 2 7" xfId="7160"/>
    <cellStyle name="Normal 3 5 2 2 2 6 3" xfId="7161"/>
    <cellStyle name="Normal 3 5 2 2 2 6 3 2" xfId="7162"/>
    <cellStyle name="Normal 3 5 2 2 2 6 3 2 2" xfId="7163"/>
    <cellStyle name="Normal 3 5 2 2 2 6 3 3" xfId="7164"/>
    <cellStyle name="Normal 3 5 2 2 2 6 3 3 2" xfId="7165"/>
    <cellStyle name="Normal 3 5 2 2 2 6 3 4" xfId="7166"/>
    <cellStyle name="Normal 3 5 2 2 2 6 3 4 2" xfId="7167"/>
    <cellStyle name="Normal 3 5 2 2 2 6 3 5" xfId="7168"/>
    <cellStyle name="Normal 3 5 2 2 2 6 4" xfId="7169"/>
    <cellStyle name="Normal 3 5 2 2 2 6 4 2" xfId="7170"/>
    <cellStyle name="Normal 3 5 2 2 2 6 4 2 2" xfId="7171"/>
    <cellStyle name="Normal 3 5 2 2 2 6 4 3" xfId="7172"/>
    <cellStyle name="Normal 3 5 2 2 2 6 4 3 2" xfId="7173"/>
    <cellStyle name="Normal 3 5 2 2 2 6 4 4" xfId="7174"/>
    <cellStyle name="Normal 3 5 2 2 2 6 4 4 2" xfId="7175"/>
    <cellStyle name="Normal 3 5 2 2 2 6 4 5" xfId="7176"/>
    <cellStyle name="Normal 3 5 2 2 2 6 5" xfId="7177"/>
    <cellStyle name="Normal 3 5 2 2 2 6 5 2" xfId="7178"/>
    <cellStyle name="Normal 3 5 2 2 2 6 6" xfId="7179"/>
    <cellStyle name="Normal 3 5 2 2 2 6 6 2" xfId="7180"/>
    <cellStyle name="Normal 3 5 2 2 2 6 7" xfId="7181"/>
    <cellStyle name="Normal 3 5 2 2 2 6 7 2" xfId="7182"/>
    <cellStyle name="Normal 3 5 2 2 2 6 8" xfId="7183"/>
    <cellStyle name="Normal 3 5 2 2 2 7" xfId="7184"/>
    <cellStyle name="Normal 3 5 2 2 2 7 2" xfId="7185"/>
    <cellStyle name="Normal 3 5 2 2 2 7 2 2" xfId="7186"/>
    <cellStyle name="Normal 3 5 2 2 2 7 2 2 2" xfId="7187"/>
    <cellStyle name="Normal 3 5 2 2 2 7 2 3" xfId="7188"/>
    <cellStyle name="Normal 3 5 2 2 2 7 2 3 2" xfId="7189"/>
    <cellStyle name="Normal 3 5 2 2 2 7 2 4" xfId="7190"/>
    <cellStyle name="Normal 3 5 2 2 2 7 2 4 2" xfId="7191"/>
    <cellStyle name="Normal 3 5 2 2 2 7 2 5" xfId="7192"/>
    <cellStyle name="Normal 3 5 2 2 2 7 3" xfId="7193"/>
    <cellStyle name="Normal 3 5 2 2 2 7 3 2" xfId="7194"/>
    <cellStyle name="Normal 3 5 2 2 2 7 3 2 2" xfId="7195"/>
    <cellStyle name="Normal 3 5 2 2 2 7 3 3" xfId="7196"/>
    <cellStyle name="Normal 3 5 2 2 2 7 3 3 2" xfId="7197"/>
    <cellStyle name="Normal 3 5 2 2 2 7 3 4" xfId="7198"/>
    <cellStyle name="Normal 3 5 2 2 2 7 3 4 2" xfId="7199"/>
    <cellStyle name="Normal 3 5 2 2 2 7 3 5" xfId="7200"/>
    <cellStyle name="Normal 3 5 2 2 2 7 4" xfId="7201"/>
    <cellStyle name="Normal 3 5 2 2 2 7 4 2" xfId="7202"/>
    <cellStyle name="Normal 3 5 2 2 2 7 5" xfId="7203"/>
    <cellStyle name="Normal 3 5 2 2 2 7 5 2" xfId="7204"/>
    <cellStyle name="Normal 3 5 2 2 2 7 6" xfId="7205"/>
    <cellStyle name="Normal 3 5 2 2 2 7 6 2" xfId="7206"/>
    <cellStyle name="Normal 3 5 2 2 2 7 7" xfId="7207"/>
    <cellStyle name="Normal 3 5 2 2 2 8" xfId="7208"/>
    <cellStyle name="Normal 3 5 2 2 2 8 2" xfId="7209"/>
    <cellStyle name="Normal 3 5 2 2 2 8 2 2" xfId="7210"/>
    <cellStyle name="Normal 3 5 2 2 2 8 3" xfId="7211"/>
    <cellStyle name="Normal 3 5 2 2 2 8 3 2" xfId="7212"/>
    <cellStyle name="Normal 3 5 2 2 2 8 4" xfId="7213"/>
    <cellStyle name="Normal 3 5 2 2 2 8 4 2" xfId="7214"/>
    <cellStyle name="Normal 3 5 2 2 2 8 5" xfId="7215"/>
    <cellStyle name="Normal 3 5 2 2 2 9" xfId="7216"/>
    <cellStyle name="Normal 3 5 2 2 2 9 2" xfId="7217"/>
    <cellStyle name="Normal 3 5 2 2 2 9 2 2" xfId="7218"/>
    <cellStyle name="Normal 3 5 2 2 2 9 3" xfId="7219"/>
    <cellStyle name="Normal 3 5 2 2 2 9 3 2" xfId="7220"/>
    <cellStyle name="Normal 3 5 2 2 2 9 4" xfId="7221"/>
    <cellStyle name="Normal 3 5 2 2 2 9 4 2" xfId="7222"/>
    <cellStyle name="Normal 3 5 2 2 2 9 5" xfId="7223"/>
    <cellStyle name="Normal 3 5 2 2 3" xfId="7224"/>
    <cellStyle name="Normal 3 5 2 2 3 2" xfId="7225"/>
    <cellStyle name="Normal 3 5 2 2 3 2 2" xfId="7226"/>
    <cellStyle name="Normal 3 5 2 2 3 2 2 2" xfId="7227"/>
    <cellStyle name="Normal 3 5 2 2 3 2 2 2 2" xfId="7228"/>
    <cellStyle name="Normal 3 5 2 2 3 2 2 3" xfId="7229"/>
    <cellStyle name="Normal 3 5 2 2 3 2 2 3 2" xfId="7230"/>
    <cellStyle name="Normal 3 5 2 2 3 2 2 4" xfId="7231"/>
    <cellStyle name="Normal 3 5 2 2 3 2 2 4 2" xfId="7232"/>
    <cellStyle name="Normal 3 5 2 2 3 2 2 5" xfId="7233"/>
    <cellStyle name="Normal 3 5 2 2 3 2 3" xfId="7234"/>
    <cellStyle name="Normal 3 5 2 2 3 2 3 2" xfId="7235"/>
    <cellStyle name="Normal 3 5 2 2 3 2 3 2 2" xfId="7236"/>
    <cellStyle name="Normal 3 5 2 2 3 2 3 3" xfId="7237"/>
    <cellStyle name="Normal 3 5 2 2 3 2 3 3 2" xfId="7238"/>
    <cellStyle name="Normal 3 5 2 2 3 2 3 4" xfId="7239"/>
    <cellStyle name="Normal 3 5 2 2 3 2 3 4 2" xfId="7240"/>
    <cellStyle name="Normal 3 5 2 2 3 2 3 5" xfId="7241"/>
    <cellStyle name="Normal 3 5 2 2 3 2 4" xfId="7242"/>
    <cellStyle name="Normal 3 5 2 2 3 2 4 2" xfId="7243"/>
    <cellStyle name="Normal 3 5 2 2 3 2 5" xfId="7244"/>
    <cellStyle name="Normal 3 5 2 2 3 2 5 2" xfId="7245"/>
    <cellStyle name="Normal 3 5 2 2 3 2 6" xfId="7246"/>
    <cellStyle name="Normal 3 5 2 2 3 2 6 2" xfId="7247"/>
    <cellStyle name="Normal 3 5 2 2 3 2 7" xfId="7248"/>
    <cellStyle name="Normal 3 5 2 2 3 3" xfId="7249"/>
    <cellStyle name="Normal 3 5 2 2 3 3 2" xfId="7250"/>
    <cellStyle name="Normal 3 5 2 2 3 3 2 2" xfId="7251"/>
    <cellStyle name="Normal 3 5 2 2 3 3 3" xfId="7252"/>
    <cellStyle name="Normal 3 5 2 2 3 3 3 2" xfId="7253"/>
    <cellStyle name="Normal 3 5 2 2 3 3 4" xfId="7254"/>
    <cellStyle name="Normal 3 5 2 2 3 3 4 2" xfId="7255"/>
    <cellStyle name="Normal 3 5 2 2 3 3 5" xfId="7256"/>
    <cellStyle name="Normal 3 5 2 2 3 4" xfId="7257"/>
    <cellStyle name="Normal 3 5 2 2 3 4 2" xfId="7258"/>
    <cellStyle name="Normal 3 5 2 2 3 4 2 2" xfId="7259"/>
    <cellStyle name="Normal 3 5 2 2 3 4 3" xfId="7260"/>
    <cellStyle name="Normal 3 5 2 2 3 4 3 2" xfId="7261"/>
    <cellStyle name="Normal 3 5 2 2 3 4 4" xfId="7262"/>
    <cellStyle name="Normal 3 5 2 2 3 4 4 2" xfId="7263"/>
    <cellStyle name="Normal 3 5 2 2 3 4 5" xfId="7264"/>
    <cellStyle name="Normal 3 5 2 2 3 5" xfId="7265"/>
    <cellStyle name="Normal 3 5 2 2 3 5 2" xfId="7266"/>
    <cellStyle name="Normal 3 5 2 2 3 6" xfId="7267"/>
    <cellStyle name="Normal 3 5 2 2 3 6 2" xfId="7268"/>
    <cellStyle name="Normal 3 5 2 2 3 7" xfId="7269"/>
    <cellStyle name="Normal 3 5 2 2 3 7 2" xfId="7270"/>
    <cellStyle name="Normal 3 5 2 2 3 8" xfId="7271"/>
    <cellStyle name="Normal 3 5 2 2 4" xfId="7272"/>
    <cellStyle name="Normal 3 5 2 2 4 2" xfId="7273"/>
    <cellStyle name="Normal 3 5 2 2 4 2 2" xfId="7274"/>
    <cellStyle name="Normal 3 5 2 2 4 2 2 2" xfId="7275"/>
    <cellStyle name="Normal 3 5 2 2 4 2 2 2 2" xfId="7276"/>
    <cellStyle name="Normal 3 5 2 2 4 2 2 3" xfId="7277"/>
    <cellStyle name="Normal 3 5 2 2 4 2 2 3 2" xfId="7278"/>
    <cellStyle name="Normal 3 5 2 2 4 2 2 4" xfId="7279"/>
    <cellStyle name="Normal 3 5 2 2 4 2 2 4 2" xfId="7280"/>
    <cellStyle name="Normal 3 5 2 2 4 2 2 5" xfId="7281"/>
    <cellStyle name="Normal 3 5 2 2 4 2 3" xfId="7282"/>
    <cellStyle name="Normal 3 5 2 2 4 2 3 2" xfId="7283"/>
    <cellStyle name="Normal 3 5 2 2 4 2 3 2 2" xfId="7284"/>
    <cellStyle name="Normal 3 5 2 2 4 2 3 3" xfId="7285"/>
    <cellStyle name="Normal 3 5 2 2 4 2 3 3 2" xfId="7286"/>
    <cellStyle name="Normal 3 5 2 2 4 2 3 4" xfId="7287"/>
    <cellStyle name="Normal 3 5 2 2 4 2 3 4 2" xfId="7288"/>
    <cellStyle name="Normal 3 5 2 2 4 2 3 5" xfId="7289"/>
    <cellStyle name="Normal 3 5 2 2 4 2 4" xfId="7290"/>
    <cellStyle name="Normal 3 5 2 2 4 2 4 2" xfId="7291"/>
    <cellStyle name="Normal 3 5 2 2 4 2 5" xfId="7292"/>
    <cellStyle name="Normal 3 5 2 2 4 2 5 2" xfId="7293"/>
    <cellStyle name="Normal 3 5 2 2 4 2 6" xfId="7294"/>
    <cellStyle name="Normal 3 5 2 2 4 2 6 2" xfId="7295"/>
    <cellStyle name="Normal 3 5 2 2 4 2 7" xfId="7296"/>
    <cellStyle name="Normal 3 5 2 2 4 3" xfId="7297"/>
    <cellStyle name="Normal 3 5 2 2 4 3 2" xfId="7298"/>
    <cellStyle name="Normal 3 5 2 2 4 3 2 2" xfId="7299"/>
    <cellStyle name="Normal 3 5 2 2 4 3 3" xfId="7300"/>
    <cellStyle name="Normal 3 5 2 2 4 3 3 2" xfId="7301"/>
    <cellStyle name="Normal 3 5 2 2 4 3 4" xfId="7302"/>
    <cellStyle name="Normal 3 5 2 2 4 3 4 2" xfId="7303"/>
    <cellStyle name="Normal 3 5 2 2 4 3 5" xfId="7304"/>
    <cellStyle name="Normal 3 5 2 2 4 4" xfId="7305"/>
    <cellStyle name="Normal 3 5 2 2 4 4 2" xfId="7306"/>
    <cellStyle name="Normal 3 5 2 2 4 4 2 2" xfId="7307"/>
    <cellStyle name="Normal 3 5 2 2 4 4 3" xfId="7308"/>
    <cellStyle name="Normal 3 5 2 2 4 4 3 2" xfId="7309"/>
    <cellStyle name="Normal 3 5 2 2 4 4 4" xfId="7310"/>
    <cellStyle name="Normal 3 5 2 2 4 4 4 2" xfId="7311"/>
    <cellStyle name="Normal 3 5 2 2 4 4 5" xfId="7312"/>
    <cellStyle name="Normal 3 5 2 2 4 5" xfId="7313"/>
    <cellStyle name="Normal 3 5 2 2 4 5 2" xfId="7314"/>
    <cellStyle name="Normal 3 5 2 2 4 6" xfId="7315"/>
    <cellStyle name="Normal 3 5 2 2 4 6 2" xfId="7316"/>
    <cellStyle name="Normal 3 5 2 2 4 7" xfId="7317"/>
    <cellStyle name="Normal 3 5 2 2 4 7 2" xfId="7318"/>
    <cellStyle name="Normal 3 5 2 2 4 8" xfId="7319"/>
    <cellStyle name="Normal 3 5 2 2 5" xfId="7320"/>
    <cellStyle name="Normal 3 5 2 2 5 2" xfId="7321"/>
    <cellStyle name="Normal 3 5 2 2 5 2 2" xfId="7322"/>
    <cellStyle name="Normal 3 5 2 2 5 2 2 2" xfId="7323"/>
    <cellStyle name="Normal 3 5 2 2 5 2 2 2 2" xfId="7324"/>
    <cellStyle name="Normal 3 5 2 2 5 2 2 3" xfId="7325"/>
    <cellStyle name="Normal 3 5 2 2 5 2 2 3 2" xfId="7326"/>
    <cellStyle name="Normal 3 5 2 2 5 2 2 4" xfId="7327"/>
    <cellStyle name="Normal 3 5 2 2 5 2 2 4 2" xfId="7328"/>
    <cellStyle name="Normal 3 5 2 2 5 2 2 5" xfId="7329"/>
    <cellStyle name="Normal 3 5 2 2 5 2 3" xfId="7330"/>
    <cellStyle name="Normal 3 5 2 2 5 2 3 2" xfId="7331"/>
    <cellStyle name="Normal 3 5 2 2 5 2 3 2 2" xfId="7332"/>
    <cellStyle name="Normal 3 5 2 2 5 2 3 3" xfId="7333"/>
    <cellStyle name="Normal 3 5 2 2 5 2 3 3 2" xfId="7334"/>
    <cellStyle name="Normal 3 5 2 2 5 2 3 4" xfId="7335"/>
    <cellStyle name="Normal 3 5 2 2 5 2 3 4 2" xfId="7336"/>
    <cellStyle name="Normal 3 5 2 2 5 2 3 5" xfId="7337"/>
    <cellStyle name="Normal 3 5 2 2 5 2 4" xfId="7338"/>
    <cellStyle name="Normal 3 5 2 2 5 2 4 2" xfId="7339"/>
    <cellStyle name="Normal 3 5 2 2 5 2 5" xfId="7340"/>
    <cellStyle name="Normal 3 5 2 2 5 2 5 2" xfId="7341"/>
    <cellStyle name="Normal 3 5 2 2 5 2 6" xfId="7342"/>
    <cellStyle name="Normal 3 5 2 2 5 2 6 2" xfId="7343"/>
    <cellStyle name="Normal 3 5 2 2 5 2 7" xfId="7344"/>
    <cellStyle name="Normal 3 5 2 2 5 3" xfId="7345"/>
    <cellStyle name="Normal 3 5 2 2 5 3 2" xfId="7346"/>
    <cellStyle name="Normal 3 5 2 2 5 3 2 2" xfId="7347"/>
    <cellStyle name="Normal 3 5 2 2 5 3 3" xfId="7348"/>
    <cellStyle name="Normal 3 5 2 2 5 3 3 2" xfId="7349"/>
    <cellStyle name="Normal 3 5 2 2 5 3 4" xfId="7350"/>
    <cellStyle name="Normal 3 5 2 2 5 3 4 2" xfId="7351"/>
    <cellStyle name="Normal 3 5 2 2 5 3 5" xfId="7352"/>
    <cellStyle name="Normal 3 5 2 2 5 4" xfId="7353"/>
    <cellStyle name="Normal 3 5 2 2 5 4 2" xfId="7354"/>
    <cellStyle name="Normal 3 5 2 2 5 4 2 2" xfId="7355"/>
    <cellStyle name="Normal 3 5 2 2 5 4 3" xfId="7356"/>
    <cellStyle name="Normal 3 5 2 2 5 4 3 2" xfId="7357"/>
    <cellStyle name="Normal 3 5 2 2 5 4 4" xfId="7358"/>
    <cellStyle name="Normal 3 5 2 2 5 4 4 2" xfId="7359"/>
    <cellStyle name="Normal 3 5 2 2 5 4 5" xfId="7360"/>
    <cellStyle name="Normal 3 5 2 2 5 5" xfId="7361"/>
    <cellStyle name="Normal 3 5 2 2 5 5 2" xfId="7362"/>
    <cellStyle name="Normal 3 5 2 2 5 6" xfId="7363"/>
    <cellStyle name="Normal 3 5 2 2 5 6 2" xfId="7364"/>
    <cellStyle name="Normal 3 5 2 2 5 7" xfId="7365"/>
    <cellStyle name="Normal 3 5 2 2 5 7 2" xfId="7366"/>
    <cellStyle name="Normal 3 5 2 2 5 8" xfId="7367"/>
    <cellStyle name="Normal 3 5 2 2 6" xfId="7368"/>
    <cellStyle name="Normal 3 5 2 2 6 2" xfId="7369"/>
    <cellStyle name="Normal 3 5 2 2 6 2 2" xfId="7370"/>
    <cellStyle name="Normal 3 5 2 2 6 2 2 2" xfId="7371"/>
    <cellStyle name="Normal 3 5 2 2 6 2 2 2 2" xfId="7372"/>
    <cellStyle name="Normal 3 5 2 2 6 2 2 3" xfId="7373"/>
    <cellStyle name="Normal 3 5 2 2 6 2 2 3 2" xfId="7374"/>
    <cellStyle name="Normal 3 5 2 2 6 2 2 4" xfId="7375"/>
    <cellStyle name="Normal 3 5 2 2 6 2 2 4 2" xfId="7376"/>
    <cellStyle name="Normal 3 5 2 2 6 2 2 5" xfId="7377"/>
    <cellStyle name="Normal 3 5 2 2 6 2 3" xfId="7378"/>
    <cellStyle name="Normal 3 5 2 2 6 2 3 2" xfId="7379"/>
    <cellStyle name="Normal 3 5 2 2 6 2 3 2 2" xfId="7380"/>
    <cellStyle name="Normal 3 5 2 2 6 2 3 3" xfId="7381"/>
    <cellStyle name="Normal 3 5 2 2 6 2 3 3 2" xfId="7382"/>
    <cellStyle name="Normal 3 5 2 2 6 2 3 4" xfId="7383"/>
    <cellStyle name="Normal 3 5 2 2 6 2 3 4 2" xfId="7384"/>
    <cellStyle name="Normal 3 5 2 2 6 2 3 5" xfId="7385"/>
    <cellStyle name="Normal 3 5 2 2 6 2 4" xfId="7386"/>
    <cellStyle name="Normal 3 5 2 2 6 2 4 2" xfId="7387"/>
    <cellStyle name="Normal 3 5 2 2 6 2 5" xfId="7388"/>
    <cellStyle name="Normal 3 5 2 2 6 2 5 2" xfId="7389"/>
    <cellStyle name="Normal 3 5 2 2 6 2 6" xfId="7390"/>
    <cellStyle name="Normal 3 5 2 2 6 2 6 2" xfId="7391"/>
    <cellStyle name="Normal 3 5 2 2 6 2 7" xfId="7392"/>
    <cellStyle name="Normal 3 5 2 2 6 3" xfId="7393"/>
    <cellStyle name="Normal 3 5 2 2 6 3 2" xfId="7394"/>
    <cellStyle name="Normal 3 5 2 2 6 3 2 2" xfId="7395"/>
    <cellStyle name="Normal 3 5 2 2 6 3 3" xfId="7396"/>
    <cellStyle name="Normal 3 5 2 2 6 3 3 2" xfId="7397"/>
    <cellStyle name="Normal 3 5 2 2 6 3 4" xfId="7398"/>
    <cellStyle name="Normal 3 5 2 2 6 3 4 2" xfId="7399"/>
    <cellStyle name="Normal 3 5 2 2 6 3 5" xfId="7400"/>
    <cellStyle name="Normal 3 5 2 2 6 4" xfId="7401"/>
    <cellStyle name="Normal 3 5 2 2 6 4 2" xfId="7402"/>
    <cellStyle name="Normal 3 5 2 2 6 4 2 2" xfId="7403"/>
    <cellStyle name="Normal 3 5 2 2 6 4 3" xfId="7404"/>
    <cellStyle name="Normal 3 5 2 2 6 4 3 2" xfId="7405"/>
    <cellStyle name="Normal 3 5 2 2 6 4 4" xfId="7406"/>
    <cellStyle name="Normal 3 5 2 2 6 4 4 2" xfId="7407"/>
    <cellStyle name="Normal 3 5 2 2 6 4 5" xfId="7408"/>
    <cellStyle name="Normal 3 5 2 2 6 5" xfId="7409"/>
    <cellStyle name="Normal 3 5 2 2 6 5 2" xfId="7410"/>
    <cellStyle name="Normal 3 5 2 2 6 6" xfId="7411"/>
    <cellStyle name="Normal 3 5 2 2 6 6 2" xfId="7412"/>
    <cellStyle name="Normal 3 5 2 2 6 7" xfId="7413"/>
    <cellStyle name="Normal 3 5 2 2 6 7 2" xfId="7414"/>
    <cellStyle name="Normal 3 5 2 2 6 8" xfId="7415"/>
    <cellStyle name="Normal 3 5 2 2 7" xfId="7416"/>
    <cellStyle name="Normal 3 5 2 2 7 2" xfId="7417"/>
    <cellStyle name="Normal 3 5 2 2 7 2 2" xfId="7418"/>
    <cellStyle name="Normal 3 5 2 2 7 2 2 2" xfId="7419"/>
    <cellStyle name="Normal 3 5 2 2 7 2 2 2 2" xfId="7420"/>
    <cellStyle name="Normal 3 5 2 2 7 2 2 3" xfId="7421"/>
    <cellStyle name="Normal 3 5 2 2 7 2 2 3 2" xfId="7422"/>
    <cellStyle name="Normal 3 5 2 2 7 2 2 4" xfId="7423"/>
    <cellStyle name="Normal 3 5 2 2 7 2 2 4 2" xfId="7424"/>
    <cellStyle name="Normal 3 5 2 2 7 2 2 5" xfId="7425"/>
    <cellStyle name="Normal 3 5 2 2 7 2 3" xfId="7426"/>
    <cellStyle name="Normal 3 5 2 2 7 2 3 2" xfId="7427"/>
    <cellStyle name="Normal 3 5 2 2 7 2 3 2 2" xfId="7428"/>
    <cellStyle name="Normal 3 5 2 2 7 2 3 3" xfId="7429"/>
    <cellStyle name="Normal 3 5 2 2 7 2 3 3 2" xfId="7430"/>
    <cellStyle name="Normal 3 5 2 2 7 2 3 4" xfId="7431"/>
    <cellStyle name="Normal 3 5 2 2 7 2 3 4 2" xfId="7432"/>
    <cellStyle name="Normal 3 5 2 2 7 2 3 5" xfId="7433"/>
    <cellStyle name="Normal 3 5 2 2 7 2 4" xfId="7434"/>
    <cellStyle name="Normal 3 5 2 2 7 2 4 2" xfId="7435"/>
    <cellStyle name="Normal 3 5 2 2 7 2 5" xfId="7436"/>
    <cellStyle name="Normal 3 5 2 2 7 2 5 2" xfId="7437"/>
    <cellStyle name="Normal 3 5 2 2 7 2 6" xfId="7438"/>
    <cellStyle name="Normal 3 5 2 2 7 2 6 2" xfId="7439"/>
    <cellStyle name="Normal 3 5 2 2 7 2 7" xfId="7440"/>
    <cellStyle name="Normal 3 5 2 2 7 3" xfId="7441"/>
    <cellStyle name="Normal 3 5 2 2 7 3 2" xfId="7442"/>
    <cellStyle name="Normal 3 5 2 2 7 3 2 2" xfId="7443"/>
    <cellStyle name="Normal 3 5 2 2 7 3 3" xfId="7444"/>
    <cellStyle name="Normal 3 5 2 2 7 3 3 2" xfId="7445"/>
    <cellStyle name="Normal 3 5 2 2 7 3 4" xfId="7446"/>
    <cellStyle name="Normal 3 5 2 2 7 3 4 2" xfId="7447"/>
    <cellStyle name="Normal 3 5 2 2 7 3 5" xfId="7448"/>
    <cellStyle name="Normal 3 5 2 2 7 4" xfId="7449"/>
    <cellStyle name="Normal 3 5 2 2 7 4 2" xfId="7450"/>
    <cellStyle name="Normal 3 5 2 2 7 4 2 2" xfId="7451"/>
    <cellStyle name="Normal 3 5 2 2 7 4 3" xfId="7452"/>
    <cellStyle name="Normal 3 5 2 2 7 4 3 2" xfId="7453"/>
    <cellStyle name="Normal 3 5 2 2 7 4 4" xfId="7454"/>
    <cellStyle name="Normal 3 5 2 2 7 4 4 2" xfId="7455"/>
    <cellStyle name="Normal 3 5 2 2 7 4 5" xfId="7456"/>
    <cellStyle name="Normal 3 5 2 2 7 5" xfId="7457"/>
    <cellStyle name="Normal 3 5 2 2 7 5 2" xfId="7458"/>
    <cellStyle name="Normal 3 5 2 2 7 6" xfId="7459"/>
    <cellStyle name="Normal 3 5 2 2 7 6 2" xfId="7460"/>
    <cellStyle name="Normal 3 5 2 2 7 7" xfId="7461"/>
    <cellStyle name="Normal 3 5 2 2 7 7 2" xfId="7462"/>
    <cellStyle name="Normal 3 5 2 2 7 8" xfId="7463"/>
    <cellStyle name="Normal 3 5 2 2 8" xfId="7464"/>
    <cellStyle name="Normal 3 5 2 2 8 2" xfId="7465"/>
    <cellStyle name="Normal 3 5 2 2 8 2 2" xfId="7466"/>
    <cellStyle name="Normal 3 5 2 2 8 2 2 2" xfId="7467"/>
    <cellStyle name="Normal 3 5 2 2 8 2 3" xfId="7468"/>
    <cellStyle name="Normal 3 5 2 2 8 2 3 2" xfId="7469"/>
    <cellStyle name="Normal 3 5 2 2 8 2 4" xfId="7470"/>
    <cellStyle name="Normal 3 5 2 2 8 2 4 2" xfId="7471"/>
    <cellStyle name="Normal 3 5 2 2 8 2 5" xfId="7472"/>
    <cellStyle name="Normal 3 5 2 2 8 3" xfId="7473"/>
    <cellStyle name="Normal 3 5 2 2 8 3 2" xfId="7474"/>
    <cellStyle name="Normal 3 5 2 2 8 3 2 2" xfId="7475"/>
    <cellStyle name="Normal 3 5 2 2 8 3 3" xfId="7476"/>
    <cellStyle name="Normal 3 5 2 2 8 3 3 2" xfId="7477"/>
    <cellStyle name="Normal 3 5 2 2 8 3 4" xfId="7478"/>
    <cellStyle name="Normal 3 5 2 2 8 3 4 2" xfId="7479"/>
    <cellStyle name="Normal 3 5 2 2 8 3 5" xfId="7480"/>
    <cellStyle name="Normal 3 5 2 2 8 4" xfId="7481"/>
    <cellStyle name="Normal 3 5 2 2 8 4 2" xfId="7482"/>
    <cellStyle name="Normal 3 5 2 2 8 5" xfId="7483"/>
    <cellStyle name="Normal 3 5 2 2 8 5 2" xfId="7484"/>
    <cellStyle name="Normal 3 5 2 2 8 6" xfId="7485"/>
    <cellStyle name="Normal 3 5 2 2 8 6 2" xfId="7486"/>
    <cellStyle name="Normal 3 5 2 2 8 7" xfId="7487"/>
    <cellStyle name="Normal 3 5 2 2 9" xfId="7488"/>
    <cellStyle name="Normal 3 5 2 2 9 2" xfId="7489"/>
    <cellStyle name="Normal 3 5 2 2 9 2 2" xfId="7490"/>
    <cellStyle name="Normal 3 5 2 2 9 3" xfId="7491"/>
    <cellStyle name="Normal 3 5 2 2 9 3 2" xfId="7492"/>
    <cellStyle name="Normal 3 5 2 2 9 4" xfId="7493"/>
    <cellStyle name="Normal 3 5 2 2 9 4 2" xfId="7494"/>
    <cellStyle name="Normal 3 5 2 2 9 5" xfId="7495"/>
    <cellStyle name="Normal 3 5 2 3" xfId="7496"/>
    <cellStyle name="Normal 3 5 2 3 10" xfId="7497"/>
    <cellStyle name="Normal 3 5 2 3 10 2" xfId="7498"/>
    <cellStyle name="Normal 3 5 2 3 10 2 2" xfId="7499"/>
    <cellStyle name="Normal 3 5 2 3 10 3" xfId="7500"/>
    <cellStyle name="Normal 3 5 2 3 10 3 2" xfId="7501"/>
    <cellStyle name="Normal 3 5 2 3 10 4" xfId="7502"/>
    <cellStyle name="Normal 3 5 2 3 10 4 2" xfId="7503"/>
    <cellStyle name="Normal 3 5 2 3 10 5" xfId="7504"/>
    <cellStyle name="Normal 3 5 2 3 11" xfId="7505"/>
    <cellStyle name="Normal 3 5 2 3 11 2" xfId="7506"/>
    <cellStyle name="Normal 3 5 2 3 12" xfId="7507"/>
    <cellStyle name="Normal 3 5 2 3 12 2" xfId="7508"/>
    <cellStyle name="Normal 3 5 2 3 13" xfId="7509"/>
    <cellStyle name="Normal 3 5 2 3 13 2" xfId="7510"/>
    <cellStyle name="Normal 3 5 2 3 14" xfId="7511"/>
    <cellStyle name="Normal 3 5 2 3 2" xfId="7512"/>
    <cellStyle name="Normal 3 5 2 3 2 10" xfId="7513"/>
    <cellStyle name="Normal 3 5 2 3 2 10 2" xfId="7514"/>
    <cellStyle name="Normal 3 5 2 3 2 11" xfId="7515"/>
    <cellStyle name="Normal 3 5 2 3 2 11 2" xfId="7516"/>
    <cellStyle name="Normal 3 5 2 3 2 12" xfId="7517"/>
    <cellStyle name="Normal 3 5 2 3 2 12 2" xfId="7518"/>
    <cellStyle name="Normal 3 5 2 3 2 13" xfId="7519"/>
    <cellStyle name="Normal 3 5 2 3 2 2" xfId="7520"/>
    <cellStyle name="Normal 3 5 2 3 2 2 2" xfId="7521"/>
    <cellStyle name="Normal 3 5 2 3 2 2 2 2" xfId="7522"/>
    <cellStyle name="Normal 3 5 2 3 2 2 2 2 2" xfId="7523"/>
    <cellStyle name="Normal 3 5 2 3 2 2 2 2 2 2" xfId="7524"/>
    <cellStyle name="Normal 3 5 2 3 2 2 2 2 3" xfId="7525"/>
    <cellStyle name="Normal 3 5 2 3 2 2 2 2 3 2" xfId="7526"/>
    <cellStyle name="Normal 3 5 2 3 2 2 2 2 4" xfId="7527"/>
    <cellStyle name="Normal 3 5 2 3 2 2 2 2 4 2" xfId="7528"/>
    <cellStyle name="Normal 3 5 2 3 2 2 2 2 5" xfId="7529"/>
    <cellStyle name="Normal 3 5 2 3 2 2 2 3" xfId="7530"/>
    <cellStyle name="Normal 3 5 2 3 2 2 2 3 2" xfId="7531"/>
    <cellStyle name="Normal 3 5 2 3 2 2 2 3 2 2" xfId="7532"/>
    <cellStyle name="Normal 3 5 2 3 2 2 2 3 3" xfId="7533"/>
    <cellStyle name="Normal 3 5 2 3 2 2 2 3 3 2" xfId="7534"/>
    <cellStyle name="Normal 3 5 2 3 2 2 2 3 4" xfId="7535"/>
    <cellStyle name="Normal 3 5 2 3 2 2 2 3 4 2" xfId="7536"/>
    <cellStyle name="Normal 3 5 2 3 2 2 2 3 5" xfId="7537"/>
    <cellStyle name="Normal 3 5 2 3 2 2 2 4" xfId="7538"/>
    <cellStyle name="Normal 3 5 2 3 2 2 2 4 2" xfId="7539"/>
    <cellStyle name="Normal 3 5 2 3 2 2 2 5" xfId="7540"/>
    <cellStyle name="Normal 3 5 2 3 2 2 2 5 2" xfId="7541"/>
    <cellStyle name="Normal 3 5 2 3 2 2 2 6" xfId="7542"/>
    <cellStyle name="Normal 3 5 2 3 2 2 2 6 2" xfId="7543"/>
    <cellStyle name="Normal 3 5 2 3 2 2 2 7" xfId="7544"/>
    <cellStyle name="Normal 3 5 2 3 2 2 3" xfId="7545"/>
    <cellStyle name="Normal 3 5 2 3 2 2 3 2" xfId="7546"/>
    <cellStyle name="Normal 3 5 2 3 2 2 3 2 2" xfId="7547"/>
    <cellStyle name="Normal 3 5 2 3 2 2 3 3" xfId="7548"/>
    <cellStyle name="Normal 3 5 2 3 2 2 3 3 2" xfId="7549"/>
    <cellStyle name="Normal 3 5 2 3 2 2 3 4" xfId="7550"/>
    <cellStyle name="Normal 3 5 2 3 2 2 3 4 2" xfId="7551"/>
    <cellStyle name="Normal 3 5 2 3 2 2 3 5" xfId="7552"/>
    <cellStyle name="Normal 3 5 2 3 2 2 4" xfId="7553"/>
    <cellStyle name="Normal 3 5 2 3 2 2 4 2" xfId="7554"/>
    <cellStyle name="Normal 3 5 2 3 2 2 4 2 2" xfId="7555"/>
    <cellStyle name="Normal 3 5 2 3 2 2 4 3" xfId="7556"/>
    <cellStyle name="Normal 3 5 2 3 2 2 4 3 2" xfId="7557"/>
    <cellStyle name="Normal 3 5 2 3 2 2 4 4" xfId="7558"/>
    <cellStyle name="Normal 3 5 2 3 2 2 4 4 2" xfId="7559"/>
    <cellStyle name="Normal 3 5 2 3 2 2 4 5" xfId="7560"/>
    <cellStyle name="Normal 3 5 2 3 2 2 5" xfId="7561"/>
    <cellStyle name="Normal 3 5 2 3 2 2 5 2" xfId="7562"/>
    <cellStyle name="Normal 3 5 2 3 2 2 6" xfId="7563"/>
    <cellStyle name="Normal 3 5 2 3 2 2 6 2" xfId="7564"/>
    <cellStyle name="Normal 3 5 2 3 2 2 7" xfId="7565"/>
    <cellStyle name="Normal 3 5 2 3 2 2 7 2" xfId="7566"/>
    <cellStyle name="Normal 3 5 2 3 2 2 8" xfId="7567"/>
    <cellStyle name="Normal 3 5 2 3 2 3" xfId="7568"/>
    <cellStyle name="Normal 3 5 2 3 2 3 2" xfId="7569"/>
    <cellStyle name="Normal 3 5 2 3 2 3 2 2" xfId="7570"/>
    <cellStyle name="Normal 3 5 2 3 2 3 2 2 2" xfId="7571"/>
    <cellStyle name="Normal 3 5 2 3 2 3 2 2 2 2" xfId="7572"/>
    <cellStyle name="Normal 3 5 2 3 2 3 2 2 3" xfId="7573"/>
    <cellStyle name="Normal 3 5 2 3 2 3 2 2 3 2" xfId="7574"/>
    <cellStyle name="Normal 3 5 2 3 2 3 2 2 4" xfId="7575"/>
    <cellStyle name="Normal 3 5 2 3 2 3 2 2 4 2" xfId="7576"/>
    <cellStyle name="Normal 3 5 2 3 2 3 2 2 5" xfId="7577"/>
    <cellStyle name="Normal 3 5 2 3 2 3 2 3" xfId="7578"/>
    <cellStyle name="Normal 3 5 2 3 2 3 2 3 2" xfId="7579"/>
    <cellStyle name="Normal 3 5 2 3 2 3 2 3 2 2" xfId="7580"/>
    <cellStyle name="Normal 3 5 2 3 2 3 2 3 3" xfId="7581"/>
    <cellStyle name="Normal 3 5 2 3 2 3 2 3 3 2" xfId="7582"/>
    <cellStyle name="Normal 3 5 2 3 2 3 2 3 4" xfId="7583"/>
    <cellStyle name="Normal 3 5 2 3 2 3 2 3 4 2" xfId="7584"/>
    <cellStyle name="Normal 3 5 2 3 2 3 2 3 5" xfId="7585"/>
    <cellStyle name="Normal 3 5 2 3 2 3 2 4" xfId="7586"/>
    <cellStyle name="Normal 3 5 2 3 2 3 2 4 2" xfId="7587"/>
    <cellStyle name="Normal 3 5 2 3 2 3 2 5" xfId="7588"/>
    <cellStyle name="Normal 3 5 2 3 2 3 2 5 2" xfId="7589"/>
    <cellStyle name="Normal 3 5 2 3 2 3 2 6" xfId="7590"/>
    <cellStyle name="Normal 3 5 2 3 2 3 2 6 2" xfId="7591"/>
    <cellStyle name="Normal 3 5 2 3 2 3 2 7" xfId="7592"/>
    <cellStyle name="Normal 3 5 2 3 2 3 3" xfId="7593"/>
    <cellStyle name="Normal 3 5 2 3 2 3 3 2" xfId="7594"/>
    <cellStyle name="Normal 3 5 2 3 2 3 3 2 2" xfId="7595"/>
    <cellStyle name="Normal 3 5 2 3 2 3 3 3" xfId="7596"/>
    <cellStyle name="Normal 3 5 2 3 2 3 3 3 2" xfId="7597"/>
    <cellStyle name="Normal 3 5 2 3 2 3 3 4" xfId="7598"/>
    <cellStyle name="Normal 3 5 2 3 2 3 3 4 2" xfId="7599"/>
    <cellStyle name="Normal 3 5 2 3 2 3 3 5" xfId="7600"/>
    <cellStyle name="Normal 3 5 2 3 2 3 4" xfId="7601"/>
    <cellStyle name="Normal 3 5 2 3 2 3 4 2" xfId="7602"/>
    <cellStyle name="Normal 3 5 2 3 2 3 4 2 2" xfId="7603"/>
    <cellStyle name="Normal 3 5 2 3 2 3 4 3" xfId="7604"/>
    <cellStyle name="Normal 3 5 2 3 2 3 4 3 2" xfId="7605"/>
    <cellStyle name="Normal 3 5 2 3 2 3 4 4" xfId="7606"/>
    <cellStyle name="Normal 3 5 2 3 2 3 4 4 2" xfId="7607"/>
    <cellStyle name="Normal 3 5 2 3 2 3 4 5" xfId="7608"/>
    <cellStyle name="Normal 3 5 2 3 2 3 5" xfId="7609"/>
    <cellStyle name="Normal 3 5 2 3 2 3 5 2" xfId="7610"/>
    <cellStyle name="Normal 3 5 2 3 2 3 6" xfId="7611"/>
    <cellStyle name="Normal 3 5 2 3 2 3 6 2" xfId="7612"/>
    <cellStyle name="Normal 3 5 2 3 2 3 7" xfId="7613"/>
    <cellStyle name="Normal 3 5 2 3 2 3 7 2" xfId="7614"/>
    <cellStyle name="Normal 3 5 2 3 2 3 8" xfId="7615"/>
    <cellStyle name="Normal 3 5 2 3 2 4" xfId="7616"/>
    <cellStyle name="Normal 3 5 2 3 2 4 2" xfId="7617"/>
    <cellStyle name="Normal 3 5 2 3 2 4 2 2" xfId="7618"/>
    <cellStyle name="Normal 3 5 2 3 2 4 2 2 2" xfId="7619"/>
    <cellStyle name="Normal 3 5 2 3 2 4 2 2 2 2" xfId="7620"/>
    <cellStyle name="Normal 3 5 2 3 2 4 2 2 3" xfId="7621"/>
    <cellStyle name="Normal 3 5 2 3 2 4 2 2 3 2" xfId="7622"/>
    <cellStyle name="Normal 3 5 2 3 2 4 2 2 4" xfId="7623"/>
    <cellStyle name="Normal 3 5 2 3 2 4 2 2 4 2" xfId="7624"/>
    <cellStyle name="Normal 3 5 2 3 2 4 2 2 5" xfId="7625"/>
    <cellStyle name="Normal 3 5 2 3 2 4 2 3" xfId="7626"/>
    <cellStyle name="Normal 3 5 2 3 2 4 2 3 2" xfId="7627"/>
    <cellStyle name="Normal 3 5 2 3 2 4 2 3 2 2" xfId="7628"/>
    <cellStyle name="Normal 3 5 2 3 2 4 2 3 3" xfId="7629"/>
    <cellStyle name="Normal 3 5 2 3 2 4 2 3 3 2" xfId="7630"/>
    <cellStyle name="Normal 3 5 2 3 2 4 2 3 4" xfId="7631"/>
    <cellStyle name="Normal 3 5 2 3 2 4 2 3 4 2" xfId="7632"/>
    <cellStyle name="Normal 3 5 2 3 2 4 2 3 5" xfId="7633"/>
    <cellStyle name="Normal 3 5 2 3 2 4 2 4" xfId="7634"/>
    <cellStyle name="Normal 3 5 2 3 2 4 2 4 2" xfId="7635"/>
    <cellStyle name="Normal 3 5 2 3 2 4 2 5" xfId="7636"/>
    <cellStyle name="Normal 3 5 2 3 2 4 2 5 2" xfId="7637"/>
    <cellStyle name="Normal 3 5 2 3 2 4 2 6" xfId="7638"/>
    <cellStyle name="Normal 3 5 2 3 2 4 2 6 2" xfId="7639"/>
    <cellStyle name="Normal 3 5 2 3 2 4 2 7" xfId="7640"/>
    <cellStyle name="Normal 3 5 2 3 2 4 3" xfId="7641"/>
    <cellStyle name="Normal 3 5 2 3 2 4 3 2" xfId="7642"/>
    <cellStyle name="Normal 3 5 2 3 2 4 3 2 2" xfId="7643"/>
    <cellStyle name="Normal 3 5 2 3 2 4 3 3" xfId="7644"/>
    <cellStyle name="Normal 3 5 2 3 2 4 3 3 2" xfId="7645"/>
    <cellStyle name="Normal 3 5 2 3 2 4 3 4" xfId="7646"/>
    <cellStyle name="Normal 3 5 2 3 2 4 3 4 2" xfId="7647"/>
    <cellStyle name="Normal 3 5 2 3 2 4 3 5" xfId="7648"/>
    <cellStyle name="Normal 3 5 2 3 2 4 4" xfId="7649"/>
    <cellStyle name="Normal 3 5 2 3 2 4 4 2" xfId="7650"/>
    <cellStyle name="Normal 3 5 2 3 2 4 4 2 2" xfId="7651"/>
    <cellStyle name="Normal 3 5 2 3 2 4 4 3" xfId="7652"/>
    <cellStyle name="Normal 3 5 2 3 2 4 4 3 2" xfId="7653"/>
    <cellStyle name="Normal 3 5 2 3 2 4 4 4" xfId="7654"/>
    <cellStyle name="Normal 3 5 2 3 2 4 4 4 2" xfId="7655"/>
    <cellStyle name="Normal 3 5 2 3 2 4 4 5" xfId="7656"/>
    <cellStyle name="Normal 3 5 2 3 2 4 5" xfId="7657"/>
    <cellStyle name="Normal 3 5 2 3 2 4 5 2" xfId="7658"/>
    <cellStyle name="Normal 3 5 2 3 2 4 6" xfId="7659"/>
    <cellStyle name="Normal 3 5 2 3 2 4 6 2" xfId="7660"/>
    <cellStyle name="Normal 3 5 2 3 2 4 7" xfId="7661"/>
    <cellStyle name="Normal 3 5 2 3 2 4 7 2" xfId="7662"/>
    <cellStyle name="Normal 3 5 2 3 2 4 8" xfId="7663"/>
    <cellStyle name="Normal 3 5 2 3 2 5" xfId="7664"/>
    <cellStyle name="Normal 3 5 2 3 2 5 2" xfId="7665"/>
    <cellStyle name="Normal 3 5 2 3 2 5 2 2" xfId="7666"/>
    <cellStyle name="Normal 3 5 2 3 2 5 2 2 2" xfId="7667"/>
    <cellStyle name="Normal 3 5 2 3 2 5 2 2 2 2" xfId="7668"/>
    <cellStyle name="Normal 3 5 2 3 2 5 2 2 3" xfId="7669"/>
    <cellStyle name="Normal 3 5 2 3 2 5 2 2 3 2" xfId="7670"/>
    <cellStyle name="Normal 3 5 2 3 2 5 2 2 4" xfId="7671"/>
    <cellStyle name="Normal 3 5 2 3 2 5 2 2 4 2" xfId="7672"/>
    <cellStyle name="Normal 3 5 2 3 2 5 2 2 5" xfId="7673"/>
    <cellStyle name="Normal 3 5 2 3 2 5 2 3" xfId="7674"/>
    <cellStyle name="Normal 3 5 2 3 2 5 2 3 2" xfId="7675"/>
    <cellStyle name="Normal 3 5 2 3 2 5 2 3 2 2" xfId="7676"/>
    <cellStyle name="Normal 3 5 2 3 2 5 2 3 3" xfId="7677"/>
    <cellStyle name="Normal 3 5 2 3 2 5 2 3 3 2" xfId="7678"/>
    <cellStyle name="Normal 3 5 2 3 2 5 2 3 4" xfId="7679"/>
    <cellStyle name="Normal 3 5 2 3 2 5 2 3 4 2" xfId="7680"/>
    <cellStyle name="Normal 3 5 2 3 2 5 2 3 5" xfId="7681"/>
    <cellStyle name="Normal 3 5 2 3 2 5 2 4" xfId="7682"/>
    <cellStyle name="Normal 3 5 2 3 2 5 2 4 2" xfId="7683"/>
    <cellStyle name="Normal 3 5 2 3 2 5 2 5" xfId="7684"/>
    <cellStyle name="Normal 3 5 2 3 2 5 2 5 2" xfId="7685"/>
    <cellStyle name="Normal 3 5 2 3 2 5 2 6" xfId="7686"/>
    <cellStyle name="Normal 3 5 2 3 2 5 2 6 2" xfId="7687"/>
    <cellStyle name="Normal 3 5 2 3 2 5 2 7" xfId="7688"/>
    <cellStyle name="Normal 3 5 2 3 2 5 3" xfId="7689"/>
    <cellStyle name="Normal 3 5 2 3 2 5 3 2" xfId="7690"/>
    <cellStyle name="Normal 3 5 2 3 2 5 3 2 2" xfId="7691"/>
    <cellStyle name="Normal 3 5 2 3 2 5 3 3" xfId="7692"/>
    <cellStyle name="Normal 3 5 2 3 2 5 3 3 2" xfId="7693"/>
    <cellStyle name="Normal 3 5 2 3 2 5 3 4" xfId="7694"/>
    <cellStyle name="Normal 3 5 2 3 2 5 3 4 2" xfId="7695"/>
    <cellStyle name="Normal 3 5 2 3 2 5 3 5" xfId="7696"/>
    <cellStyle name="Normal 3 5 2 3 2 5 4" xfId="7697"/>
    <cellStyle name="Normal 3 5 2 3 2 5 4 2" xfId="7698"/>
    <cellStyle name="Normal 3 5 2 3 2 5 4 2 2" xfId="7699"/>
    <cellStyle name="Normal 3 5 2 3 2 5 4 3" xfId="7700"/>
    <cellStyle name="Normal 3 5 2 3 2 5 4 3 2" xfId="7701"/>
    <cellStyle name="Normal 3 5 2 3 2 5 4 4" xfId="7702"/>
    <cellStyle name="Normal 3 5 2 3 2 5 4 4 2" xfId="7703"/>
    <cellStyle name="Normal 3 5 2 3 2 5 4 5" xfId="7704"/>
    <cellStyle name="Normal 3 5 2 3 2 5 5" xfId="7705"/>
    <cellStyle name="Normal 3 5 2 3 2 5 5 2" xfId="7706"/>
    <cellStyle name="Normal 3 5 2 3 2 5 6" xfId="7707"/>
    <cellStyle name="Normal 3 5 2 3 2 5 6 2" xfId="7708"/>
    <cellStyle name="Normal 3 5 2 3 2 5 7" xfId="7709"/>
    <cellStyle name="Normal 3 5 2 3 2 5 7 2" xfId="7710"/>
    <cellStyle name="Normal 3 5 2 3 2 5 8" xfId="7711"/>
    <cellStyle name="Normal 3 5 2 3 2 6" xfId="7712"/>
    <cellStyle name="Normal 3 5 2 3 2 6 2" xfId="7713"/>
    <cellStyle name="Normal 3 5 2 3 2 6 2 2" xfId="7714"/>
    <cellStyle name="Normal 3 5 2 3 2 6 2 2 2" xfId="7715"/>
    <cellStyle name="Normal 3 5 2 3 2 6 2 2 2 2" xfId="7716"/>
    <cellStyle name="Normal 3 5 2 3 2 6 2 2 3" xfId="7717"/>
    <cellStyle name="Normal 3 5 2 3 2 6 2 2 3 2" xfId="7718"/>
    <cellStyle name="Normal 3 5 2 3 2 6 2 2 4" xfId="7719"/>
    <cellStyle name="Normal 3 5 2 3 2 6 2 2 4 2" xfId="7720"/>
    <cellStyle name="Normal 3 5 2 3 2 6 2 2 5" xfId="7721"/>
    <cellStyle name="Normal 3 5 2 3 2 6 2 3" xfId="7722"/>
    <cellStyle name="Normal 3 5 2 3 2 6 2 3 2" xfId="7723"/>
    <cellStyle name="Normal 3 5 2 3 2 6 2 3 2 2" xfId="7724"/>
    <cellStyle name="Normal 3 5 2 3 2 6 2 3 3" xfId="7725"/>
    <cellStyle name="Normal 3 5 2 3 2 6 2 3 3 2" xfId="7726"/>
    <cellStyle name="Normal 3 5 2 3 2 6 2 3 4" xfId="7727"/>
    <cellStyle name="Normal 3 5 2 3 2 6 2 3 4 2" xfId="7728"/>
    <cellStyle name="Normal 3 5 2 3 2 6 2 3 5" xfId="7729"/>
    <cellStyle name="Normal 3 5 2 3 2 6 2 4" xfId="7730"/>
    <cellStyle name="Normal 3 5 2 3 2 6 2 4 2" xfId="7731"/>
    <cellStyle name="Normal 3 5 2 3 2 6 2 5" xfId="7732"/>
    <cellStyle name="Normal 3 5 2 3 2 6 2 5 2" xfId="7733"/>
    <cellStyle name="Normal 3 5 2 3 2 6 2 6" xfId="7734"/>
    <cellStyle name="Normal 3 5 2 3 2 6 2 6 2" xfId="7735"/>
    <cellStyle name="Normal 3 5 2 3 2 6 2 7" xfId="7736"/>
    <cellStyle name="Normal 3 5 2 3 2 6 3" xfId="7737"/>
    <cellStyle name="Normal 3 5 2 3 2 6 3 2" xfId="7738"/>
    <cellStyle name="Normal 3 5 2 3 2 6 3 2 2" xfId="7739"/>
    <cellStyle name="Normal 3 5 2 3 2 6 3 3" xfId="7740"/>
    <cellStyle name="Normal 3 5 2 3 2 6 3 3 2" xfId="7741"/>
    <cellStyle name="Normal 3 5 2 3 2 6 3 4" xfId="7742"/>
    <cellStyle name="Normal 3 5 2 3 2 6 3 4 2" xfId="7743"/>
    <cellStyle name="Normal 3 5 2 3 2 6 3 5" xfId="7744"/>
    <cellStyle name="Normal 3 5 2 3 2 6 4" xfId="7745"/>
    <cellStyle name="Normal 3 5 2 3 2 6 4 2" xfId="7746"/>
    <cellStyle name="Normal 3 5 2 3 2 6 4 2 2" xfId="7747"/>
    <cellStyle name="Normal 3 5 2 3 2 6 4 3" xfId="7748"/>
    <cellStyle name="Normal 3 5 2 3 2 6 4 3 2" xfId="7749"/>
    <cellStyle name="Normal 3 5 2 3 2 6 4 4" xfId="7750"/>
    <cellStyle name="Normal 3 5 2 3 2 6 4 4 2" xfId="7751"/>
    <cellStyle name="Normal 3 5 2 3 2 6 4 5" xfId="7752"/>
    <cellStyle name="Normal 3 5 2 3 2 6 5" xfId="7753"/>
    <cellStyle name="Normal 3 5 2 3 2 6 5 2" xfId="7754"/>
    <cellStyle name="Normal 3 5 2 3 2 6 6" xfId="7755"/>
    <cellStyle name="Normal 3 5 2 3 2 6 6 2" xfId="7756"/>
    <cellStyle name="Normal 3 5 2 3 2 6 7" xfId="7757"/>
    <cellStyle name="Normal 3 5 2 3 2 6 7 2" xfId="7758"/>
    <cellStyle name="Normal 3 5 2 3 2 6 8" xfId="7759"/>
    <cellStyle name="Normal 3 5 2 3 2 7" xfId="7760"/>
    <cellStyle name="Normal 3 5 2 3 2 7 2" xfId="7761"/>
    <cellStyle name="Normal 3 5 2 3 2 7 2 2" xfId="7762"/>
    <cellStyle name="Normal 3 5 2 3 2 7 2 2 2" xfId="7763"/>
    <cellStyle name="Normal 3 5 2 3 2 7 2 3" xfId="7764"/>
    <cellStyle name="Normal 3 5 2 3 2 7 2 3 2" xfId="7765"/>
    <cellStyle name="Normal 3 5 2 3 2 7 2 4" xfId="7766"/>
    <cellStyle name="Normal 3 5 2 3 2 7 2 4 2" xfId="7767"/>
    <cellStyle name="Normal 3 5 2 3 2 7 2 5" xfId="7768"/>
    <cellStyle name="Normal 3 5 2 3 2 7 3" xfId="7769"/>
    <cellStyle name="Normal 3 5 2 3 2 7 3 2" xfId="7770"/>
    <cellStyle name="Normal 3 5 2 3 2 7 3 2 2" xfId="7771"/>
    <cellStyle name="Normal 3 5 2 3 2 7 3 3" xfId="7772"/>
    <cellStyle name="Normal 3 5 2 3 2 7 3 3 2" xfId="7773"/>
    <cellStyle name="Normal 3 5 2 3 2 7 3 4" xfId="7774"/>
    <cellStyle name="Normal 3 5 2 3 2 7 3 4 2" xfId="7775"/>
    <cellStyle name="Normal 3 5 2 3 2 7 3 5" xfId="7776"/>
    <cellStyle name="Normal 3 5 2 3 2 7 4" xfId="7777"/>
    <cellStyle name="Normal 3 5 2 3 2 7 4 2" xfId="7778"/>
    <cellStyle name="Normal 3 5 2 3 2 7 5" xfId="7779"/>
    <cellStyle name="Normal 3 5 2 3 2 7 5 2" xfId="7780"/>
    <cellStyle name="Normal 3 5 2 3 2 7 6" xfId="7781"/>
    <cellStyle name="Normal 3 5 2 3 2 7 6 2" xfId="7782"/>
    <cellStyle name="Normal 3 5 2 3 2 7 7" xfId="7783"/>
    <cellStyle name="Normal 3 5 2 3 2 8" xfId="7784"/>
    <cellStyle name="Normal 3 5 2 3 2 8 2" xfId="7785"/>
    <cellStyle name="Normal 3 5 2 3 2 8 2 2" xfId="7786"/>
    <cellStyle name="Normal 3 5 2 3 2 8 3" xfId="7787"/>
    <cellStyle name="Normal 3 5 2 3 2 8 3 2" xfId="7788"/>
    <cellStyle name="Normal 3 5 2 3 2 8 4" xfId="7789"/>
    <cellStyle name="Normal 3 5 2 3 2 8 4 2" xfId="7790"/>
    <cellStyle name="Normal 3 5 2 3 2 8 5" xfId="7791"/>
    <cellStyle name="Normal 3 5 2 3 2 9" xfId="7792"/>
    <cellStyle name="Normal 3 5 2 3 2 9 2" xfId="7793"/>
    <cellStyle name="Normal 3 5 2 3 2 9 2 2" xfId="7794"/>
    <cellStyle name="Normal 3 5 2 3 2 9 3" xfId="7795"/>
    <cellStyle name="Normal 3 5 2 3 2 9 3 2" xfId="7796"/>
    <cellStyle name="Normal 3 5 2 3 2 9 4" xfId="7797"/>
    <cellStyle name="Normal 3 5 2 3 2 9 4 2" xfId="7798"/>
    <cellStyle name="Normal 3 5 2 3 2 9 5" xfId="7799"/>
    <cellStyle name="Normal 3 5 2 3 3" xfId="7800"/>
    <cellStyle name="Normal 3 5 2 3 3 2" xfId="7801"/>
    <cellStyle name="Normal 3 5 2 3 3 2 2" xfId="7802"/>
    <cellStyle name="Normal 3 5 2 3 3 2 2 2" xfId="7803"/>
    <cellStyle name="Normal 3 5 2 3 3 2 2 2 2" xfId="7804"/>
    <cellStyle name="Normal 3 5 2 3 3 2 2 3" xfId="7805"/>
    <cellStyle name="Normal 3 5 2 3 3 2 2 3 2" xfId="7806"/>
    <cellStyle name="Normal 3 5 2 3 3 2 2 4" xfId="7807"/>
    <cellStyle name="Normal 3 5 2 3 3 2 2 4 2" xfId="7808"/>
    <cellStyle name="Normal 3 5 2 3 3 2 2 5" xfId="7809"/>
    <cellStyle name="Normal 3 5 2 3 3 2 3" xfId="7810"/>
    <cellStyle name="Normal 3 5 2 3 3 2 3 2" xfId="7811"/>
    <cellStyle name="Normal 3 5 2 3 3 2 3 2 2" xfId="7812"/>
    <cellStyle name="Normal 3 5 2 3 3 2 3 3" xfId="7813"/>
    <cellStyle name="Normal 3 5 2 3 3 2 3 3 2" xfId="7814"/>
    <cellStyle name="Normal 3 5 2 3 3 2 3 4" xfId="7815"/>
    <cellStyle name="Normal 3 5 2 3 3 2 3 4 2" xfId="7816"/>
    <cellStyle name="Normal 3 5 2 3 3 2 3 5" xfId="7817"/>
    <cellStyle name="Normal 3 5 2 3 3 2 4" xfId="7818"/>
    <cellStyle name="Normal 3 5 2 3 3 2 4 2" xfId="7819"/>
    <cellStyle name="Normal 3 5 2 3 3 2 5" xfId="7820"/>
    <cellStyle name="Normal 3 5 2 3 3 2 5 2" xfId="7821"/>
    <cellStyle name="Normal 3 5 2 3 3 2 6" xfId="7822"/>
    <cellStyle name="Normal 3 5 2 3 3 2 6 2" xfId="7823"/>
    <cellStyle name="Normal 3 5 2 3 3 2 7" xfId="7824"/>
    <cellStyle name="Normal 3 5 2 3 3 3" xfId="7825"/>
    <cellStyle name="Normal 3 5 2 3 3 3 2" xfId="7826"/>
    <cellStyle name="Normal 3 5 2 3 3 3 2 2" xfId="7827"/>
    <cellStyle name="Normal 3 5 2 3 3 3 3" xfId="7828"/>
    <cellStyle name="Normal 3 5 2 3 3 3 3 2" xfId="7829"/>
    <cellStyle name="Normal 3 5 2 3 3 3 4" xfId="7830"/>
    <cellStyle name="Normal 3 5 2 3 3 3 4 2" xfId="7831"/>
    <cellStyle name="Normal 3 5 2 3 3 3 5" xfId="7832"/>
    <cellStyle name="Normal 3 5 2 3 3 4" xfId="7833"/>
    <cellStyle name="Normal 3 5 2 3 3 4 2" xfId="7834"/>
    <cellStyle name="Normal 3 5 2 3 3 4 2 2" xfId="7835"/>
    <cellStyle name="Normal 3 5 2 3 3 4 3" xfId="7836"/>
    <cellStyle name="Normal 3 5 2 3 3 4 3 2" xfId="7837"/>
    <cellStyle name="Normal 3 5 2 3 3 4 4" xfId="7838"/>
    <cellStyle name="Normal 3 5 2 3 3 4 4 2" xfId="7839"/>
    <cellStyle name="Normal 3 5 2 3 3 4 5" xfId="7840"/>
    <cellStyle name="Normal 3 5 2 3 3 5" xfId="7841"/>
    <cellStyle name="Normal 3 5 2 3 3 5 2" xfId="7842"/>
    <cellStyle name="Normal 3 5 2 3 3 6" xfId="7843"/>
    <cellStyle name="Normal 3 5 2 3 3 6 2" xfId="7844"/>
    <cellStyle name="Normal 3 5 2 3 3 7" xfId="7845"/>
    <cellStyle name="Normal 3 5 2 3 3 7 2" xfId="7846"/>
    <cellStyle name="Normal 3 5 2 3 3 8" xfId="7847"/>
    <cellStyle name="Normal 3 5 2 3 4" xfId="7848"/>
    <cellStyle name="Normal 3 5 2 3 4 2" xfId="7849"/>
    <cellStyle name="Normal 3 5 2 3 4 2 2" xfId="7850"/>
    <cellStyle name="Normal 3 5 2 3 4 2 2 2" xfId="7851"/>
    <cellStyle name="Normal 3 5 2 3 4 2 2 2 2" xfId="7852"/>
    <cellStyle name="Normal 3 5 2 3 4 2 2 3" xfId="7853"/>
    <cellStyle name="Normal 3 5 2 3 4 2 2 3 2" xfId="7854"/>
    <cellStyle name="Normal 3 5 2 3 4 2 2 4" xfId="7855"/>
    <cellStyle name="Normal 3 5 2 3 4 2 2 4 2" xfId="7856"/>
    <cellStyle name="Normal 3 5 2 3 4 2 2 5" xfId="7857"/>
    <cellStyle name="Normal 3 5 2 3 4 2 3" xfId="7858"/>
    <cellStyle name="Normal 3 5 2 3 4 2 3 2" xfId="7859"/>
    <cellStyle name="Normal 3 5 2 3 4 2 3 2 2" xfId="7860"/>
    <cellStyle name="Normal 3 5 2 3 4 2 3 3" xfId="7861"/>
    <cellStyle name="Normal 3 5 2 3 4 2 3 3 2" xfId="7862"/>
    <cellStyle name="Normal 3 5 2 3 4 2 3 4" xfId="7863"/>
    <cellStyle name="Normal 3 5 2 3 4 2 3 4 2" xfId="7864"/>
    <cellStyle name="Normal 3 5 2 3 4 2 3 5" xfId="7865"/>
    <cellStyle name="Normal 3 5 2 3 4 2 4" xfId="7866"/>
    <cellStyle name="Normal 3 5 2 3 4 2 4 2" xfId="7867"/>
    <cellStyle name="Normal 3 5 2 3 4 2 5" xfId="7868"/>
    <cellStyle name="Normal 3 5 2 3 4 2 5 2" xfId="7869"/>
    <cellStyle name="Normal 3 5 2 3 4 2 6" xfId="7870"/>
    <cellStyle name="Normal 3 5 2 3 4 2 6 2" xfId="7871"/>
    <cellStyle name="Normal 3 5 2 3 4 2 7" xfId="7872"/>
    <cellStyle name="Normal 3 5 2 3 4 3" xfId="7873"/>
    <cellStyle name="Normal 3 5 2 3 4 3 2" xfId="7874"/>
    <cellStyle name="Normal 3 5 2 3 4 3 2 2" xfId="7875"/>
    <cellStyle name="Normal 3 5 2 3 4 3 3" xfId="7876"/>
    <cellStyle name="Normal 3 5 2 3 4 3 3 2" xfId="7877"/>
    <cellStyle name="Normal 3 5 2 3 4 3 4" xfId="7878"/>
    <cellStyle name="Normal 3 5 2 3 4 3 4 2" xfId="7879"/>
    <cellStyle name="Normal 3 5 2 3 4 3 5" xfId="7880"/>
    <cellStyle name="Normal 3 5 2 3 4 4" xfId="7881"/>
    <cellStyle name="Normal 3 5 2 3 4 4 2" xfId="7882"/>
    <cellStyle name="Normal 3 5 2 3 4 4 2 2" xfId="7883"/>
    <cellStyle name="Normal 3 5 2 3 4 4 3" xfId="7884"/>
    <cellStyle name="Normal 3 5 2 3 4 4 3 2" xfId="7885"/>
    <cellStyle name="Normal 3 5 2 3 4 4 4" xfId="7886"/>
    <cellStyle name="Normal 3 5 2 3 4 4 4 2" xfId="7887"/>
    <cellStyle name="Normal 3 5 2 3 4 4 5" xfId="7888"/>
    <cellStyle name="Normal 3 5 2 3 4 5" xfId="7889"/>
    <cellStyle name="Normal 3 5 2 3 4 5 2" xfId="7890"/>
    <cellStyle name="Normal 3 5 2 3 4 6" xfId="7891"/>
    <cellStyle name="Normal 3 5 2 3 4 6 2" xfId="7892"/>
    <cellStyle name="Normal 3 5 2 3 4 7" xfId="7893"/>
    <cellStyle name="Normal 3 5 2 3 4 7 2" xfId="7894"/>
    <cellStyle name="Normal 3 5 2 3 4 8" xfId="7895"/>
    <cellStyle name="Normal 3 5 2 3 5" xfId="7896"/>
    <cellStyle name="Normal 3 5 2 3 5 2" xfId="7897"/>
    <cellStyle name="Normal 3 5 2 3 5 2 2" xfId="7898"/>
    <cellStyle name="Normal 3 5 2 3 5 2 2 2" xfId="7899"/>
    <cellStyle name="Normal 3 5 2 3 5 2 2 2 2" xfId="7900"/>
    <cellStyle name="Normal 3 5 2 3 5 2 2 3" xfId="7901"/>
    <cellStyle name="Normal 3 5 2 3 5 2 2 3 2" xfId="7902"/>
    <cellStyle name="Normal 3 5 2 3 5 2 2 4" xfId="7903"/>
    <cellStyle name="Normal 3 5 2 3 5 2 2 4 2" xfId="7904"/>
    <cellStyle name="Normal 3 5 2 3 5 2 2 5" xfId="7905"/>
    <cellStyle name="Normal 3 5 2 3 5 2 3" xfId="7906"/>
    <cellStyle name="Normal 3 5 2 3 5 2 3 2" xfId="7907"/>
    <cellStyle name="Normal 3 5 2 3 5 2 3 2 2" xfId="7908"/>
    <cellStyle name="Normal 3 5 2 3 5 2 3 3" xfId="7909"/>
    <cellStyle name="Normal 3 5 2 3 5 2 3 3 2" xfId="7910"/>
    <cellStyle name="Normal 3 5 2 3 5 2 3 4" xfId="7911"/>
    <cellStyle name="Normal 3 5 2 3 5 2 3 4 2" xfId="7912"/>
    <cellStyle name="Normal 3 5 2 3 5 2 3 5" xfId="7913"/>
    <cellStyle name="Normal 3 5 2 3 5 2 4" xfId="7914"/>
    <cellStyle name="Normal 3 5 2 3 5 2 4 2" xfId="7915"/>
    <cellStyle name="Normal 3 5 2 3 5 2 5" xfId="7916"/>
    <cellStyle name="Normal 3 5 2 3 5 2 5 2" xfId="7917"/>
    <cellStyle name="Normal 3 5 2 3 5 2 6" xfId="7918"/>
    <cellStyle name="Normal 3 5 2 3 5 2 6 2" xfId="7919"/>
    <cellStyle name="Normal 3 5 2 3 5 2 7" xfId="7920"/>
    <cellStyle name="Normal 3 5 2 3 5 3" xfId="7921"/>
    <cellStyle name="Normal 3 5 2 3 5 3 2" xfId="7922"/>
    <cellStyle name="Normal 3 5 2 3 5 3 2 2" xfId="7923"/>
    <cellStyle name="Normal 3 5 2 3 5 3 3" xfId="7924"/>
    <cellStyle name="Normal 3 5 2 3 5 3 3 2" xfId="7925"/>
    <cellStyle name="Normal 3 5 2 3 5 3 4" xfId="7926"/>
    <cellStyle name="Normal 3 5 2 3 5 3 4 2" xfId="7927"/>
    <cellStyle name="Normal 3 5 2 3 5 3 5" xfId="7928"/>
    <cellStyle name="Normal 3 5 2 3 5 4" xfId="7929"/>
    <cellStyle name="Normal 3 5 2 3 5 4 2" xfId="7930"/>
    <cellStyle name="Normal 3 5 2 3 5 4 2 2" xfId="7931"/>
    <cellStyle name="Normal 3 5 2 3 5 4 3" xfId="7932"/>
    <cellStyle name="Normal 3 5 2 3 5 4 3 2" xfId="7933"/>
    <cellStyle name="Normal 3 5 2 3 5 4 4" xfId="7934"/>
    <cellStyle name="Normal 3 5 2 3 5 4 4 2" xfId="7935"/>
    <cellStyle name="Normal 3 5 2 3 5 4 5" xfId="7936"/>
    <cellStyle name="Normal 3 5 2 3 5 5" xfId="7937"/>
    <cellStyle name="Normal 3 5 2 3 5 5 2" xfId="7938"/>
    <cellStyle name="Normal 3 5 2 3 5 6" xfId="7939"/>
    <cellStyle name="Normal 3 5 2 3 5 6 2" xfId="7940"/>
    <cellStyle name="Normal 3 5 2 3 5 7" xfId="7941"/>
    <cellStyle name="Normal 3 5 2 3 5 7 2" xfId="7942"/>
    <cellStyle name="Normal 3 5 2 3 5 8" xfId="7943"/>
    <cellStyle name="Normal 3 5 2 3 6" xfId="7944"/>
    <cellStyle name="Normal 3 5 2 3 6 2" xfId="7945"/>
    <cellStyle name="Normal 3 5 2 3 6 2 2" xfId="7946"/>
    <cellStyle name="Normal 3 5 2 3 6 2 2 2" xfId="7947"/>
    <cellStyle name="Normal 3 5 2 3 6 2 2 2 2" xfId="7948"/>
    <cellStyle name="Normal 3 5 2 3 6 2 2 3" xfId="7949"/>
    <cellStyle name="Normal 3 5 2 3 6 2 2 3 2" xfId="7950"/>
    <cellStyle name="Normal 3 5 2 3 6 2 2 4" xfId="7951"/>
    <cellStyle name="Normal 3 5 2 3 6 2 2 4 2" xfId="7952"/>
    <cellStyle name="Normal 3 5 2 3 6 2 2 5" xfId="7953"/>
    <cellStyle name="Normal 3 5 2 3 6 2 3" xfId="7954"/>
    <cellStyle name="Normal 3 5 2 3 6 2 3 2" xfId="7955"/>
    <cellStyle name="Normal 3 5 2 3 6 2 3 2 2" xfId="7956"/>
    <cellStyle name="Normal 3 5 2 3 6 2 3 3" xfId="7957"/>
    <cellStyle name="Normal 3 5 2 3 6 2 3 3 2" xfId="7958"/>
    <cellStyle name="Normal 3 5 2 3 6 2 3 4" xfId="7959"/>
    <cellStyle name="Normal 3 5 2 3 6 2 3 4 2" xfId="7960"/>
    <cellStyle name="Normal 3 5 2 3 6 2 3 5" xfId="7961"/>
    <cellStyle name="Normal 3 5 2 3 6 2 4" xfId="7962"/>
    <cellStyle name="Normal 3 5 2 3 6 2 4 2" xfId="7963"/>
    <cellStyle name="Normal 3 5 2 3 6 2 5" xfId="7964"/>
    <cellStyle name="Normal 3 5 2 3 6 2 5 2" xfId="7965"/>
    <cellStyle name="Normal 3 5 2 3 6 2 6" xfId="7966"/>
    <cellStyle name="Normal 3 5 2 3 6 2 6 2" xfId="7967"/>
    <cellStyle name="Normal 3 5 2 3 6 2 7" xfId="7968"/>
    <cellStyle name="Normal 3 5 2 3 6 3" xfId="7969"/>
    <cellStyle name="Normal 3 5 2 3 6 3 2" xfId="7970"/>
    <cellStyle name="Normal 3 5 2 3 6 3 2 2" xfId="7971"/>
    <cellStyle name="Normal 3 5 2 3 6 3 3" xfId="7972"/>
    <cellStyle name="Normal 3 5 2 3 6 3 3 2" xfId="7973"/>
    <cellStyle name="Normal 3 5 2 3 6 3 4" xfId="7974"/>
    <cellStyle name="Normal 3 5 2 3 6 3 4 2" xfId="7975"/>
    <cellStyle name="Normal 3 5 2 3 6 3 5" xfId="7976"/>
    <cellStyle name="Normal 3 5 2 3 6 4" xfId="7977"/>
    <cellStyle name="Normal 3 5 2 3 6 4 2" xfId="7978"/>
    <cellStyle name="Normal 3 5 2 3 6 4 2 2" xfId="7979"/>
    <cellStyle name="Normal 3 5 2 3 6 4 3" xfId="7980"/>
    <cellStyle name="Normal 3 5 2 3 6 4 3 2" xfId="7981"/>
    <cellStyle name="Normal 3 5 2 3 6 4 4" xfId="7982"/>
    <cellStyle name="Normal 3 5 2 3 6 4 4 2" xfId="7983"/>
    <cellStyle name="Normal 3 5 2 3 6 4 5" xfId="7984"/>
    <cellStyle name="Normal 3 5 2 3 6 5" xfId="7985"/>
    <cellStyle name="Normal 3 5 2 3 6 5 2" xfId="7986"/>
    <cellStyle name="Normal 3 5 2 3 6 6" xfId="7987"/>
    <cellStyle name="Normal 3 5 2 3 6 6 2" xfId="7988"/>
    <cellStyle name="Normal 3 5 2 3 6 7" xfId="7989"/>
    <cellStyle name="Normal 3 5 2 3 6 7 2" xfId="7990"/>
    <cellStyle name="Normal 3 5 2 3 6 8" xfId="7991"/>
    <cellStyle name="Normal 3 5 2 3 7" xfId="7992"/>
    <cellStyle name="Normal 3 5 2 3 7 2" xfId="7993"/>
    <cellStyle name="Normal 3 5 2 3 7 2 2" xfId="7994"/>
    <cellStyle name="Normal 3 5 2 3 7 2 2 2" xfId="7995"/>
    <cellStyle name="Normal 3 5 2 3 7 2 2 2 2" xfId="7996"/>
    <cellStyle name="Normal 3 5 2 3 7 2 2 3" xfId="7997"/>
    <cellStyle name="Normal 3 5 2 3 7 2 2 3 2" xfId="7998"/>
    <cellStyle name="Normal 3 5 2 3 7 2 2 4" xfId="7999"/>
    <cellStyle name="Normal 3 5 2 3 7 2 2 4 2" xfId="8000"/>
    <cellStyle name="Normal 3 5 2 3 7 2 2 5" xfId="8001"/>
    <cellStyle name="Normal 3 5 2 3 7 2 3" xfId="8002"/>
    <cellStyle name="Normal 3 5 2 3 7 2 3 2" xfId="8003"/>
    <cellStyle name="Normal 3 5 2 3 7 2 3 2 2" xfId="8004"/>
    <cellStyle name="Normal 3 5 2 3 7 2 3 3" xfId="8005"/>
    <cellStyle name="Normal 3 5 2 3 7 2 3 3 2" xfId="8006"/>
    <cellStyle name="Normal 3 5 2 3 7 2 3 4" xfId="8007"/>
    <cellStyle name="Normal 3 5 2 3 7 2 3 4 2" xfId="8008"/>
    <cellStyle name="Normal 3 5 2 3 7 2 3 5" xfId="8009"/>
    <cellStyle name="Normal 3 5 2 3 7 2 4" xfId="8010"/>
    <cellStyle name="Normal 3 5 2 3 7 2 4 2" xfId="8011"/>
    <cellStyle name="Normal 3 5 2 3 7 2 5" xfId="8012"/>
    <cellStyle name="Normal 3 5 2 3 7 2 5 2" xfId="8013"/>
    <cellStyle name="Normal 3 5 2 3 7 2 6" xfId="8014"/>
    <cellStyle name="Normal 3 5 2 3 7 2 6 2" xfId="8015"/>
    <cellStyle name="Normal 3 5 2 3 7 2 7" xfId="8016"/>
    <cellStyle name="Normal 3 5 2 3 7 3" xfId="8017"/>
    <cellStyle name="Normal 3 5 2 3 7 3 2" xfId="8018"/>
    <cellStyle name="Normal 3 5 2 3 7 3 2 2" xfId="8019"/>
    <cellStyle name="Normal 3 5 2 3 7 3 3" xfId="8020"/>
    <cellStyle name="Normal 3 5 2 3 7 3 3 2" xfId="8021"/>
    <cellStyle name="Normal 3 5 2 3 7 3 4" xfId="8022"/>
    <cellStyle name="Normal 3 5 2 3 7 3 4 2" xfId="8023"/>
    <cellStyle name="Normal 3 5 2 3 7 3 5" xfId="8024"/>
    <cellStyle name="Normal 3 5 2 3 7 4" xfId="8025"/>
    <cellStyle name="Normal 3 5 2 3 7 4 2" xfId="8026"/>
    <cellStyle name="Normal 3 5 2 3 7 4 2 2" xfId="8027"/>
    <cellStyle name="Normal 3 5 2 3 7 4 3" xfId="8028"/>
    <cellStyle name="Normal 3 5 2 3 7 4 3 2" xfId="8029"/>
    <cellStyle name="Normal 3 5 2 3 7 4 4" xfId="8030"/>
    <cellStyle name="Normal 3 5 2 3 7 4 4 2" xfId="8031"/>
    <cellStyle name="Normal 3 5 2 3 7 4 5" xfId="8032"/>
    <cellStyle name="Normal 3 5 2 3 7 5" xfId="8033"/>
    <cellStyle name="Normal 3 5 2 3 7 5 2" xfId="8034"/>
    <cellStyle name="Normal 3 5 2 3 7 6" xfId="8035"/>
    <cellStyle name="Normal 3 5 2 3 7 6 2" xfId="8036"/>
    <cellStyle name="Normal 3 5 2 3 7 7" xfId="8037"/>
    <cellStyle name="Normal 3 5 2 3 7 7 2" xfId="8038"/>
    <cellStyle name="Normal 3 5 2 3 7 8" xfId="8039"/>
    <cellStyle name="Normal 3 5 2 3 8" xfId="8040"/>
    <cellStyle name="Normal 3 5 2 3 8 2" xfId="8041"/>
    <cellStyle name="Normal 3 5 2 3 8 2 2" xfId="8042"/>
    <cellStyle name="Normal 3 5 2 3 8 2 2 2" xfId="8043"/>
    <cellStyle name="Normal 3 5 2 3 8 2 3" xfId="8044"/>
    <cellStyle name="Normal 3 5 2 3 8 2 3 2" xfId="8045"/>
    <cellStyle name="Normal 3 5 2 3 8 2 4" xfId="8046"/>
    <cellStyle name="Normal 3 5 2 3 8 2 4 2" xfId="8047"/>
    <cellStyle name="Normal 3 5 2 3 8 2 5" xfId="8048"/>
    <cellStyle name="Normal 3 5 2 3 8 3" xfId="8049"/>
    <cellStyle name="Normal 3 5 2 3 8 3 2" xfId="8050"/>
    <cellStyle name="Normal 3 5 2 3 8 3 2 2" xfId="8051"/>
    <cellStyle name="Normal 3 5 2 3 8 3 3" xfId="8052"/>
    <cellStyle name="Normal 3 5 2 3 8 3 3 2" xfId="8053"/>
    <cellStyle name="Normal 3 5 2 3 8 3 4" xfId="8054"/>
    <cellStyle name="Normal 3 5 2 3 8 3 4 2" xfId="8055"/>
    <cellStyle name="Normal 3 5 2 3 8 3 5" xfId="8056"/>
    <cellStyle name="Normal 3 5 2 3 8 4" xfId="8057"/>
    <cellStyle name="Normal 3 5 2 3 8 4 2" xfId="8058"/>
    <cellStyle name="Normal 3 5 2 3 8 5" xfId="8059"/>
    <cellStyle name="Normal 3 5 2 3 8 5 2" xfId="8060"/>
    <cellStyle name="Normal 3 5 2 3 8 6" xfId="8061"/>
    <cellStyle name="Normal 3 5 2 3 8 6 2" xfId="8062"/>
    <cellStyle name="Normal 3 5 2 3 8 7" xfId="8063"/>
    <cellStyle name="Normal 3 5 2 3 9" xfId="8064"/>
    <cellStyle name="Normal 3 5 2 3 9 2" xfId="8065"/>
    <cellStyle name="Normal 3 5 2 3 9 2 2" xfId="8066"/>
    <cellStyle name="Normal 3 5 2 3 9 3" xfId="8067"/>
    <cellStyle name="Normal 3 5 2 3 9 3 2" xfId="8068"/>
    <cellStyle name="Normal 3 5 2 3 9 4" xfId="8069"/>
    <cellStyle name="Normal 3 5 2 3 9 4 2" xfId="8070"/>
    <cellStyle name="Normal 3 5 2 3 9 5" xfId="8071"/>
    <cellStyle name="Normal 3 5 2 4" xfId="8072"/>
    <cellStyle name="Normal 3 5 2 4 10" xfId="8073"/>
    <cellStyle name="Normal 3 5 2 4 10 2" xfId="8074"/>
    <cellStyle name="Normal 3 5 2 4 10 2 2" xfId="8075"/>
    <cellStyle name="Normal 3 5 2 4 10 3" xfId="8076"/>
    <cellStyle name="Normal 3 5 2 4 10 3 2" xfId="8077"/>
    <cellStyle name="Normal 3 5 2 4 10 4" xfId="8078"/>
    <cellStyle name="Normal 3 5 2 4 10 4 2" xfId="8079"/>
    <cellStyle name="Normal 3 5 2 4 10 5" xfId="8080"/>
    <cellStyle name="Normal 3 5 2 4 11" xfId="8081"/>
    <cellStyle name="Normal 3 5 2 4 11 2" xfId="8082"/>
    <cellStyle name="Normal 3 5 2 4 12" xfId="8083"/>
    <cellStyle name="Normal 3 5 2 4 12 2" xfId="8084"/>
    <cellStyle name="Normal 3 5 2 4 13" xfId="8085"/>
    <cellStyle name="Normal 3 5 2 4 13 2" xfId="8086"/>
    <cellStyle name="Normal 3 5 2 4 14" xfId="8087"/>
    <cellStyle name="Normal 3 5 2 4 2" xfId="8088"/>
    <cellStyle name="Normal 3 5 2 4 2 10" xfId="8089"/>
    <cellStyle name="Normal 3 5 2 4 2 10 2" xfId="8090"/>
    <cellStyle name="Normal 3 5 2 4 2 11" xfId="8091"/>
    <cellStyle name="Normal 3 5 2 4 2 11 2" xfId="8092"/>
    <cellStyle name="Normal 3 5 2 4 2 12" xfId="8093"/>
    <cellStyle name="Normal 3 5 2 4 2 12 2" xfId="8094"/>
    <cellStyle name="Normal 3 5 2 4 2 13" xfId="8095"/>
    <cellStyle name="Normal 3 5 2 4 2 2" xfId="8096"/>
    <cellStyle name="Normal 3 5 2 4 2 2 2" xfId="8097"/>
    <cellStyle name="Normal 3 5 2 4 2 2 2 2" xfId="8098"/>
    <cellStyle name="Normal 3 5 2 4 2 2 2 2 2" xfId="8099"/>
    <cellStyle name="Normal 3 5 2 4 2 2 2 2 2 2" xfId="8100"/>
    <cellStyle name="Normal 3 5 2 4 2 2 2 2 3" xfId="8101"/>
    <cellStyle name="Normal 3 5 2 4 2 2 2 2 3 2" xfId="8102"/>
    <cellStyle name="Normal 3 5 2 4 2 2 2 2 4" xfId="8103"/>
    <cellStyle name="Normal 3 5 2 4 2 2 2 2 4 2" xfId="8104"/>
    <cellStyle name="Normal 3 5 2 4 2 2 2 2 5" xfId="8105"/>
    <cellStyle name="Normal 3 5 2 4 2 2 2 3" xfId="8106"/>
    <cellStyle name="Normal 3 5 2 4 2 2 2 3 2" xfId="8107"/>
    <cellStyle name="Normal 3 5 2 4 2 2 2 3 2 2" xfId="8108"/>
    <cellStyle name="Normal 3 5 2 4 2 2 2 3 3" xfId="8109"/>
    <cellStyle name="Normal 3 5 2 4 2 2 2 3 3 2" xfId="8110"/>
    <cellStyle name="Normal 3 5 2 4 2 2 2 3 4" xfId="8111"/>
    <cellStyle name="Normal 3 5 2 4 2 2 2 3 4 2" xfId="8112"/>
    <cellStyle name="Normal 3 5 2 4 2 2 2 3 5" xfId="8113"/>
    <cellStyle name="Normal 3 5 2 4 2 2 2 4" xfId="8114"/>
    <cellStyle name="Normal 3 5 2 4 2 2 2 4 2" xfId="8115"/>
    <cellStyle name="Normal 3 5 2 4 2 2 2 5" xfId="8116"/>
    <cellStyle name="Normal 3 5 2 4 2 2 2 5 2" xfId="8117"/>
    <cellStyle name="Normal 3 5 2 4 2 2 2 6" xfId="8118"/>
    <cellStyle name="Normal 3 5 2 4 2 2 2 6 2" xfId="8119"/>
    <cellStyle name="Normal 3 5 2 4 2 2 2 7" xfId="8120"/>
    <cellStyle name="Normal 3 5 2 4 2 2 3" xfId="8121"/>
    <cellStyle name="Normal 3 5 2 4 2 2 3 2" xfId="8122"/>
    <cellStyle name="Normal 3 5 2 4 2 2 3 2 2" xfId="8123"/>
    <cellStyle name="Normal 3 5 2 4 2 2 3 3" xfId="8124"/>
    <cellStyle name="Normal 3 5 2 4 2 2 3 3 2" xfId="8125"/>
    <cellStyle name="Normal 3 5 2 4 2 2 3 4" xfId="8126"/>
    <cellStyle name="Normal 3 5 2 4 2 2 3 4 2" xfId="8127"/>
    <cellStyle name="Normal 3 5 2 4 2 2 3 5" xfId="8128"/>
    <cellStyle name="Normal 3 5 2 4 2 2 4" xfId="8129"/>
    <cellStyle name="Normal 3 5 2 4 2 2 4 2" xfId="8130"/>
    <cellStyle name="Normal 3 5 2 4 2 2 4 2 2" xfId="8131"/>
    <cellStyle name="Normal 3 5 2 4 2 2 4 3" xfId="8132"/>
    <cellStyle name="Normal 3 5 2 4 2 2 4 3 2" xfId="8133"/>
    <cellStyle name="Normal 3 5 2 4 2 2 4 4" xfId="8134"/>
    <cellStyle name="Normal 3 5 2 4 2 2 4 4 2" xfId="8135"/>
    <cellStyle name="Normal 3 5 2 4 2 2 4 5" xfId="8136"/>
    <cellStyle name="Normal 3 5 2 4 2 2 5" xfId="8137"/>
    <cellStyle name="Normal 3 5 2 4 2 2 5 2" xfId="8138"/>
    <cellStyle name="Normal 3 5 2 4 2 2 6" xfId="8139"/>
    <cellStyle name="Normal 3 5 2 4 2 2 6 2" xfId="8140"/>
    <cellStyle name="Normal 3 5 2 4 2 2 7" xfId="8141"/>
    <cellStyle name="Normal 3 5 2 4 2 2 7 2" xfId="8142"/>
    <cellStyle name="Normal 3 5 2 4 2 2 8" xfId="8143"/>
    <cellStyle name="Normal 3 5 2 4 2 3" xfId="8144"/>
    <cellStyle name="Normal 3 5 2 4 2 3 2" xfId="8145"/>
    <cellStyle name="Normal 3 5 2 4 2 3 2 2" xfId="8146"/>
    <cellStyle name="Normal 3 5 2 4 2 3 2 2 2" xfId="8147"/>
    <cellStyle name="Normal 3 5 2 4 2 3 2 2 2 2" xfId="8148"/>
    <cellStyle name="Normal 3 5 2 4 2 3 2 2 3" xfId="8149"/>
    <cellStyle name="Normal 3 5 2 4 2 3 2 2 3 2" xfId="8150"/>
    <cellStyle name="Normal 3 5 2 4 2 3 2 2 4" xfId="8151"/>
    <cellStyle name="Normal 3 5 2 4 2 3 2 2 4 2" xfId="8152"/>
    <cellStyle name="Normal 3 5 2 4 2 3 2 2 5" xfId="8153"/>
    <cellStyle name="Normal 3 5 2 4 2 3 2 3" xfId="8154"/>
    <cellStyle name="Normal 3 5 2 4 2 3 2 3 2" xfId="8155"/>
    <cellStyle name="Normal 3 5 2 4 2 3 2 3 2 2" xfId="8156"/>
    <cellStyle name="Normal 3 5 2 4 2 3 2 3 3" xfId="8157"/>
    <cellStyle name="Normal 3 5 2 4 2 3 2 3 3 2" xfId="8158"/>
    <cellStyle name="Normal 3 5 2 4 2 3 2 3 4" xfId="8159"/>
    <cellStyle name="Normal 3 5 2 4 2 3 2 3 4 2" xfId="8160"/>
    <cellStyle name="Normal 3 5 2 4 2 3 2 3 5" xfId="8161"/>
    <cellStyle name="Normal 3 5 2 4 2 3 2 4" xfId="8162"/>
    <cellStyle name="Normal 3 5 2 4 2 3 2 4 2" xfId="8163"/>
    <cellStyle name="Normal 3 5 2 4 2 3 2 5" xfId="8164"/>
    <cellStyle name="Normal 3 5 2 4 2 3 2 5 2" xfId="8165"/>
    <cellStyle name="Normal 3 5 2 4 2 3 2 6" xfId="8166"/>
    <cellStyle name="Normal 3 5 2 4 2 3 2 6 2" xfId="8167"/>
    <cellStyle name="Normal 3 5 2 4 2 3 2 7" xfId="8168"/>
    <cellStyle name="Normal 3 5 2 4 2 3 3" xfId="8169"/>
    <cellStyle name="Normal 3 5 2 4 2 3 3 2" xfId="8170"/>
    <cellStyle name="Normal 3 5 2 4 2 3 3 2 2" xfId="8171"/>
    <cellStyle name="Normal 3 5 2 4 2 3 3 3" xfId="8172"/>
    <cellStyle name="Normal 3 5 2 4 2 3 3 3 2" xfId="8173"/>
    <cellStyle name="Normal 3 5 2 4 2 3 3 4" xfId="8174"/>
    <cellStyle name="Normal 3 5 2 4 2 3 3 4 2" xfId="8175"/>
    <cellStyle name="Normal 3 5 2 4 2 3 3 5" xfId="8176"/>
    <cellStyle name="Normal 3 5 2 4 2 3 4" xfId="8177"/>
    <cellStyle name="Normal 3 5 2 4 2 3 4 2" xfId="8178"/>
    <cellStyle name="Normal 3 5 2 4 2 3 4 2 2" xfId="8179"/>
    <cellStyle name="Normal 3 5 2 4 2 3 4 3" xfId="8180"/>
    <cellStyle name="Normal 3 5 2 4 2 3 4 3 2" xfId="8181"/>
    <cellStyle name="Normal 3 5 2 4 2 3 4 4" xfId="8182"/>
    <cellStyle name="Normal 3 5 2 4 2 3 4 4 2" xfId="8183"/>
    <cellStyle name="Normal 3 5 2 4 2 3 4 5" xfId="8184"/>
    <cellStyle name="Normal 3 5 2 4 2 3 5" xfId="8185"/>
    <cellStyle name="Normal 3 5 2 4 2 3 5 2" xfId="8186"/>
    <cellStyle name="Normal 3 5 2 4 2 3 6" xfId="8187"/>
    <cellStyle name="Normal 3 5 2 4 2 3 6 2" xfId="8188"/>
    <cellStyle name="Normal 3 5 2 4 2 3 7" xfId="8189"/>
    <cellStyle name="Normal 3 5 2 4 2 3 7 2" xfId="8190"/>
    <cellStyle name="Normal 3 5 2 4 2 3 8" xfId="8191"/>
    <cellStyle name="Normal 3 5 2 4 2 4" xfId="8192"/>
    <cellStyle name="Normal 3 5 2 4 2 4 2" xfId="8193"/>
    <cellStyle name="Normal 3 5 2 4 2 4 2 2" xfId="8194"/>
    <cellStyle name="Normal 3 5 2 4 2 4 2 2 2" xfId="8195"/>
    <cellStyle name="Normal 3 5 2 4 2 4 2 2 2 2" xfId="8196"/>
    <cellStyle name="Normal 3 5 2 4 2 4 2 2 3" xfId="8197"/>
    <cellStyle name="Normal 3 5 2 4 2 4 2 2 3 2" xfId="8198"/>
    <cellStyle name="Normal 3 5 2 4 2 4 2 2 4" xfId="8199"/>
    <cellStyle name="Normal 3 5 2 4 2 4 2 2 4 2" xfId="8200"/>
    <cellStyle name="Normal 3 5 2 4 2 4 2 2 5" xfId="8201"/>
    <cellStyle name="Normal 3 5 2 4 2 4 2 3" xfId="8202"/>
    <cellStyle name="Normal 3 5 2 4 2 4 2 3 2" xfId="8203"/>
    <cellStyle name="Normal 3 5 2 4 2 4 2 3 2 2" xfId="8204"/>
    <cellStyle name="Normal 3 5 2 4 2 4 2 3 3" xfId="8205"/>
    <cellStyle name="Normal 3 5 2 4 2 4 2 3 3 2" xfId="8206"/>
    <cellStyle name="Normal 3 5 2 4 2 4 2 3 4" xfId="8207"/>
    <cellStyle name="Normal 3 5 2 4 2 4 2 3 4 2" xfId="8208"/>
    <cellStyle name="Normal 3 5 2 4 2 4 2 3 5" xfId="8209"/>
    <cellStyle name="Normal 3 5 2 4 2 4 2 4" xfId="8210"/>
    <cellStyle name="Normal 3 5 2 4 2 4 2 4 2" xfId="8211"/>
    <cellStyle name="Normal 3 5 2 4 2 4 2 5" xfId="8212"/>
    <cellStyle name="Normal 3 5 2 4 2 4 2 5 2" xfId="8213"/>
    <cellStyle name="Normal 3 5 2 4 2 4 2 6" xfId="8214"/>
    <cellStyle name="Normal 3 5 2 4 2 4 2 6 2" xfId="8215"/>
    <cellStyle name="Normal 3 5 2 4 2 4 2 7" xfId="8216"/>
    <cellStyle name="Normal 3 5 2 4 2 4 3" xfId="8217"/>
    <cellStyle name="Normal 3 5 2 4 2 4 3 2" xfId="8218"/>
    <cellStyle name="Normal 3 5 2 4 2 4 3 2 2" xfId="8219"/>
    <cellStyle name="Normal 3 5 2 4 2 4 3 3" xfId="8220"/>
    <cellStyle name="Normal 3 5 2 4 2 4 3 3 2" xfId="8221"/>
    <cellStyle name="Normal 3 5 2 4 2 4 3 4" xfId="8222"/>
    <cellStyle name="Normal 3 5 2 4 2 4 3 4 2" xfId="8223"/>
    <cellStyle name="Normal 3 5 2 4 2 4 3 5" xfId="8224"/>
    <cellStyle name="Normal 3 5 2 4 2 4 4" xfId="8225"/>
    <cellStyle name="Normal 3 5 2 4 2 4 4 2" xfId="8226"/>
    <cellStyle name="Normal 3 5 2 4 2 4 4 2 2" xfId="8227"/>
    <cellStyle name="Normal 3 5 2 4 2 4 4 3" xfId="8228"/>
    <cellStyle name="Normal 3 5 2 4 2 4 4 3 2" xfId="8229"/>
    <cellStyle name="Normal 3 5 2 4 2 4 4 4" xfId="8230"/>
    <cellStyle name="Normal 3 5 2 4 2 4 4 4 2" xfId="8231"/>
    <cellStyle name="Normal 3 5 2 4 2 4 4 5" xfId="8232"/>
    <cellStyle name="Normal 3 5 2 4 2 4 5" xfId="8233"/>
    <cellStyle name="Normal 3 5 2 4 2 4 5 2" xfId="8234"/>
    <cellStyle name="Normal 3 5 2 4 2 4 6" xfId="8235"/>
    <cellStyle name="Normal 3 5 2 4 2 4 6 2" xfId="8236"/>
    <cellStyle name="Normal 3 5 2 4 2 4 7" xfId="8237"/>
    <cellStyle name="Normal 3 5 2 4 2 4 7 2" xfId="8238"/>
    <cellStyle name="Normal 3 5 2 4 2 4 8" xfId="8239"/>
    <cellStyle name="Normal 3 5 2 4 2 5" xfId="8240"/>
    <cellStyle name="Normal 3 5 2 4 2 5 2" xfId="8241"/>
    <cellStyle name="Normal 3 5 2 4 2 5 2 2" xfId="8242"/>
    <cellStyle name="Normal 3 5 2 4 2 5 2 2 2" xfId="8243"/>
    <cellStyle name="Normal 3 5 2 4 2 5 2 2 2 2" xfId="8244"/>
    <cellStyle name="Normal 3 5 2 4 2 5 2 2 3" xfId="8245"/>
    <cellStyle name="Normal 3 5 2 4 2 5 2 2 3 2" xfId="8246"/>
    <cellStyle name="Normal 3 5 2 4 2 5 2 2 4" xfId="8247"/>
    <cellStyle name="Normal 3 5 2 4 2 5 2 2 4 2" xfId="8248"/>
    <cellStyle name="Normal 3 5 2 4 2 5 2 2 5" xfId="8249"/>
    <cellStyle name="Normal 3 5 2 4 2 5 2 3" xfId="8250"/>
    <cellStyle name="Normal 3 5 2 4 2 5 2 3 2" xfId="8251"/>
    <cellStyle name="Normal 3 5 2 4 2 5 2 3 2 2" xfId="8252"/>
    <cellStyle name="Normal 3 5 2 4 2 5 2 3 3" xfId="8253"/>
    <cellStyle name="Normal 3 5 2 4 2 5 2 3 3 2" xfId="8254"/>
    <cellStyle name="Normal 3 5 2 4 2 5 2 3 4" xfId="8255"/>
    <cellStyle name="Normal 3 5 2 4 2 5 2 3 4 2" xfId="8256"/>
    <cellStyle name="Normal 3 5 2 4 2 5 2 3 5" xfId="8257"/>
    <cellStyle name="Normal 3 5 2 4 2 5 2 4" xfId="8258"/>
    <cellStyle name="Normal 3 5 2 4 2 5 2 4 2" xfId="8259"/>
    <cellStyle name="Normal 3 5 2 4 2 5 2 5" xfId="8260"/>
    <cellStyle name="Normal 3 5 2 4 2 5 2 5 2" xfId="8261"/>
    <cellStyle name="Normal 3 5 2 4 2 5 2 6" xfId="8262"/>
    <cellStyle name="Normal 3 5 2 4 2 5 2 6 2" xfId="8263"/>
    <cellStyle name="Normal 3 5 2 4 2 5 2 7" xfId="8264"/>
    <cellStyle name="Normal 3 5 2 4 2 5 3" xfId="8265"/>
    <cellStyle name="Normal 3 5 2 4 2 5 3 2" xfId="8266"/>
    <cellStyle name="Normal 3 5 2 4 2 5 3 2 2" xfId="8267"/>
    <cellStyle name="Normal 3 5 2 4 2 5 3 3" xfId="8268"/>
    <cellStyle name="Normal 3 5 2 4 2 5 3 3 2" xfId="8269"/>
    <cellStyle name="Normal 3 5 2 4 2 5 3 4" xfId="8270"/>
    <cellStyle name="Normal 3 5 2 4 2 5 3 4 2" xfId="8271"/>
    <cellStyle name="Normal 3 5 2 4 2 5 3 5" xfId="8272"/>
    <cellStyle name="Normal 3 5 2 4 2 5 4" xfId="8273"/>
    <cellStyle name="Normal 3 5 2 4 2 5 4 2" xfId="8274"/>
    <cellStyle name="Normal 3 5 2 4 2 5 4 2 2" xfId="8275"/>
    <cellStyle name="Normal 3 5 2 4 2 5 4 3" xfId="8276"/>
    <cellStyle name="Normal 3 5 2 4 2 5 4 3 2" xfId="8277"/>
    <cellStyle name="Normal 3 5 2 4 2 5 4 4" xfId="8278"/>
    <cellStyle name="Normal 3 5 2 4 2 5 4 4 2" xfId="8279"/>
    <cellStyle name="Normal 3 5 2 4 2 5 4 5" xfId="8280"/>
    <cellStyle name="Normal 3 5 2 4 2 5 5" xfId="8281"/>
    <cellStyle name="Normal 3 5 2 4 2 5 5 2" xfId="8282"/>
    <cellStyle name="Normal 3 5 2 4 2 5 6" xfId="8283"/>
    <cellStyle name="Normal 3 5 2 4 2 5 6 2" xfId="8284"/>
    <cellStyle name="Normal 3 5 2 4 2 5 7" xfId="8285"/>
    <cellStyle name="Normal 3 5 2 4 2 5 7 2" xfId="8286"/>
    <cellStyle name="Normal 3 5 2 4 2 5 8" xfId="8287"/>
    <cellStyle name="Normal 3 5 2 4 2 6" xfId="8288"/>
    <cellStyle name="Normal 3 5 2 4 2 6 2" xfId="8289"/>
    <cellStyle name="Normal 3 5 2 4 2 6 2 2" xfId="8290"/>
    <cellStyle name="Normal 3 5 2 4 2 6 2 2 2" xfId="8291"/>
    <cellStyle name="Normal 3 5 2 4 2 6 2 2 2 2" xfId="8292"/>
    <cellStyle name="Normal 3 5 2 4 2 6 2 2 3" xfId="8293"/>
    <cellStyle name="Normal 3 5 2 4 2 6 2 2 3 2" xfId="8294"/>
    <cellStyle name="Normal 3 5 2 4 2 6 2 2 4" xfId="8295"/>
    <cellStyle name="Normal 3 5 2 4 2 6 2 2 4 2" xfId="8296"/>
    <cellStyle name="Normal 3 5 2 4 2 6 2 2 5" xfId="8297"/>
    <cellStyle name="Normal 3 5 2 4 2 6 2 3" xfId="8298"/>
    <cellStyle name="Normal 3 5 2 4 2 6 2 3 2" xfId="8299"/>
    <cellStyle name="Normal 3 5 2 4 2 6 2 3 2 2" xfId="8300"/>
    <cellStyle name="Normal 3 5 2 4 2 6 2 3 3" xfId="8301"/>
    <cellStyle name="Normal 3 5 2 4 2 6 2 3 3 2" xfId="8302"/>
    <cellStyle name="Normal 3 5 2 4 2 6 2 3 4" xfId="8303"/>
    <cellStyle name="Normal 3 5 2 4 2 6 2 3 4 2" xfId="8304"/>
    <cellStyle name="Normal 3 5 2 4 2 6 2 3 5" xfId="8305"/>
    <cellStyle name="Normal 3 5 2 4 2 6 2 4" xfId="8306"/>
    <cellStyle name="Normal 3 5 2 4 2 6 2 4 2" xfId="8307"/>
    <cellStyle name="Normal 3 5 2 4 2 6 2 5" xfId="8308"/>
    <cellStyle name="Normal 3 5 2 4 2 6 2 5 2" xfId="8309"/>
    <cellStyle name="Normal 3 5 2 4 2 6 2 6" xfId="8310"/>
    <cellStyle name="Normal 3 5 2 4 2 6 2 6 2" xfId="8311"/>
    <cellStyle name="Normal 3 5 2 4 2 6 2 7" xfId="8312"/>
    <cellStyle name="Normal 3 5 2 4 2 6 3" xfId="8313"/>
    <cellStyle name="Normal 3 5 2 4 2 6 3 2" xfId="8314"/>
    <cellStyle name="Normal 3 5 2 4 2 6 3 2 2" xfId="8315"/>
    <cellStyle name="Normal 3 5 2 4 2 6 3 3" xfId="8316"/>
    <cellStyle name="Normal 3 5 2 4 2 6 3 3 2" xfId="8317"/>
    <cellStyle name="Normal 3 5 2 4 2 6 3 4" xfId="8318"/>
    <cellStyle name="Normal 3 5 2 4 2 6 3 4 2" xfId="8319"/>
    <cellStyle name="Normal 3 5 2 4 2 6 3 5" xfId="8320"/>
    <cellStyle name="Normal 3 5 2 4 2 6 4" xfId="8321"/>
    <cellStyle name="Normal 3 5 2 4 2 6 4 2" xfId="8322"/>
    <cellStyle name="Normal 3 5 2 4 2 6 4 2 2" xfId="8323"/>
    <cellStyle name="Normal 3 5 2 4 2 6 4 3" xfId="8324"/>
    <cellStyle name="Normal 3 5 2 4 2 6 4 3 2" xfId="8325"/>
    <cellStyle name="Normal 3 5 2 4 2 6 4 4" xfId="8326"/>
    <cellStyle name="Normal 3 5 2 4 2 6 4 4 2" xfId="8327"/>
    <cellStyle name="Normal 3 5 2 4 2 6 4 5" xfId="8328"/>
    <cellStyle name="Normal 3 5 2 4 2 6 5" xfId="8329"/>
    <cellStyle name="Normal 3 5 2 4 2 6 5 2" xfId="8330"/>
    <cellStyle name="Normal 3 5 2 4 2 6 6" xfId="8331"/>
    <cellStyle name="Normal 3 5 2 4 2 6 6 2" xfId="8332"/>
    <cellStyle name="Normal 3 5 2 4 2 6 7" xfId="8333"/>
    <cellStyle name="Normal 3 5 2 4 2 6 7 2" xfId="8334"/>
    <cellStyle name="Normal 3 5 2 4 2 6 8" xfId="8335"/>
    <cellStyle name="Normal 3 5 2 4 2 7" xfId="8336"/>
    <cellStyle name="Normal 3 5 2 4 2 7 2" xfId="8337"/>
    <cellStyle name="Normal 3 5 2 4 2 7 2 2" xfId="8338"/>
    <cellStyle name="Normal 3 5 2 4 2 7 2 2 2" xfId="8339"/>
    <cellStyle name="Normal 3 5 2 4 2 7 2 3" xfId="8340"/>
    <cellStyle name="Normal 3 5 2 4 2 7 2 3 2" xfId="8341"/>
    <cellStyle name="Normal 3 5 2 4 2 7 2 4" xfId="8342"/>
    <cellStyle name="Normal 3 5 2 4 2 7 2 4 2" xfId="8343"/>
    <cellStyle name="Normal 3 5 2 4 2 7 2 5" xfId="8344"/>
    <cellStyle name="Normal 3 5 2 4 2 7 3" xfId="8345"/>
    <cellStyle name="Normal 3 5 2 4 2 7 3 2" xfId="8346"/>
    <cellStyle name="Normal 3 5 2 4 2 7 3 2 2" xfId="8347"/>
    <cellStyle name="Normal 3 5 2 4 2 7 3 3" xfId="8348"/>
    <cellStyle name="Normal 3 5 2 4 2 7 3 3 2" xfId="8349"/>
    <cellStyle name="Normal 3 5 2 4 2 7 3 4" xfId="8350"/>
    <cellStyle name="Normal 3 5 2 4 2 7 3 4 2" xfId="8351"/>
    <cellStyle name="Normal 3 5 2 4 2 7 3 5" xfId="8352"/>
    <cellStyle name="Normal 3 5 2 4 2 7 4" xfId="8353"/>
    <cellStyle name="Normal 3 5 2 4 2 7 4 2" xfId="8354"/>
    <cellStyle name="Normal 3 5 2 4 2 7 5" xfId="8355"/>
    <cellStyle name="Normal 3 5 2 4 2 7 5 2" xfId="8356"/>
    <cellStyle name="Normal 3 5 2 4 2 7 6" xfId="8357"/>
    <cellStyle name="Normal 3 5 2 4 2 7 6 2" xfId="8358"/>
    <cellStyle name="Normal 3 5 2 4 2 7 7" xfId="8359"/>
    <cellStyle name="Normal 3 5 2 4 2 8" xfId="8360"/>
    <cellStyle name="Normal 3 5 2 4 2 8 2" xfId="8361"/>
    <cellStyle name="Normal 3 5 2 4 2 8 2 2" xfId="8362"/>
    <cellStyle name="Normal 3 5 2 4 2 8 3" xfId="8363"/>
    <cellStyle name="Normal 3 5 2 4 2 8 3 2" xfId="8364"/>
    <cellStyle name="Normal 3 5 2 4 2 8 4" xfId="8365"/>
    <cellStyle name="Normal 3 5 2 4 2 8 4 2" xfId="8366"/>
    <cellStyle name="Normal 3 5 2 4 2 8 5" xfId="8367"/>
    <cellStyle name="Normal 3 5 2 4 2 9" xfId="8368"/>
    <cellStyle name="Normal 3 5 2 4 2 9 2" xfId="8369"/>
    <cellStyle name="Normal 3 5 2 4 2 9 2 2" xfId="8370"/>
    <cellStyle name="Normal 3 5 2 4 2 9 3" xfId="8371"/>
    <cellStyle name="Normal 3 5 2 4 2 9 3 2" xfId="8372"/>
    <cellStyle name="Normal 3 5 2 4 2 9 4" xfId="8373"/>
    <cellStyle name="Normal 3 5 2 4 2 9 4 2" xfId="8374"/>
    <cellStyle name="Normal 3 5 2 4 2 9 5" xfId="8375"/>
    <cellStyle name="Normal 3 5 2 4 3" xfId="8376"/>
    <cellStyle name="Normal 3 5 2 4 3 2" xfId="8377"/>
    <cellStyle name="Normal 3 5 2 4 3 2 2" xfId="8378"/>
    <cellStyle name="Normal 3 5 2 4 3 2 2 2" xfId="8379"/>
    <cellStyle name="Normal 3 5 2 4 3 2 2 2 2" xfId="8380"/>
    <cellStyle name="Normal 3 5 2 4 3 2 2 3" xfId="8381"/>
    <cellStyle name="Normal 3 5 2 4 3 2 2 3 2" xfId="8382"/>
    <cellStyle name="Normal 3 5 2 4 3 2 2 4" xfId="8383"/>
    <cellStyle name="Normal 3 5 2 4 3 2 2 4 2" xfId="8384"/>
    <cellStyle name="Normal 3 5 2 4 3 2 2 5" xfId="8385"/>
    <cellStyle name="Normal 3 5 2 4 3 2 3" xfId="8386"/>
    <cellStyle name="Normal 3 5 2 4 3 2 3 2" xfId="8387"/>
    <cellStyle name="Normal 3 5 2 4 3 2 3 2 2" xfId="8388"/>
    <cellStyle name="Normal 3 5 2 4 3 2 3 3" xfId="8389"/>
    <cellStyle name="Normal 3 5 2 4 3 2 3 3 2" xfId="8390"/>
    <cellStyle name="Normal 3 5 2 4 3 2 3 4" xfId="8391"/>
    <cellStyle name="Normal 3 5 2 4 3 2 3 4 2" xfId="8392"/>
    <cellStyle name="Normal 3 5 2 4 3 2 3 5" xfId="8393"/>
    <cellStyle name="Normal 3 5 2 4 3 2 4" xfId="8394"/>
    <cellStyle name="Normal 3 5 2 4 3 2 4 2" xfId="8395"/>
    <cellStyle name="Normal 3 5 2 4 3 2 5" xfId="8396"/>
    <cellStyle name="Normal 3 5 2 4 3 2 5 2" xfId="8397"/>
    <cellStyle name="Normal 3 5 2 4 3 2 6" xfId="8398"/>
    <cellStyle name="Normal 3 5 2 4 3 2 6 2" xfId="8399"/>
    <cellStyle name="Normal 3 5 2 4 3 2 7" xfId="8400"/>
    <cellStyle name="Normal 3 5 2 4 3 3" xfId="8401"/>
    <cellStyle name="Normal 3 5 2 4 3 3 2" xfId="8402"/>
    <cellStyle name="Normal 3 5 2 4 3 3 2 2" xfId="8403"/>
    <cellStyle name="Normal 3 5 2 4 3 3 3" xfId="8404"/>
    <cellStyle name="Normal 3 5 2 4 3 3 3 2" xfId="8405"/>
    <cellStyle name="Normal 3 5 2 4 3 3 4" xfId="8406"/>
    <cellStyle name="Normal 3 5 2 4 3 3 4 2" xfId="8407"/>
    <cellStyle name="Normal 3 5 2 4 3 3 5" xfId="8408"/>
    <cellStyle name="Normal 3 5 2 4 3 4" xfId="8409"/>
    <cellStyle name="Normal 3 5 2 4 3 4 2" xfId="8410"/>
    <cellStyle name="Normal 3 5 2 4 3 4 2 2" xfId="8411"/>
    <cellStyle name="Normal 3 5 2 4 3 4 3" xfId="8412"/>
    <cellStyle name="Normal 3 5 2 4 3 4 3 2" xfId="8413"/>
    <cellStyle name="Normal 3 5 2 4 3 4 4" xfId="8414"/>
    <cellStyle name="Normal 3 5 2 4 3 4 4 2" xfId="8415"/>
    <cellStyle name="Normal 3 5 2 4 3 4 5" xfId="8416"/>
    <cellStyle name="Normal 3 5 2 4 3 5" xfId="8417"/>
    <cellStyle name="Normal 3 5 2 4 3 5 2" xfId="8418"/>
    <cellStyle name="Normal 3 5 2 4 3 6" xfId="8419"/>
    <cellStyle name="Normal 3 5 2 4 3 6 2" xfId="8420"/>
    <cellStyle name="Normal 3 5 2 4 3 7" xfId="8421"/>
    <cellStyle name="Normal 3 5 2 4 3 7 2" xfId="8422"/>
    <cellStyle name="Normal 3 5 2 4 3 8" xfId="8423"/>
    <cellStyle name="Normal 3 5 2 4 4" xfId="8424"/>
    <cellStyle name="Normal 3 5 2 4 4 2" xfId="8425"/>
    <cellStyle name="Normal 3 5 2 4 4 2 2" xfId="8426"/>
    <cellStyle name="Normal 3 5 2 4 4 2 2 2" xfId="8427"/>
    <cellStyle name="Normal 3 5 2 4 4 2 2 2 2" xfId="8428"/>
    <cellStyle name="Normal 3 5 2 4 4 2 2 3" xfId="8429"/>
    <cellStyle name="Normal 3 5 2 4 4 2 2 3 2" xfId="8430"/>
    <cellStyle name="Normal 3 5 2 4 4 2 2 4" xfId="8431"/>
    <cellStyle name="Normal 3 5 2 4 4 2 2 4 2" xfId="8432"/>
    <cellStyle name="Normal 3 5 2 4 4 2 2 5" xfId="8433"/>
    <cellStyle name="Normal 3 5 2 4 4 2 3" xfId="8434"/>
    <cellStyle name="Normal 3 5 2 4 4 2 3 2" xfId="8435"/>
    <cellStyle name="Normal 3 5 2 4 4 2 3 2 2" xfId="8436"/>
    <cellStyle name="Normal 3 5 2 4 4 2 3 3" xfId="8437"/>
    <cellStyle name="Normal 3 5 2 4 4 2 3 3 2" xfId="8438"/>
    <cellStyle name="Normal 3 5 2 4 4 2 3 4" xfId="8439"/>
    <cellStyle name="Normal 3 5 2 4 4 2 3 4 2" xfId="8440"/>
    <cellStyle name="Normal 3 5 2 4 4 2 3 5" xfId="8441"/>
    <cellStyle name="Normal 3 5 2 4 4 2 4" xfId="8442"/>
    <cellStyle name="Normal 3 5 2 4 4 2 4 2" xfId="8443"/>
    <cellStyle name="Normal 3 5 2 4 4 2 5" xfId="8444"/>
    <cellStyle name="Normal 3 5 2 4 4 2 5 2" xfId="8445"/>
    <cellStyle name="Normal 3 5 2 4 4 2 6" xfId="8446"/>
    <cellStyle name="Normal 3 5 2 4 4 2 6 2" xfId="8447"/>
    <cellStyle name="Normal 3 5 2 4 4 2 7" xfId="8448"/>
    <cellStyle name="Normal 3 5 2 4 4 3" xfId="8449"/>
    <cellStyle name="Normal 3 5 2 4 4 3 2" xfId="8450"/>
    <cellStyle name="Normal 3 5 2 4 4 3 2 2" xfId="8451"/>
    <cellStyle name="Normal 3 5 2 4 4 3 3" xfId="8452"/>
    <cellStyle name="Normal 3 5 2 4 4 3 3 2" xfId="8453"/>
    <cellStyle name="Normal 3 5 2 4 4 3 4" xfId="8454"/>
    <cellStyle name="Normal 3 5 2 4 4 3 4 2" xfId="8455"/>
    <cellStyle name="Normal 3 5 2 4 4 3 5" xfId="8456"/>
    <cellStyle name="Normal 3 5 2 4 4 4" xfId="8457"/>
    <cellStyle name="Normal 3 5 2 4 4 4 2" xfId="8458"/>
    <cellStyle name="Normal 3 5 2 4 4 4 2 2" xfId="8459"/>
    <cellStyle name="Normal 3 5 2 4 4 4 3" xfId="8460"/>
    <cellStyle name="Normal 3 5 2 4 4 4 3 2" xfId="8461"/>
    <cellStyle name="Normal 3 5 2 4 4 4 4" xfId="8462"/>
    <cellStyle name="Normal 3 5 2 4 4 4 4 2" xfId="8463"/>
    <cellStyle name="Normal 3 5 2 4 4 4 5" xfId="8464"/>
    <cellStyle name="Normal 3 5 2 4 4 5" xfId="8465"/>
    <cellStyle name="Normal 3 5 2 4 4 5 2" xfId="8466"/>
    <cellStyle name="Normal 3 5 2 4 4 6" xfId="8467"/>
    <cellStyle name="Normal 3 5 2 4 4 6 2" xfId="8468"/>
    <cellStyle name="Normal 3 5 2 4 4 7" xfId="8469"/>
    <cellStyle name="Normal 3 5 2 4 4 7 2" xfId="8470"/>
    <cellStyle name="Normal 3 5 2 4 4 8" xfId="8471"/>
    <cellStyle name="Normal 3 5 2 4 5" xfId="8472"/>
    <cellStyle name="Normal 3 5 2 4 5 2" xfId="8473"/>
    <cellStyle name="Normal 3 5 2 4 5 2 2" xfId="8474"/>
    <cellStyle name="Normal 3 5 2 4 5 2 2 2" xfId="8475"/>
    <cellStyle name="Normal 3 5 2 4 5 2 2 2 2" xfId="8476"/>
    <cellStyle name="Normal 3 5 2 4 5 2 2 3" xfId="8477"/>
    <cellStyle name="Normal 3 5 2 4 5 2 2 3 2" xfId="8478"/>
    <cellStyle name="Normal 3 5 2 4 5 2 2 4" xfId="8479"/>
    <cellStyle name="Normal 3 5 2 4 5 2 2 4 2" xfId="8480"/>
    <cellStyle name="Normal 3 5 2 4 5 2 2 5" xfId="8481"/>
    <cellStyle name="Normal 3 5 2 4 5 2 3" xfId="8482"/>
    <cellStyle name="Normal 3 5 2 4 5 2 3 2" xfId="8483"/>
    <cellStyle name="Normal 3 5 2 4 5 2 3 2 2" xfId="8484"/>
    <cellStyle name="Normal 3 5 2 4 5 2 3 3" xfId="8485"/>
    <cellStyle name="Normal 3 5 2 4 5 2 3 3 2" xfId="8486"/>
    <cellStyle name="Normal 3 5 2 4 5 2 3 4" xfId="8487"/>
    <cellStyle name="Normal 3 5 2 4 5 2 3 4 2" xfId="8488"/>
    <cellStyle name="Normal 3 5 2 4 5 2 3 5" xfId="8489"/>
    <cellStyle name="Normal 3 5 2 4 5 2 4" xfId="8490"/>
    <cellStyle name="Normal 3 5 2 4 5 2 4 2" xfId="8491"/>
    <cellStyle name="Normal 3 5 2 4 5 2 5" xfId="8492"/>
    <cellStyle name="Normal 3 5 2 4 5 2 5 2" xfId="8493"/>
    <cellStyle name="Normal 3 5 2 4 5 2 6" xfId="8494"/>
    <cellStyle name="Normal 3 5 2 4 5 2 6 2" xfId="8495"/>
    <cellStyle name="Normal 3 5 2 4 5 2 7" xfId="8496"/>
    <cellStyle name="Normal 3 5 2 4 5 3" xfId="8497"/>
    <cellStyle name="Normal 3 5 2 4 5 3 2" xfId="8498"/>
    <cellStyle name="Normal 3 5 2 4 5 3 2 2" xfId="8499"/>
    <cellStyle name="Normal 3 5 2 4 5 3 3" xfId="8500"/>
    <cellStyle name="Normal 3 5 2 4 5 3 3 2" xfId="8501"/>
    <cellStyle name="Normal 3 5 2 4 5 3 4" xfId="8502"/>
    <cellStyle name="Normal 3 5 2 4 5 3 4 2" xfId="8503"/>
    <cellStyle name="Normal 3 5 2 4 5 3 5" xfId="8504"/>
    <cellStyle name="Normal 3 5 2 4 5 4" xfId="8505"/>
    <cellStyle name="Normal 3 5 2 4 5 4 2" xfId="8506"/>
    <cellStyle name="Normal 3 5 2 4 5 4 2 2" xfId="8507"/>
    <cellStyle name="Normal 3 5 2 4 5 4 3" xfId="8508"/>
    <cellStyle name="Normal 3 5 2 4 5 4 3 2" xfId="8509"/>
    <cellStyle name="Normal 3 5 2 4 5 4 4" xfId="8510"/>
    <cellStyle name="Normal 3 5 2 4 5 4 4 2" xfId="8511"/>
    <cellStyle name="Normal 3 5 2 4 5 4 5" xfId="8512"/>
    <cellStyle name="Normal 3 5 2 4 5 5" xfId="8513"/>
    <cellStyle name="Normal 3 5 2 4 5 5 2" xfId="8514"/>
    <cellStyle name="Normal 3 5 2 4 5 6" xfId="8515"/>
    <cellStyle name="Normal 3 5 2 4 5 6 2" xfId="8516"/>
    <cellStyle name="Normal 3 5 2 4 5 7" xfId="8517"/>
    <cellStyle name="Normal 3 5 2 4 5 7 2" xfId="8518"/>
    <cellStyle name="Normal 3 5 2 4 5 8" xfId="8519"/>
    <cellStyle name="Normal 3 5 2 4 6" xfId="8520"/>
    <cellStyle name="Normal 3 5 2 4 6 2" xfId="8521"/>
    <cellStyle name="Normal 3 5 2 4 6 2 2" xfId="8522"/>
    <cellStyle name="Normal 3 5 2 4 6 2 2 2" xfId="8523"/>
    <cellStyle name="Normal 3 5 2 4 6 2 2 2 2" xfId="8524"/>
    <cellStyle name="Normal 3 5 2 4 6 2 2 3" xfId="8525"/>
    <cellStyle name="Normal 3 5 2 4 6 2 2 3 2" xfId="8526"/>
    <cellStyle name="Normal 3 5 2 4 6 2 2 4" xfId="8527"/>
    <cellStyle name="Normal 3 5 2 4 6 2 2 4 2" xfId="8528"/>
    <cellStyle name="Normal 3 5 2 4 6 2 2 5" xfId="8529"/>
    <cellStyle name="Normal 3 5 2 4 6 2 3" xfId="8530"/>
    <cellStyle name="Normal 3 5 2 4 6 2 3 2" xfId="8531"/>
    <cellStyle name="Normal 3 5 2 4 6 2 3 2 2" xfId="8532"/>
    <cellStyle name="Normal 3 5 2 4 6 2 3 3" xfId="8533"/>
    <cellStyle name="Normal 3 5 2 4 6 2 3 3 2" xfId="8534"/>
    <cellStyle name="Normal 3 5 2 4 6 2 3 4" xfId="8535"/>
    <cellStyle name="Normal 3 5 2 4 6 2 3 4 2" xfId="8536"/>
    <cellStyle name="Normal 3 5 2 4 6 2 3 5" xfId="8537"/>
    <cellStyle name="Normal 3 5 2 4 6 2 4" xfId="8538"/>
    <cellStyle name="Normal 3 5 2 4 6 2 4 2" xfId="8539"/>
    <cellStyle name="Normal 3 5 2 4 6 2 5" xfId="8540"/>
    <cellStyle name="Normal 3 5 2 4 6 2 5 2" xfId="8541"/>
    <cellStyle name="Normal 3 5 2 4 6 2 6" xfId="8542"/>
    <cellStyle name="Normal 3 5 2 4 6 2 6 2" xfId="8543"/>
    <cellStyle name="Normal 3 5 2 4 6 2 7" xfId="8544"/>
    <cellStyle name="Normal 3 5 2 4 6 3" xfId="8545"/>
    <cellStyle name="Normal 3 5 2 4 6 3 2" xfId="8546"/>
    <cellStyle name="Normal 3 5 2 4 6 3 2 2" xfId="8547"/>
    <cellStyle name="Normal 3 5 2 4 6 3 3" xfId="8548"/>
    <cellStyle name="Normal 3 5 2 4 6 3 3 2" xfId="8549"/>
    <cellStyle name="Normal 3 5 2 4 6 3 4" xfId="8550"/>
    <cellStyle name="Normal 3 5 2 4 6 3 4 2" xfId="8551"/>
    <cellStyle name="Normal 3 5 2 4 6 3 5" xfId="8552"/>
    <cellStyle name="Normal 3 5 2 4 6 4" xfId="8553"/>
    <cellStyle name="Normal 3 5 2 4 6 4 2" xfId="8554"/>
    <cellStyle name="Normal 3 5 2 4 6 4 2 2" xfId="8555"/>
    <cellStyle name="Normal 3 5 2 4 6 4 3" xfId="8556"/>
    <cellStyle name="Normal 3 5 2 4 6 4 3 2" xfId="8557"/>
    <cellStyle name="Normal 3 5 2 4 6 4 4" xfId="8558"/>
    <cellStyle name="Normal 3 5 2 4 6 4 4 2" xfId="8559"/>
    <cellStyle name="Normal 3 5 2 4 6 4 5" xfId="8560"/>
    <cellStyle name="Normal 3 5 2 4 6 5" xfId="8561"/>
    <cellStyle name="Normal 3 5 2 4 6 5 2" xfId="8562"/>
    <cellStyle name="Normal 3 5 2 4 6 6" xfId="8563"/>
    <cellStyle name="Normal 3 5 2 4 6 6 2" xfId="8564"/>
    <cellStyle name="Normal 3 5 2 4 6 7" xfId="8565"/>
    <cellStyle name="Normal 3 5 2 4 6 7 2" xfId="8566"/>
    <cellStyle name="Normal 3 5 2 4 6 8" xfId="8567"/>
    <cellStyle name="Normal 3 5 2 4 7" xfId="8568"/>
    <cellStyle name="Normal 3 5 2 4 7 2" xfId="8569"/>
    <cellStyle name="Normal 3 5 2 4 7 2 2" xfId="8570"/>
    <cellStyle name="Normal 3 5 2 4 7 2 2 2" xfId="8571"/>
    <cellStyle name="Normal 3 5 2 4 7 2 2 2 2" xfId="8572"/>
    <cellStyle name="Normal 3 5 2 4 7 2 2 3" xfId="8573"/>
    <cellStyle name="Normal 3 5 2 4 7 2 2 3 2" xfId="8574"/>
    <cellStyle name="Normal 3 5 2 4 7 2 2 4" xfId="8575"/>
    <cellStyle name="Normal 3 5 2 4 7 2 2 4 2" xfId="8576"/>
    <cellStyle name="Normal 3 5 2 4 7 2 2 5" xfId="8577"/>
    <cellStyle name="Normal 3 5 2 4 7 2 3" xfId="8578"/>
    <cellStyle name="Normal 3 5 2 4 7 2 3 2" xfId="8579"/>
    <cellStyle name="Normal 3 5 2 4 7 2 3 2 2" xfId="8580"/>
    <cellStyle name="Normal 3 5 2 4 7 2 3 3" xfId="8581"/>
    <cellStyle name="Normal 3 5 2 4 7 2 3 3 2" xfId="8582"/>
    <cellStyle name="Normal 3 5 2 4 7 2 3 4" xfId="8583"/>
    <cellStyle name="Normal 3 5 2 4 7 2 3 4 2" xfId="8584"/>
    <cellStyle name="Normal 3 5 2 4 7 2 3 5" xfId="8585"/>
    <cellStyle name="Normal 3 5 2 4 7 2 4" xfId="8586"/>
    <cellStyle name="Normal 3 5 2 4 7 2 4 2" xfId="8587"/>
    <cellStyle name="Normal 3 5 2 4 7 2 5" xfId="8588"/>
    <cellStyle name="Normal 3 5 2 4 7 2 5 2" xfId="8589"/>
    <cellStyle name="Normal 3 5 2 4 7 2 6" xfId="8590"/>
    <cellStyle name="Normal 3 5 2 4 7 2 6 2" xfId="8591"/>
    <cellStyle name="Normal 3 5 2 4 7 2 7" xfId="8592"/>
    <cellStyle name="Normal 3 5 2 4 7 3" xfId="8593"/>
    <cellStyle name="Normal 3 5 2 4 7 3 2" xfId="8594"/>
    <cellStyle name="Normal 3 5 2 4 7 3 2 2" xfId="8595"/>
    <cellStyle name="Normal 3 5 2 4 7 3 3" xfId="8596"/>
    <cellStyle name="Normal 3 5 2 4 7 3 3 2" xfId="8597"/>
    <cellStyle name="Normal 3 5 2 4 7 3 4" xfId="8598"/>
    <cellStyle name="Normal 3 5 2 4 7 3 4 2" xfId="8599"/>
    <cellStyle name="Normal 3 5 2 4 7 3 5" xfId="8600"/>
    <cellStyle name="Normal 3 5 2 4 7 4" xfId="8601"/>
    <cellStyle name="Normal 3 5 2 4 7 4 2" xfId="8602"/>
    <cellStyle name="Normal 3 5 2 4 7 4 2 2" xfId="8603"/>
    <cellStyle name="Normal 3 5 2 4 7 4 3" xfId="8604"/>
    <cellStyle name="Normal 3 5 2 4 7 4 3 2" xfId="8605"/>
    <cellStyle name="Normal 3 5 2 4 7 4 4" xfId="8606"/>
    <cellStyle name="Normal 3 5 2 4 7 4 4 2" xfId="8607"/>
    <cellStyle name="Normal 3 5 2 4 7 4 5" xfId="8608"/>
    <cellStyle name="Normal 3 5 2 4 7 5" xfId="8609"/>
    <cellStyle name="Normal 3 5 2 4 7 5 2" xfId="8610"/>
    <cellStyle name="Normal 3 5 2 4 7 6" xfId="8611"/>
    <cellStyle name="Normal 3 5 2 4 7 6 2" xfId="8612"/>
    <cellStyle name="Normal 3 5 2 4 7 7" xfId="8613"/>
    <cellStyle name="Normal 3 5 2 4 7 7 2" xfId="8614"/>
    <cellStyle name="Normal 3 5 2 4 7 8" xfId="8615"/>
    <cellStyle name="Normal 3 5 2 4 8" xfId="8616"/>
    <cellStyle name="Normal 3 5 2 4 8 2" xfId="8617"/>
    <cellStyle name="Normal 3 5 2 4 8 2 2" xfId="8618"/>
    <cellStyle name="Normal 3 5 2 4 8 2 2 2" xfId="8619"/>
    <cellStyle name="Normal 3 5 2 4 8 2 3" xfId="8620"/>
    <cellStyle name="Normal 3 5 2 4 8 2 3 2" xfId="8621"/>
    <cellStyle name="Normal 3 5 2 4 8 2 4" xfId="8622"/>
    <cellStyle name="Normal 3 5 2 4 8 2 4 2" xfId="8623"/>
    <cellStyle name="Normal 3 5 2 4 8 2 5" xfId="8624"/>
    <cellStyle name="Normal 3 5 2 4 8 3" xfId="8625"/>
    <cellStyle name="Normal 3 5 2 4 8 3 2" xfId="8626"/>
    <cellStyle name="Normal 3 5 2 4 8 3 2 2" xfId="8627"/>
    <cellStyle name="Normal 3 5 2 4 8 3 3" xfId="8628"/>
    <cellStyle name="Normal 3 5 2 4 8 3 3 2" xfId="8629"/>
    <cellStyle name="Normal 3 5 2 4 8 3 4" xfId="8630"/>
    <cellStyle name="Normal 3 5 2 4 8 3 4 2" xfId="8631"/>
    <cellStyle name="Normal 3 5 2 4 8 3 5" xfId="8632"/>
    <cellStyle name="Normal 3 5 2 4 8 4" xfId="8633"/>
    <cellStyle name="Normal 3 5 2 4 8 4 2" xfId="8634"/>
    <cellStyle name="Normal 3 5 2 4 8 5" xfId="8635"/>
    <cellStyle name="Normal 3 5 2 4 8 5 2" xfId="8636"/>
    <cellStyle name="Normal 3 5 2 4 8 6" xfId="8637"/>
    <cellStyle name="Normal 3 5 2 4 8 6 2" xfId="8638"/>
    <cellStyle name="Normal 3 5 2 4 8 7" xfId="8639"/>
    <cellStyle name="Normal 3 5 2 4 9" xfId="8640"/>
    <cellStyle name="Normal 3 5 2 4 9 2" xfId="8641"/>
    <cellStyle name="Normal 3 5 2 4 9 2 2" xfId="8642"/>
    <cellStyle name="Normal 3 5 2 4 9 3" xfId="8643"/>
    <cellStyle name="Normal 3 5 2 4 9 3 2" xfId="8644"/>
    <cellStyle name="Normal 3 5 2 4 9 4" xfId="8645"/>
    <cellStyle name="Normal 3 5 2 4 9 4 2" xfId="8646"/>
    <cellStyle name="Normal 3 5 2 4 9 5" xfId="8647"/>
    <cellStyle name="Normal 3 5 2 5" xfId="8648"/>
    <cellStyle name="Normal 3 5 2 5 10" xfId="8649"/>
    <cellStyle name="Normal 3 5 2 5 10 2" xfId="8650"/>
    <cellStyle name="Normal 3 5 2 5 10 2 2" xfId="8651"/>
    <cellStyle name="Normal 3 5 2 5 10 3" xfId="8652"/>
    <cellStyle name="Normal 3 5 2 5 10 3 2" xfId="8653"/>
    <cellStyle name="Normal 3 5 2 5 10 4" xfId="8654"/>
    <cellStyle name="Normal 3 5 2 5 10 4 2" xfId="8655"/>
    <cellStyle name="Normal 3 5 2 5 10 5" xfId="8656"/>
    <cellStyle name="Normal 3 5 2 5 11" xfId="8657"/>
    <cellStyle name="Normal 3 5 2 5 11 2" xfId="8658"/>
    <cellStyle name="Normal 3 5 2 5 12" xfId="8659"/>
    <cellStyle name="Normal 3 5 2 5 12 2" xfId="8660"/>
    <cellStyle name="Normal 3 5 2 5 13" xfId="8661"/>
    <cellStyle name="Normal 3 5 2 5 13 2" xfId="8662"/>
    <cellStyle name="Normal 3 5 2 5 14" xfId="8663"/>
    <cellStyle name="Normal 3 5 2 5 2" xfId="8664"/>
    <cellStyle name="Normal 3 5 2 5 2 10" xfId="8665"/>
    <cellStyle name="Normal 3 5 2 5 2 10 2" xfId="8666"/>
    <cellStyle name="Normal 3 5 2 5 2 11" xfId="8667"/>
    <cellStyle name="Normal 3 5 2 5 2 11 2" xfId="8668"/>
    <cellStyle name="Normal 3 5 2 5 2 12" xfId="8669"/>
    <cellStyle name="Normal 3 5 2 5 2 12 2" xfId="8670"/>
    <cellStyle name="Normal 3 5 2 5 2 13" xfId="8671"/>
    <cellStyle name="Normal 3 5 2 5 2 2" xfId="8672"/>
    <cellStyle name="Normal 3 5 2 5 2 2 2" xfId="8673"/>
    <cellStyle name="Normal 3 5 2 5 2 2 2 2" xfId="8674"/>
    <cellStyle name="Normal 3 5 2 5 2 2 2 2 2" xfId="8675"/>
    <cellStyle name="Normal 3 5 2 5 2 2 2 2 2 2" xfId="8676"/>
    <cellStyle name="Normal 3 5 2 5 2 2 2 2 3" xfId="8677"/>
    <cellStyle name="Normal 3 5 2 5 2 2 2 2 3 2" xfId="8678"/>
    <cellStyle name="Normal 3 5 2 5 2 2 2 2 4" xfId="8679"/>
    <cellStyle name="Normal 3 5 2 5 2 2 2 2 4 2" xfId="8680"/>
    <cellStyle name="Normal 3 5 2 5 2 2 2 2 5" xfId="8681"/>
    <cellStyle name="Normal 3 5 2 5 2 2 2 3" xfId="8682"/>
    <cellStyle name="Normal 3 5 2 5 2 2 2 3 2" xfId="8683"/>
    <cellStyle name="Normal 3 5 2 5 2 2 2 3 2 2" xfId="8684"/>
    <cellStyle name="Normal 3 5 2 5 2 2 2 3 3" xfId="8685"/>
    <cellStyle name="Normal 3 5 2 5 2 2 2 3 3 2" xfId="8686"/>
    <cellStyle name="Normal 3 5 2 5 2 2 2 3 4" xfId="8687"/>
    <cellStyle name="Normal 3 5 2 5 2 2 2 3 4 2" xfId="8688"/>
    <cellStyle name="Normal 3 5 2 5 2 2 2 3 5" xfId="8689"/>
    <cellStyle name="Normal 3 5 2 5 2 2 2 4" xfId="8690"/>
    <cellStyle name="Normal 3 5 2 5 2 2 2 4 2" xfId="8691"/>
    <cellStyle name="Normal 3 5 2 5 2 2 2 5" xfId="8692"/>
    <cellStyle name="Normal 3 5 2 5 2 2 2 5 2" xfId="8693"/>
    <cellStyle name="Normal 3 5 2 5 2 2 2 6" xfId="8694"/>
    <cellStyle name="Normal 3 5 2 5 2 2 2 6 2" xfId="8695"/>
    <cellStyle name="Normal 3 5 2 5 2 2 2 7" xfId="8696"/>
    <cellStyle name="Normal 3 5 2 5 2 2 3" xfId="8697"/>
    <cellStyle name="Normal 3 5 2 5 2 2 3 2" xfId="8698"/>
    <cellStyle name="Normal 3 5 2 5 2 2 3 2 2" xfId="8699"/>
    <cellStyle name="Normal 3 5 2 5 2 2 3 3" xfId="8700"/>
    <cellStyle name="Normal 3 5 2 5 2 2 3 3 2" xfId="8701"/>
    <cellStyle name="Normal 3 5 2 5 2 2 3 4" xfId="8702"/>
    <cellStyle name="Normal 3 5 2 5 2 2 3 4 2" xfId="8703"/>
    <cellStyle name="Normal 3 5 2 5 2 2 3 5" xfId="8704"/>
    <cellStyle name="Normal 3 5 2 5 2 2 4" xfId="8705"/>
    <cellStyle name="Normal 3 5 2 5 2 2 4 2" xfId="8706"/>
    <cellStyle name="Normal 3 5 2 5 2 2 4 2 2" xfId="8707"/>
    <cellStyle name="Normal 3 5 2 5 2 2 4 3" xfId="8708"/>
    <cellStyle name="Normal 3 5 2 5 2 2 4 3 2" xfId="8709"/>
    <cellStyle name="Normal 3 5 2 5 2 2 4 4" xfId="8710"/>
    <cellStyle name="Normal 3 5 2 5 2 2 4 4 2" xfId="8711"/>
    <cellStyle name="Normal 3 5 2 5 2 2 4 5" xfId="8712"/>
    <cellStyle name="Normal 3 5 2 5 2 2 5" xfId="8713"/>
    <cellStyle name="Normal 3 5 2 5 2 2 5 2" xfId="8714"/>
    <cellStyle name="Normal 3 5 2 5 2 2 6" xfId="8715"/>
    <cellStyle name="Normal 3 5 2 5 2 2 6 2" xfId="8716"/>
    <cellStyle name="Normal 3 5 2 5 2 2 7" xfId="8717"/>
    <cellStyle name="Normal 3 5 2 5 2 2 7 2" xfId="8718"/>
    <cellStyle name="Normal 3 5 2 5 2 2 8" xfId="8719"/>
    <cellStyle name="Normal 3 5 2 5 2 3" xfId="8720"/>
    <cellStyle name="Normal 3 5 2 5 2 3 2" xfId="8721"/>
    <cellStyle name="Normal 3 5 2 5 2 3 2 2" xfId="8722"/>
    <cellStyle name="Normal 3 5 2 5 2 3 2 2 2" xfId="8723"/>
    <cellStyle name="Normal 3 5 2 5 2 3 2 2 2 2" xfId="8724"/>
    <cellStyle name="Normal 3 5 2 5 2 3 2 2 3" xfId="8725"/>
    <cellStyle name="Normal 3 5 2 5 2 3 2 2 3 2" xfId="8726"/>
    <cellStyle name="Normal 3 5 2 5 2 3 2 2 4" xfId="8727"/>
    <cellStyle name="Normal 3 5 2 5 2 3 2 2 4 2" xfId="8728"/>
    <cellStyle name="Normal 3 5 2 5 2 3 2 2 5" xfId="8729"/>
    <cellStyle name="Normal 3 5 2 5 2 3 2 3" xfId="8730"/>
    <cellStyle name="Normal 3 5 2 5 2 3 2 3 2" xfId="8731"/>
    <cellStyle name="Normal 3 5 2 5 2 3 2 3 2 2" xfId="8732"/>
    <cellStyle name="Normal 3 5 2 5 2 3 2 3 3" xfId="8733"/>
    <cellStyle name="Normal 3 5 2 5 2 3 2 3 3 2" xfId="8734"/>
    <cellStyle name="Normal 3 5 2 5 2 3 2 3 4" xfId="8735"/>
    <cellStyle name="Normal 3 5 2 5 2 3 2 3 4 2" xfId="8736"/>
    <cellStyle name="Normal 3 5 2 5 2 3 2 3 5" xfId="8737"/>
    <cellStyle name="Normal 3 5 2 5 2 3 2 4" xfId="8738"/>
    <cellStyle name="Normal 3 5 2 5 2 3 2 4 2" xfId="8739"/>
    <cellStyle name="Normal 3 5 2 5 2 3 2 5" xfId="8740"/>
    <cellStyle name="Normal 3 5 2 5 2 3 2 5 2" xfId="8741"/>
    <cellStyle name="Normal 3 5 2 5 2 3 2 6" xfId="8742"/>
    <cellStyle name="Normal 3 5 2 5 2 3 2 6 2" xfId="8743"/>
    <cellStyle name="Normal 3 5 2 5 2 3 2 7" xfId="8744"/>
    <cellStyle name="Normal 3 5 2 5 2 3 3" xfId="8745"/>
    <cellStyle name="Normal 3 5 2 5 2 3 3 2" xfId="8746"/>
    <cellStyle name="Normal 3 5 2 5 2 3 3 2 2" xfId="8747"/>
    <cellStyle name="Normal 3 5 2 5 2 3 3 3" xfId="8748"/>
    <cellStyle name="Normal 3 5 2 5 2 3 3 3 2" xfId="8749"/>
    <cellStyle name="Normal 3 5 2 5 2 3 3 4" xfId="8750"/>
    <cellStyle name="Normal 3 5 2 5 2 3 3 4 2" xfId="8751"/>
    <cellStyle name="Normal 3 5 2 5 2 3 3 5" xfId="8752"/>
    <cellStyle name="Normal 3 5 2 5 2 3 4" xfId="8753"/>
    <cellStyle name="Normal 3 5 2 5 2 3 4 2" xfId="8754"/>
    <cellStyle name="Normal 3 5 2 5 2 3 4 2 2" xfId="8755"/>
    <cellStyle name="Normal 3 5 2 5 2 3 4 3" xfId="8756"/>
    <cellStyle name="Normal 3 5 2 5 2 3 4 3 2" xfId="8757"/>
    <cellStyle name="Normal 3 5 2 5 2 3 4 4" xfId="8758"/>
    <cellStyle name="Normal 3 5 2 5 2 3 4 4 2" xfId="8759"/>
    <cellStyle name="Normal 3 5 2 5 2 3 4 5" xfId="8760"/>
    <cellStyle name="Normal 3 5 2 5 2 3 5" xfId="8761"/>
    <cellStyle name="Normal 3 5 2 5 2 3 5 2" xfId="8762"/>
    <cellStyle name="Normal 3 5 2 5 2 3 6" xfId="8763"/>
    <cellStyle name="Normal 3 5 2 5 2 3 6 2" xfId="8764"/>
    <cellStyle name="Normal 3 5 2 5 2 3 7" xfId="8765"/>
    <cellStyle name="Normal 3 5 2 5 2 3 7 2" xfId="8766"/>
    <cellStyle name="Normal 3 5 2 5 2 3 8" xfId="8767"/>
    <cellStyle name="Normal 3 5 2 5 2 4" xfId="8768"/>
    <cellStyle name="Normal 3 5 2 5 2 4 2" xfId="8769"/>
    <cellStyle name="Normal 3 5 2 5 2 4 2 2" xfId="8770"/>
    <cellStyle name="Normal 3 5 2 5 2 4 2 2 2" xfId="8771"/>
    <cellStyle name="Normal 3 5 2 5 2 4 2 2 2 2" xfId="8772"/>
    <cellStyle name="Normal 3 5 2 5 2 4 2 2 3" xfId="8773"/>
    <cellStyle name="Normal 3 5 2 5 2 4 2 2 3 2" xfId="8774"/>
    <cellStyle name="Normal 3 5 2 5 2 4 2 2 4" xfId="8775"/>
    <cellStyle name="Normal 3 5 2 5 2 4 2 2 4 2" xfId="8776"/>
    <cellStyle name="Normal 3 5 2 5 2 4 2 2 5" xfId="8777"/>
    <cellStyle name="Normal 3 5 2 5 2 4 2 3" xfId="8778"/>
    <cellStyle name="Normal 3 5 2 5 2 4 2 3 2" xfId="8779"/>
    <cellStyle name="Normal 3 5 2 5 2 4 2 3 2 2" xfId="8780"/>
    <cellStyle name="Normal 3 5 2 5 2 4 2 3 3" xfId="8781"/>
    <cellStyle name="Normal 3 5 2 5 2 4 2 3 3 2" xfId="8782"/>
    <cellStyle name="Normal 3 5 2 5 2 4 2 3 4" xfId="8783"/>
    <cellStyle name="Normal 3 5 2 5 2 4 2 3 4 2" xfId="8784"/>
    <cellStyle name="Normal 3 5 2 5 2 4 2 3 5" xfId="8785"/>
    <cellStyle name="Normal 3 5 2 5 2 4 2 4" xfId="8786"/>
    <cellStyle name="Normal 3 5 2 5 2 4 2 4 2" xfId="8787"/>
    <cellStyle name="Normal 3 5 2 5 2 4 2 5" xfId="8788"/>
    <cellStyle name="Normal 3 5 2 5 2 4 2 5 2" xfId="8789"/>
    <cellStyle name="Normal 3 5 2 5 2 4 2 6" xfId="8790"/>
    <cellStyle name="Normal 3 5 2 5 2 4 2 6 2" xfId="8791"/>
    <cellStyle name="Normal 3 5 2 5 2 4 2 7" xfId="8792"/>
    <cellStyle name="Normal 3 5 2 5 2 4 3" xfId="8793"/>
    <cellStyle name="Normal 3 5 2 5 2 4 3 2" xfId="8794"/>
    <cellStyle name="Normal 3 5 2 5 2 4 3 2 2" xfId="8795"/>
    <cellStyle name="Normal 3 5 2 5 2 4 3 3" xfId="8796"/>
    <cellStyle name="Normal 3 5 2 5 2 4 3 3 2" xfId="8797"/>
    <cellStyle name="Normal 3 5 2 5 2 4 3 4" xfId="8798"/>
    <cellStyle name="Normal 3 5 2 5 2 4 3 4 2" xfId="8799"/>
    <cellStyle name="Normal 3 5 2 5 2 4 3 5" xfId="8800"/>
    <cellStyle name="Normal 3 5 2 5 2 4 4" xfId="8801"/>
    <cellStyle name="Normal 3 5 2 5 2 4 4 2" xfId="8802"/>
    <cellStyle name="Normal 3 5 2 5 2 4 4 2 2" xfId="8803"/>
    <cellStyle name="Normal 3 5 2 5 2 4 4 3" xfId="8804"/>
    <cellStyle name="Normal 3 5 2 5 2 4 4 3 2" xfId="8805"/>
    <cellStyle name="Normal 3 5 2 5 2 4 4 4" xfId="8806"/>
    <cellStyle name="Normal 3 5 2 5 2 4 4 4 2" xfId="8807"/>
    <cellStyle name="Normal 3 5 2 5 2 4 4 5" xfId="8808"/>
    <cellStyle name="Normal 3 5 2 5 2 4 5" xfId="8809"/>
    <cellStyle name="Normal 3 5 2 5 2 4 5 2" xfId="8810"/>
    <cellStyle name="Normal 3 5 2 5 2 4 6" xfId="8811"/>
    <cellStyle name="Normal 3 5 2 5 2 4 6 2" xfId="8812"/>
    <cellStyle name="Normal 3 5 2 5 2 4 7" xfId="8813"/>
    <cellStyle name="Normal 3 5 2 5 2 4 7 2" xfId="8814"/>
    <cellStyle name="Normal 3 5 2 5 2 4 8" xfId="8815"/>
    <cellStyle name="Normal 3 5 2 5 2 5" xfId="8816"/>
    <cellStyle name="Normal 3 5 2 5 2 5 2" xfId="8817"/>
    <cellStyle name="Normal 3 5 2 5 2 5 2 2" xfId="8818"/>
    <cellStyle name="Normal 3 5 2 5 2 5 2 2 2" xfId="8819"/>
    <cellStyle name="Normal 3 5 2 5 2 5 2 2 2 2" xfId="8820"/>
    <cellStyle name="Normal 3 5 2 5 2 5 2 2 3" xfId="8821"/>
    <cellStyle name="Normal 3 5 2 5 2 5 2 2 3 2" xfId="8822"/>
    <cellStyle name="Normal 3 5 2 5 2 5 2 2 4" xfId="8823"/>
    <cellStyle name="Normal 3 5 2 5 2 5 2 2 4 2" xfId="8824"/>
    <cellStyle name="Normal 3 5 2 5 2 5 2 2 5" xfId="8825"/>
    <cellStyle name="Normal 3 5 2 5 2 5 2 3" xfId="8826"/>
    <cellStyle name="Normal 3 5 2 5 2 5 2 3 2" xfId="8827"/>
    <cellStyle name="Normal 3 5 2 5 2 5 2 3 2 2" xfId="8828"/>
    <cellStyle name="Normal 3 5 2 5 2 5 2 3 3" xfId="8829"/>
    <cellStyle name="Normal 3 5 2 5 2 5 2 3 3 2" xfId="8830"/>
    <cellStyle name="Normal 3 5 2 5 2 5 2 3 4" xfId="8831"/>
    <cellStyle name="Normal 3 5 2 5 2 5 2 3 4 2" xfId="8832"/>
    <cellStyle name="Normal 3 5 2 5 2 5 2 3 5" xfId="8833"/>
    <cellStyle name="Normal 3 5 2 5 2 5 2 4" xfId="8834"/>
    <cellStyle name="Normal 3 5 2 5 2 5 2 4 2" xfId="8835"/>
    <cellStyle name="Normal 3 5 2 5 2 5 2 5" xfId="8836"/>
    <cellStyle name="Normal 3 5 2 5 2 5 2 5 2" xfId="8837"/>
    <cellStyle name="Normal 3 5 2 5 2 5 2 6" xfId="8838"/>
    <cellStyle name="Normal 3 5 2 5 2 5 2 6 2" xfId="8839"/>
    <cellStyle name="Normal 3 5 2 5 2 5 2 7" xfId="8840"/>
    <cellStyle name="Normal 3 5 2 5 2 5 3" xfId="8841"/>
    <cellStyle name="Normal 3 5 2 5 2 5 3 2" xfId="8842"/>
    <cellStyle name="Normal 3 5 2 5 2 5 3 2 2" xfId="8843"/>
    <cellStyle name="Normal 3 5 2 5 2 5 3 3" xfId="8844"/>
    <cellStyle name="Normal 3 5 2 5 2 5 3 3 2" xfId="8845"/>
    <cellStyle name="Normal 3 5 2 5 2 5 3 4" xfId="8846"/>
    <cellStyle name="Normal 3 5 2 5 2 5 3 4 2" xfId="8847"/>
    <cellStyle name="Normal 3 5 2 5 2 5 3 5" xfId="8848"/>
    <cellStyle name="Normal 3 5 2 5 2 5 4" xfId="8849"/>
    <cellStyle name="Normal 3 5 2 5 2 5 4 2" xfId="8850"/>
    <cellStyle name="Normal 3 5 2 5 2 5 4 2 2" xfId="8851"/>
    <cellStyle name="Normal 3 5 2 5 2 5 4 3" xfId="8852"/>
    <cellStyle name="Normal 3 5 2 5 2 5 4 3 2" xfId="8853"/>
    <cellStyle name="Normal 3 5 2 5 2 5 4 4" xfId="8854"/>
    <cellStyle name="Normal 3 5 2 5 2 5 4 4 2" xfId="8855"/>
    <cellStyle name="Normal 3 5 2 5 2 5 4 5" xfId="8856"/>
    <cellStyle name="Normal 3 5 2 5 2 5 5" xfId="8857"/>
    <cellStyle name="Normal 3 5 2 5 2 5 5 2" xfId="8858"/>
    <cellStyle name="Normal 3 5 2 5 2 5 6" xfId="8859"/>
    <cellStyle name="Normal 3 5 2 5 2 5 6 2" xfId="8860"/>
    <cellStyle name="Normal 3 5 2 5 2 5 7" xfId="8861"/>
    <cellStyle name="Normal 3 5 2 5 2 5 7 2" xfId="8862"/>
    <cellStyle name="Normal 3 5 2 5 2 5 8" xfId="8863"/>
    <cellStyle name="Normal 3 5 2 5 2 6" xfId="8864"/>
    <cellStyle name="Normal 3 5 2 5 2 6 2" xfId="8865"/>
    <cellStyle name="Normal 3 5 2 5 2 6 2 2" xfId="8866"/>
    <cellStyle name="Normal 3 5 2 5 2 6 2 2 2" xfId="8867"/>
    <cellStyle name="Normal 3 5 2 5 2 6 2 2 2 2" xfId="8868"/>
    <cellStyle name="Normal 3 5 2 5 2 6 2 2 3" xfId="8869"/>
    <cellStyle name="Normal 3 5 2 5 2 6 2 2 3 2" xfId="8870"/>
    <cellStyle name="Normal 3 5 2 5 2 6 2 2 4" xfId="8871"/>
    <cellStyle name="Normal 3 5 2 5 2 6 2 2 4 2" xfId="8872"/>
    <cellStyle name="Normal 3 5 2 5 2 6 2 2 5" xfId="8873"/>
    <cellStyle name="Normal 3 5 2 5 2 6 2 3" xfId="8874"/>
    <cellStyle name="Normal 3 5 2 5 2 6 2 3 2" xfId="8875"/>
    <cellStyle name="Normal 3 5 2 5 2 6 2 3 2 2" xfId="8876"/>
    <cellStyle name="Normal 3 5 2 5 2 6 2 3 3" xfId="8877"/>
    <cellStyle name="Normal 3 5 2 5 2 6 2 3 3 2" xfId="8878"/>
    <cellStyle name="Normal 3 5 2 5 2 6 2 3 4" xfId="8879"/>
    <cellStyle name="Normal 3 5 2 5 2 6 2 3 4 2" xfId="8880"/>
    <cellStyle name="Normal 3 5 2 5 2 6 2 3 5" xfId="8881"/>
    <cellStyle name="Normal 3 5 2 5 2 6 2 4" xfId="8882"/>
    <cellStyle name="Normal 3 5 2 5 2 6 2 4 2" xfId="8883"/>
    <cellStyle name="Normal 3 5 2 5 2 6 2 5" xfId="8884"/>
    <cellStyle name="Normal 3 5 2 5 2 6 2 5 2" xfId="8885"/>
    <cellStyle name="Normal 3 5 2 5 2 6 2 6" xfId="8886"/>
    <cellStyle name="Normal 3 5 2 5 2 6 2 6 2" xfId="8887"/>
    <cellStyle name="Normal 3 5 2 5 2 6 2 7" xfId="8888"/>
    <cellStyle name="Normal 3 5 2 5 2 6 3" xfId="8889"/>
    <cellStyle name="Normal 3 5 2 5 2 6 3 2" xfId="8890"/>
    <cellStyle name="Normal 3 5 2 5 2 6 3 2 2" xfId="8891"/>
    <cellStyle name="Normal 3 5 2 5 2 6 3 3" xfId="8892"/>
    <cellStyle name="Normal 3 5 2 5 2 6 3 3 2" xfId="8893"/>
    <cellStyle name="Normal 3 5 2 5 2 6 3 4" xfId="8894"/>
    <cellStyle name="Normal 3 5 2 5 2 6 3 4 2" xfId="8895"/>
    <cellStyle name="Normal 3 5 2 5 2 6 3 5" xfId="8896"/>
    <cellStyle name="Normal 3 5 2 5 2 6 4" xfId="8897"/>
    <cellStyle name="Normal 3 5 2 5 2 6 4 2" xfId="8898"/>
    <cellStyle name="Normal 3 5 2 5 2 6 4 2 2" xfId="8899"/>
    <cellStyle name="Normal 3 5 2 5 2 6 4 3" xfId="8900"/>
    <cellStyle name="Normal 3 5 2 5 2 6 4 3 2" xfId="8901"/>
    <cellStyle name="Normal 3 5 2 5 2 6 4 4" xfId="8902"/>
    <cellStyle name="Normal 3 5 2 5 2 6 4 4 2" xfId="8903"/>
    <cellStyle name="Normal 3 5 2 5 2 6 4 5" xfId="8904"/>
    <cellStyle name="Normal 3 5 2 5 2 6 5" xfId="8905"/>
    <cellStyle name="Normal 3 5 2 5 2 6 5 2" xfId="8906"/>
    <cellStyle name="Normal 3 5 2 5 2 6 6" xfId="8907"/>
    <cellStyle name="Normal 3 5 2 5 2 6 6 2" xfId="8908"/>
    <cellStyle name="Normal 3 5 2 5 2 6 7" xfId="8909"/>
    <cellStyle name="Normal 3 5 2 5 2 6 7 2" xfId="8910"/>
    <cellStyle name="Normal 3 5 2 5 2 6 8" xfId="8911"/>
    <cellStyle name="Normal 3 5 2 5 2 7" xfId="8912"/>
    <cellStyle name="Normal 3 5 2 5 2 7 2" xfId="8913"/>
    <cellStyle name="Normal 3 5 2 5 2 7 2 2" xfId="8914"/>
    <cellStyle name="Normal 3 5 2 5 2 7 2 2 2" xfId="8915"/>
    <cellStyle name="Normal 3 5 2 5 2 7 2 3" xfId="8916"/>
    <cellStyle name="Normal 3 5 2 5 2 7 2 3 2" xfId="8917"/>
    <cellStyle name="Normal 3 5 2 5 2 7 2 4" xfId="8918"/>
    <cellStyle name="Normal 3 5 2 5 2 7 2 4 2" xfId="8919"/>
    <cellStyle name="Normal 3 5 2 5 2 7 2 5" xfId="8920"/>
    <cellStyle name="Normal 3 5 2 5 2 7 3" xfId="8921"/>
    <cellStyle name="Normal 3 5 2 5 2 7 3 2" xfId="8922"/>
    <cellStyle name="Normal 3 5 2 5 2 7 3 2 2" xfId="8923"/>
    <cellStyle name="Normal 3 5 2 5 2 7 3 3" xfId="8924"/>
    <cellStyle name="Normal 3 5 2 5 2 7 3 3 2" xfId="8925"/>
    <cellStyle name="Normal 3 5 2 5 2 7 3 4" xfId="8926"/>
    <cellStyle name="Normal 3 5 2 5 2 7 3 4 2" xfId="8927"/>
    <cellStyle name="Normal 3 5 2 5 2 7 3 5" xfId="8928"/>
    <cellStyle name="Normal 3 5 2 5 2 7 4" xfId="8929"/>
    <cellStyle name="Normal 3 5 2 5 2 7 4 2" xfId="8930"/>
    <cellStyle name="Normal 3 5 2 5 2 7 5" xfId="8931"/>
    <cellStyle name="Normal 3 5 2 5 2 7 5 2" xfId="8932"/>
    <cellStyle name="Normal 3 5 2 5 2 7 6" xfId="8933"/>
    <cellStyle name="Normal 3 5 2 5 2 7 6 2" xfId="8934"/>
    <cellStyle name="Normal 3 5 2 5 2 7 7" xfId="8935"/>
    <cellStyle name="Normal 3 5 2 5 2 8" xfId="8936"/>
    <cellStyle name="Normal 3 5 2 5 2 8 2" xfId="8937"/>
    <cellStyle name="Normal 3 5 2 5 2 8 2 2" xfId="8938"/>
    <cellStyle name="Normal 3 5 2 5 2 8 3" xfId="8939"/>
    <cellStyle name="Normal 3 5 2 5 2 8 3 2" xfId="8940"/>
    <cellStyle name="Normal 3 5 2 5 2 8 4" xfId="8941"/>
    <cellStyle name="Normal 3 5 2 5 2 8 4 2" xfId="8942"/>
    <cellStyle name="Normal 3 5 2 5 2 8 5" xfId="8943"/>
    <cellStyle name="Normal 3 5 2 5 2 9" xfId="8944"/>
    <cellStyle name="Normal 3 5 2 5 2 9 2" xfId="8945"/>
    <cellStyle name="Normal 3 5 2 5 2 9 2 2" xfId="8946"/>
    <cellStyle name="Normal 3 5 2 5 2 9 3" xfId="8947"/>
    <cellStyle name="Normal 3 5 2 5 2 9 3 2" xfId="8948"/>
    <cellStyle name="Normal 3 5 2 5 2 9 4" xfId="8949"/>
    <cellStyle name="Normal 3 5 2 5 2 9 4 2" xfId="8950"/>
    <cellStyle name="Normal 3 5 2 5 2 9 5" xfId="8951"/>
    <cellStyle name="Normal 3 5 2 5 3" xfId="8952"/>
    <cellStyle name="Normal 3 5 2 5 3 2" xfId="8953"/>
    <cellStyle name="Normal 3 5 2 5 3 2 2" xfId="8954"/>
    <cellStyle name="Normal 3 5 2 5 3 2 2 2" xfId="8955"/>
    <cellStyle name="Normal 3 5 2 5 3 2 2 2 2" xfId="8956"/>
    <cellStyle name="Normal 3 5 2 5 3 2 2 3" xfId="8957"/>
    <cellStyle name="Normal 3 5 2 5 3 2 2 3 2" xfId="8958"/>
    <cellStyle name="Normal 3 5 2 5 3 2 2 4" xfId="8959"/>
    <cellStyle name="Normal 3 5 2 5 3 2 2 4 2" xfId="8960"/>
    <cellStyle name="Normal 3 5 2 5 3 2 2 5" xfId="8961"/>
    <cellStyle name="Normal 3 5 2 5 3 2 3" xfId="8962"/>
    <cellStyle name="Normal 3 5 2 5 3 2 3 2" xfId="8963"/>
    <cellStyle name="Normal 3 5 2 5 3 2 3 2 2" xfId="8964"/>
    <cellStyle name="Normal 3 5 2 5 3 2 3 3" xfId="8965"/>
    <cellStyle name="Normal 3 5 2 5 3 2 3 3 2" xfId="8966"/>
    <cellStyle name="Normal 3 5 2 5 3 2 3 4" xfId="8967"/>
    <cellStyle name="Normal 3 5 2 5 3 2 3 4 2" xfId="8968"/>
    <cellStyle name="Normal 3 5 2 5 3 2 3 5" xfId="8969"/>
    <cellStyle name="Normal 3 5 2 5 3 2 4" xfId="8970"/>
    <cellStyle name="Normal 3 5 2 5 3 2 4 2" xfId="8971"/>
    <cellStyle name="Normal 3 5 2 5 3 2 5" xfId="8972"/>
    <cellStyle name="Normal 3 5 2 5 3 2 5 2" xfId="8973"/>
    <cellStyle name="Normal 3 5 2 5 3 2 6" xfId="8974"/>
    <cellStyle name="Normal 3 5 2 5 3 2 6 2" xfId="8975"/>
    <cellStyle name="Normal 3 5 2 5 3 2 7" xfId="8976"/>
    <cellStyle name="Normal 3 5 2 5 3 3" xfId="8977"/>
    <cellStyle name="Normal 3 5 2 5 3 3 2" xfId="8978"/>
    <cellStyle name="Normal 3 5 2 5 3 3 2 2" xfId="8979"/>
    <cellStyle name="Normal 3 5 2 5 3 3 3" xfId="8980"/>
    <cellStyle name="Normal 3 5 2 5 3 3 3 2" xfId="8981"/>
    <cellStyle name="Normal 3 5 2 5 3 3 4" xfId="8982"/>
    <cellStyle name="Normal 3 5 2 5 3 3 4 2" xfId="8983"/>
    <cellStyle name="Normal 3 5 2 5 3 3 5" xfId="8984"/>
    <cellStyle name="Normal 3 5 2 5 3 4" xfId="8985"/>
    <cellStyle name="Normal 3 5 2 5 3 4 2" xfId="8986"/>
    <cellStyle name="Normal 3 5 2 5 3 4 2 2" xfId="8987"/>
    <cellStyle name="Normal 3 5 2 5 3 4 3" xfId="8988"/>
    <cellStyle name="Normal 3 5 2 5 3 4 3 2" xfId="8989"/>
    <cellStyle name="Normal 3 5 2 5 3 4 4" xfId="8990"/>
    <cellStyle name="Normal 3 5 2 5 3 4 4 2" xfId="8991"/>
    <cellStyle name="Normal 3 5 2 5 3 4 5" xfId="8992"/>
    <cellStyle name="Normal 3 5 2 5 3 5" xfId="8993"/>
    <cellStyle name="Normal 3 5 2 5 3 5 2" xfId="8994"/>
    <cellStyle name="Normal 3 5 2 5 3 6" xfId="8995"/>
    <cellStyle name="Normal 3 5 2 5 3 6 2" xfId="8996"/>
    <cellStyle name="Normal 3 5 2 5 3 7" xfId="8997"/>
    <cellStyle name="Normal 3 5 2 5 3 7 2" xfId="8998"/>
    <cellStyle name="Normal 3 5 2 5 3 8" xfId="8999"/>
    <cellStyle name="Normal 3 5 2 5 4" xfId="9000"/>
    <cellStyle name="Normal 3 5 2 5 4 2" xfId="9001"/>
    <cellStyle name="Normal 3 5 2 5 4 2 2" xfId="9002"/>
    <cellStyle name="Normal 3 5 2 5 4 2 2 2" xfId="9003"/>
    <cellStyle name="Normal 3 5 2 5 4 2 2 2 2" xfId="9004"/>
    <cellStyle name="Normal 3 5 2 5 4 2 2 3" xfId="9005"/>
    <cellStyle name="Normal 3 5 2 5 4 2 2 3 2" xfId="9006"/>
    <cellStyle name="Normal 3 5 2 5 4 2 2 4" xfId="9007"/>
    <cellStyle name="Normal 3 5 2 5 4 2 2 4 2" xfId="9008"/>
    <cellStyle name="Normal 3 5 2 5 4 2 2 5" xfId="9009"/>
    <cellStyle name="Normal 3 5 2 5 4 2 3" xfId="9010"/>
    <cellStyle name="Normal 3 5 2 5 4 2 3 2" xfId="9011"/>
    <cellStyle name="Normal 3 5 2 5 4 2 3 2 2" xfId="9012"/>
    <cellStyle name="Normal 3 5 2 5 4 2 3 3" xfId="9013"/>
    <cellStyle name="Normal 3 5 2 5 4 2 3 3 2" xfId="9014"/>
    <cellStyle name="Normal 3 5 2 5 4 2 3 4" xfId="9015"/>
    <cellStyle name="Normal 3 5 2 5 4 2 3 4 2" xfId="9016"/>
    <cellStyle name="Normal 3 5 2 5 4 2 3 5" xfId="9017"/>
    <cellStyle name="Normal 3 5 2 5 4 2 4" xfId="9018"/>
    <cellStyle name="Normal 3 5 2 5 4 2 4 2" xfId="9019"/>
    <cellStyle name="Normal 3 5 2 5 4 2 5" xfId="9020"/>
    <cellStyle name="Normal 3 5 2 5 4 2 5 2" xfId="9021"/>
    <cellStyle name="Normal 3 5 2 5 4 2 6" xfId="9022"/>
    <cellStyle name="Normal 3 5 2 5 4 2 6 2" xfId="9023"/>
    <cellStyle name="Normal 3 5 2 5 4 2 7" xfId="9024"/>
    <cellStyle name="Normal 3 5 2 5 4 3" xfId="9025"/>
    <cellStyle name="Normal 3 5 2 5 4 3 2" xfId="9026"/>
    <cellStyle name="Normal 3 5 2 5 4 3 2 2" xfId="9027"/>
    <cellStyle name="Normal 3 5 2 5 4 3 3" xfId="9028"/>
    <cellStyle name="Normal 3 5 2 5 4 3 3 2" xfId="9029"/>
    <cellStyle name="Normal 3 5 2 5 4 3 4" xfId="9030"/>
    <cellStyle name="Normal 3 5 2 5 4 3 4 2" xfId="9031"/>
    <cellStyle name="Normal 3 5 2 5 4 3 5" xfId="9032"/>
    <cellStyle name="Normal 3 5 2 5 4 4" xfId="9033"/>
    <cellStyle name="Normal 3 5 2 5 4 4 2" xfId="9034"/>
    <cellStyle name="Normal 3 5 2 5 4 4 2 2" xfId="9035"/>
    <cellStyle name="Normal 3 5 2 5 4 4 3" xfId="9036"/>
    <cellStyle name="Normal 3 5 2 5 4 4 3 2" xfId="9037"/>
    <cellStyle name="Normal 3 5 2 5 4 4 4" xfId="9038"/>
    <cellStyle name="Normal 3 5 2 5 4 4 4 2" xfId="9039"/>
    <cellStyle name="Normal 3 5 2 5 4 4 5" xfId="9040"/>
    <cellStyle name="Normal 3 5 2 5 4 5" xfId="9041"/>
    <cellStyle name="Normal 3 5 2 5 4 5 2" xfId="9042"/>
    <cellStyle name="Normal 3 5 2 5 4 6" xfId="9043"/>
    <cellStyle name="Normal 3 5 2 5 4 6 2" xfId="9044"/>
    <cellStyle name="Normal 3 5 2 5 4 7" xfId="9045"/>
    <cellStyle name="Normal 3 5 2 5 4 7 2" xfId="9046"/>
    <cellStyle name="Normal 3 5 2 5 4 8" xfId="9047"/>
    <cellStyle name="Normal 3 5 2 5 5" xfId="9048"/>
    <cellStyle name="Normal 3 5 2 5 5 2" xfId="9049"/>
    <cellStyle name="Normal 3 5 2 5 5 2 2" xfId="9050"/>
    <cellStyle name="Normal 3 5 2 5 5 2 2 2" xfId="9051"/>
    <cellStyle name="Normal 3 5 2 5 5 2 2 2 2" xfId="9052"/>
    <cellStyle name="Normal 3 5 2 5 5 2 2 3" xfId="9053"/>
    <cellStyle name="Normal 3 5 2 5 5 2 2 3 2" xfId="9054"/>
    <cellStyle name="Normal 3 5 2 5 5 2 2 4" xfId="9055"/>
    <cellStyle name="Normal 3 5 2 5 5 2 2 4 2" xfId="9056"/>
    <cellStyle name="Normal 3 5 2 5 5 2 2 5" xfId="9057"/>
    <cellStyle name="Normal 3 5 2 5 5 2 3" xfId="9058"/>
    <cellStyle name="Normal 3 5 2 5 5 2 3 2" xfId="9059"/>
    <cellStyle name="Normal 3 5 2 5 5 2 3 2 2" xfId="9060"/>
    <cellStyle name="Normal 3 5 2 5 5 2 3 3" xfId="9061"/>
    <cellStyle name="Normal 3 5 2 5 5 2 3 3 2" xfId="9062"/>
    <cellStyle name="Normal 3 5 2 5 5 2 3 4" xfId="9063"/>
    <cellStyle name="Normal 3 5 2 5 5 2 3 4 2" xfId="9064"/>
    <cellStyle name="Normal 3 5 2 5 5 2 3 5" xfId="9065"/>
    <cellStyle name="Normal 3 5 2 5 5 2 4" xfId="9066"/>
    <cellStyle name="Normal 3 5 2 5 5 2 4 2" xfId="9067"/>
    <cellStyle name="Normal 3 5 2 5 5 2 5" xfId="9068"/>
    <cellStyle name="Normal 3 5 2 5 5 2 5 2" xfId="9069"/>
    <cellStyle name="Normal 3 5 2 5 5 2 6" xfId="9070"/>
    <cellStyle name="Normal 3 5 2 5 5 2 6 2" xfId="9071"/>
    <cellStyle name="Normal 3 5 2 5 5 2 7" xfId="9072"/>
    <cellStyle name="Normal 3 5 2 5 5 3" xfId="9073"/>
    <cellStyle name="Normal 3 5 2 5 5 3 2" xfId="9074"/>
    <cellStyle name="Normal 3 5 2 5 5 3 2 2" xfId="9075"/>
    <cellStyle name="Normal 3 5 2 5 5 3 3" xfId="9076"/>
    <cellStyle name="Normal 3 5 2 5 5 3 3 2" xfId="9077"/>
    <cellStyle name="Normal 3 5 2 5 5 3 4" xfId="9078"/>
    <cellStyle name="Normal 3 5 2 5 5 3 4 2" xfId="9079"/>
    <cellStyle name="Normal 3 5 2 5 5 3 5" xfId="9080"/>
    <cellStyle name="Normal 3 5 2 5 5 4" xfId="9081"/>
    <cellStyle name="Normal 3 5 2 5 5 4 2" xfId="9082"/>
    <cellStyle name="Normal 3 5 2 5 5 4 2 2" xfId="9083"/>
    <cellStyle name="Normal 3 5 2 5 5 4 3" xfId="9084"/>
    <cellStyle name="Normal 3 5 2 5 5 4 3 2" xfId="9085"/>
    <cellStyle name="Normal 3 5 2 5 5 4 4" xfId="9086"/>
    <cellStyle name="Normal 3 5 2 5 5 4 4 2" xfId="9087"/>
    <cellStyle name="Normal 3 5 2 5 5 4 5" xfId="9088"/>
    <cellStyle name="Normal 3 5 2 5 5 5" xfId="9089"/>
    <cellStyle name="Normal 3 5 2 5 5 5 2" xfId="9090"/>
    <cellStyle name="Normal 3 5 2 5 5 6" xfId="9091"/>
    <cellStyle name="Normal 3 5 2 5 5 6 2" xfId="9092"/>
    <cellStyle name="Normal 3 5 2 5 5 7" xfId="9093"/>
    <cellStyle name="Normal 3 5 2 5 5 7 2" xfId="9094"/>
    <cellStyle name="Normal 3 5 2 5 5 8" xfId="9095"/>
    <cellStyle name="Normal 3 5 2 5 6" xfId="9096"/>
    <cellStyle name="Normal 3 5 2 5 6 2" xfId="9097"/>
    <cellStyle name="Normal 3 5 2 5 6 2 2" xfId="9098"/>
    <cellStyle name="Normal 3 5 2 5 6 2 2 2" xfId="9099"/>
    <cellStyle name="Normal 3 5 2 5 6 2 2 2 2" xfId="9100"/>
    <cellStyle name="Normal 3 5 2 5 6 2 2 3" xfId="9101"/>
    <cellStyle name="Normal 3 5 2 5 6 2 2 3 2" xfId="9102"/>
    <cellStyle name="Normal 3 5 2 5 6 2 2 4" xfId="9103"/>
    <cellStyle name="Normal 3 5 2 5 6 2 2 4 2" xfId="9104"/>
    <cellStyle name="Normal 3 5 2 5 6 2 2 5" xfId="9105"/>
    <cellStyle name="Normal 3 5 2 5 6 2 3" xfId="9106"/>
    <cellStyle name="Normal 3 5 2 5 6 2 3 2" xfId="9107"/>
    <cellStyle name="Normal 3 5 2 5 6 2 3 2 2" xfId="9108"/>
    <cellStyle name="Normal 3 5 2 5 6 2 3 3" xfId="9109"/>
    <cellStyle name="Normal 3 5 2 5 6 2 3 3 2" xfId="9110"/>
    <cellStyle name="Normal 3 5 2 5 6 2 3 4" xfId="9111"/>
    <cellStyle name="Normal 3 5 2 5 6 2 3 4 2" xfId="9112"/>
    <cellStyle name="Normal 3 5 2 5 6 2 3 5" xfId="9113"/>
    <cellStyle name="Normal 3 5 2 5 6 2 4" xfId="9114"/>
    <cellStyle name="Normal 3 5 2 5 6 2 4 2" xfId="9115"/>
    <cellStyle name="Normal 3 5 2 5 6 2 5" xfId="9116"/>
    <cellStyle name="Normal 3 5 2 5 6 2 5 2" xfId="9117"/>
    <cellStyle name="Normal 3 5 2 5 6 2 6" xfId="9118"/>
    <cellStyle name="Normal 3 5 2 5 6 2 6 2" xfId="9119"/>
    <cellStyle name="Normal 3 5 2 5 6 2 7" xfId="9120"/>
    <cellStyle name="Normal 3 5 2 5 6 3" xfId="9121"/>
    <cellStyle name="Normal 3 5 2 5 6 3 2" xfId="9122"/>
    <cellStyle name="Normal 3 5 2 5 6 3 2 2" xfId="9123"/>
    <cellStyle name="Normal 3 5 2 5 6 3 3" xfId="9124"/>
    <cellStyle name="Normal 3 5 2 5 6 3 3 2" xfId="9125"/>
    <cellStyle name="Normal 3 5 2 5 6 3 4" xfId="9126"/>
    <cellStyle name="Normal 3 5 2 5 6 3 4 2" xfId="9127"/>
    <cellStyle name="Normal 3 5 2 5 6 3 5" xfId="9128"/>
    <cellStyle name="Normal 3 5 2 5 6 4" xfId="9129"/>
    <cellStyle name="Normal 3 5 2 5 6 4 2" xfId="9130"/>
    <cellStyle name="Normal 3 5 2 5 6 4 2 2" xfId="9131"/>
    <cellStyle name="Normal 3 5 2 5 6 4 3" xfId="9132"/>
    <cellStyle name="Normal 3 5 2 5 6 4 3 2" xfId="9133"/>
    <cellStyle name="Normal 3 5 2 5 6 4 4" xfId="9134"/>
    <cellStyle name="Normal 3 5 2 5 6 4 4 2" xfId="9135"/>
    <cellStyle name="Normal 3 5 2 5 6 4 5" xfId="9136"/>
    <cellStyle name="Normal 3 5 2 5 6 5" xfId="9137"/>
    <cellStyle name="Normal 3 5 2 5 6 5 2" xfId="9138"/>
    <cellStyle name="Normal 3 5 2 5 6 6" xfId="9139"/>
    <cellStyle name="Normal 3 5 2 5 6 6 2" xfId="9140"/>
    <cellStyle name="Normal 3 5 2 5 6 7" xfId="9141"/>
    <cellStyle name="Normal 3 5 2 5 6 7 2" xfId="9142"/>
    <cellStyle name="Normal 3 5 2 5 6 8" xfId="9143"/>
    <cellStyle name="Normal 3 5 2 5 7" xfId="9144"/>
    <cellStyle name="Normal 3 5 2 5 7 2" xfId="9145"/>
    <cellStyle name="Normal 3 5 2 5 7 2 2" xfId="9146"/>
    <cellStyle name="Normal 3 5 2 5 7 2 2 2" xfId="9147"/>
    <cellStyle name="Normal 3 5 2 5 7 2 2 2 2" xfId="9148"/>
    <cellStyle name="Normal 3 5 2 5 7 2 2 3" xfId="9149"/>
    <cellStyle name="Normal 3 5 2 5 7 2 2 3 2" xfId="9150"/>
    <cellStyle name="Normal 3 5 2 5 7 2 2 4" xfId="9151"/>
    <cellStyle name="Normal 3 5 2 5 7 2 2 4 2" xfId="9152"/>
    <cellStyle name="Normal 3 5 2 5 7 2 2 5" xfId="9153"/>
    <cellStyle name="Normal 3 5 2 5 7 2 3" xfId="9154"/>
    <cellStyle name="Normal 3 5 2 5 7 2 3 2" xfId="9155"/>
    <cellStyle name="Normal 3 5 2 5 7 2 3 2 2" xfId="9156"/>
    <cellStyle name="Normal 3 5 2 5 7 2 3 3" xfId="9157"/>
    <cellStyle name="Normal 3 5 2 5 7 2 3 3 2" xfId="9158"/>
    <cellStyle name="Normal 3 5 2 5 7 2 3 4" xfId="9159"/>
    <cellStyle name="Normal 3 5 2 5 7 2 3 4 2" xfId="9160"/>
    <cellStyle name="Normal 3 5 2 5 7 2 3 5" xfId="9161"/>
    <cellStyle name="Normal 3 5 2 5 7 2 4" xfId="9162"/>
    <cellStyle name="Normal 3 5 2 5 7 2 4 2" xfId="9163"/>
    <cellStyle name="Normal 3 5 2 5 7 2 5" xfId="9164"/>
    <cellStyle name="Normal 3 5 2 5 7 2 5 2" xfId="9165"/>
    <cellStyle name="Normal 3 5 2 5 7 2 6" xfId="9166"/>
    <cellStyle name="Normal 3 5 2 5 7 2 6 2" xfId="9167"/>
    <cellStyle name="Normal 3 5 2 5 7 2 7" xfId="9168"/>
    <cellStyle name="Normal 3 5 2 5 7 3" xfId="9169"/>
    <cellStyle name="Normal 3 5 2 5 7 3 2" xfId="9170"/>
    <cellStyle name="Normal 3 5 2 5 7 3 2 2" xfId="9171"/>
    <cellStyle name="Normal 3 5 2 5 7 3 3" xfId="9172"/>
    <cellStyle name="Normal 3 5 2 5 7 3 3 2" xfId="9173"/>
    <cellStyle name="Normal 3 5 2 5 7 3 4" xfId="9174"/>
    <cellStyle name="Normal 3 5 2 5 7 3 4 2" xfId="9175"/>
    <cellStyle name="Normal 3 5 2 5 7 3 5" xfId="9176"/>
    <cellStyle name="Normal 3 5 2 5 7 4" xfId="9177"/>
    <cellStyle name="Normal 3 5 2 5 7 4 2" xfId="9178"/>
    <cellStyle name="Normal 3 5 2 5 7 4 2 2" xfId="9179"/>
    <cellStyle name="Normal 3 5 2 5 7 4 3" xfId="9180"/>
    <cellStyle name="Normal 3 5 2 5 7 4 3 2" xfId="9181"/>
    <cellStyle name="Normal 3 5 2 5 7 4 4" xfId="9182"/>
    <cellStyle name="Normal 3 5 2 5 7 4 4 2" xfId="9183"/>
    <cellStyle name="Normal 3 5 2 5 7 4 5" xfId="9184"/>
    <cellStyle name="Normal 3 5 2 5 7 5" xfId="9185"/>
    <cellStyle name="Normal 3 5 2 5 7 5 2" xfId="9186"/>
    <cellStyle name="Normal 3 5 2 5 7 6" xfId="9187"/>
    <cellStyle name="Normal 3 5 2 5 7 6 2" xfId="9188"/>
    <cellStyle name="Normal 3 5 2 5 7 7" xfId="9189"/>
    <cellStyle name="Normal 3 5 2 5 7 7 2" xfId="9190"/>
    <cellStyle name="Normal 3 5 2 5 7 8" xfId="9191"/>
    <cellStyle name="Normal 3 5 2 5 8" xfId="9192"/>
    <cellStyle name="Normal 3 5 2 5 8 2" xfId="9193"/>
    <cellStyle name="Normal 3 5 2 5 8 2 2" xfId="9194"/>
    <cellStyle name="Normal 3 5 2 5 8 2 2 2" xfId="9195"/>
    <cellStyle name="Normal 3 5 2 5 8 2 3" xfId="9196"/>
    <cellStyle name="Normal 3 5 2 5 8 2 3 2" xfId="9197"/>
    <cellStyle name="Normal 3 5 2 5 8 2 4" xfId="9198"/>
    <cellStyle name="Normal 3 5 2 5 8 2 4 2" xfId="9199"/>
    <cellStyle name="Normal 3 5 2 5 8 2 5" xfId="9200"/>
    <cellStyle name="Normal 3 5 2 5 8 3" xfId="9201"/>
    <cellStyle name="Normal 3 5 2 5 8 3 2" xfId="9202"/>
    <cellStyle name="Normal 3 5 2 5 8 3 2 2" xfId="9203"/>
    <cellStyle name="Normal 3 5 2 5 8 3 3" xfId="9204"/>
    <cellStyle name="Normal 3 5 2 5 8 3 3 2" xfId="9205"/>
    <cellStyle name="Normal 3 5 2 5 8 3 4" xfId="9206"/>
    <cellStyle name="Normal 3 5 2 5 8 3 4 2" xfId="9207"/>
    <cellStyle name="Normal 3 5 2 5 8 3 5" xfId="9208"/>
    <cellStyle name="Normal 3 5 2 5 8 4" xfId="9209"/>
    <cellStyle name="Normal 3 5 2 5 8 4 2" xfId="9210"/>
    <cellStyle name="Normal 3 5 2 5 8 5" xfId="9211"/>
    <cellStyle name="Normal 3 5 2 5 8 5 2" xfId="9212"/>
    <cellStyle name="Normal 3 5 2 5 8 6" xfId="9213"/>
    <cellStyle name="Normal 3 5 2 5 8 6 2" xfId="9214"/>
    <cellStyle name="Normal 3 5 2 5 8 7" xfId="9215"/>
    <cellStyle name="Normal 3 5 2 5 9" xfId="9216"/>
    <cellStyle name="Normal 3 5 2 5 9 2" xfId="9217"/>
    <cellStyle name="Normal 3 5 2 5 9 2 2" xfId="9218"/>
    <cellStyle name="Normal 3 5 2 5 9 3" xfId="9219"/>
    <cellStyle name="Normal 3 5 2 5 9 3 2" xfId="9220"/>
    <cellStyle name="Normal 3 5 2 5 9 4" xfId="9221"/>
    <cellStyle name="Normal 3 5 2 5 9 4 2" xfId="9222"/>
    <cellStyle name="Normal 3 5 2 5 9 5" xfId="9223"/>
    <cellStyle name="Normal 3 5 2 6" xfId="9224"/>
    <cellStyle name="Normal 3 5 2 6 10" xfId="9225"/>
    <cellStyle name="Normal 3 5 2 6 10 2" xfId="9226"/>
    <cellStyle name="Normal 3 5 2 6 11" xfId="9227"/>
    <cellStyle name="Normal 3 5 2 6 11 2" xfId="9228"/>
    <cellStyle name="Normal 3 5 2 6 12" xfId="9229"/>
    <cellStyle name="Normal 3 5 2 6 12 2" xfId="9230"/>
    <cellStyle name="Normal 3 5 2 6 13" xfId="9231"/>
    <cellStyle name="Normal 3 5 2 6 2" xfId="9232"/>
    <cellStyle name="Normal 3 5 2 6 2 2" xfId="9233"/>
    <cellStyle name="Normal 3 5 2 6 2 2 2" xfId="9234"/>
    <cellStyle name="Normal 3 5 2 6 2 2 2 2" xfId="9235"/>
    <cellStyle name="Normal 3 5 2 6 2 2 2 2 2" xfId="9236"/>
    <cellStyle name="Normal 3 5 2 6 2 2 2 3" xfId="9237"/>
    <cellStyle name="Normal 3 5 2 6 2 2 2 3 2" xfId="9238"/>
    <cellStyle name="Normal 3 5 2 6 2 2 2 4" xfId="9239"/>
    <cellStyle name="Normal 3 5 2 6 2 2 2 4 2" xfId="9240"/>
    <cellStyle name="Normal 3 5 2 6 2 2 2 5" xfId="9241"/>
    <cellStyle name="Normal 3 5 2 6 2 2 3" xfId="9242"/>
    <cellStyle name="Normal 3 5 2 6 2 2 3 2" xfId="9243"/>
    <cellStyle name="Normal 3 5 2 6 2 2 3 2 2" xfId="9244"/>
    <cellStyle name="Normal 3 5 2 6 2 2 3 3" xfId="9245"/>
    <cellStyle name="Normal 3 5 2 6 2 2 3 3 2" xfId="9246"/>
    <cellStyle name="Normal 3 5 2 6 2 2 3 4" xfId="9247"/>
    <cellStyle name="Normal 3 5 2 6 2 2 3 4 2" xfId="9248"/>
    <cellStyle name="Normal 3 5 2 6 2 2 3 5" xfId="9249"/>
    <cellStyle name="Normal 3 5 2 6 2 2 4" xfId="9250"/>
    <cellStyle name="Normal 3 5 2 6 2 2 4 2" xfId="9251"/>
    <cellStyle name="Normal 3 5 2 6 2 2 5" xfId="9252"/>
    <cellStyle name="Normal 3 5 2 6 2 2 5 2" xfId="9253"/>
    <cellStyle name="Normal 3 5 2 6 2 2 6" xfId="9254"/>
    <cellStyle name="Normal 3 5 2 6 2 2 6 2" xfId="9255"/>
    <cellStyle name="Normal 3 5 2 6 2 2 7" xfId="9256"/>
    <cellStyle name="Normal 3 5 2 6 2 3" xfId="9257"/>
    <cellStyle name="Normal 3 5 2 6 2 3 2" xfId="9258"/>
    <cellStyle name="Normal 3 5 2 6 2 3 2 2" xfId="9259"/>
    <cellStyle name="Normal 3 5 2 6 2 3 3" xfId="9260"/>
    <cellStyle name="Normal 3 5 2 6 2 3 3 2" xfId="9261"/>
    <cellStyle name="Normal 3 5 2 6 2 3 4" xfId="9262"/>
    <cellStyle name="Normal 3 5 2 6 2 3 4 2" xfId="9263"/>
    <cellStyle name="Normal 3 5 2 6 2 3 5" xfId="9264"/>
    <cellStyle name="Normal 3 5 2 6 2 4" xfId="9265"/>
    <cellStyle name="Normal 3 5 2 6 2 4 2" xfId="9266"/>
    <cellStyle name="Normal 3 5 2 6 2 4 2 2" xfId="9267"/>
    <cellStyle name="Normal 3 5 2 6 2 4 3" xfId="9268"/>
    <cellStyle name="Normal 3 5 2 6 2 4 3 2" xfId="9269"/>
    <cellStyle name="Normal 3 5 2 6 2 4 4" xfId="9270"/>
    <cellStyle name="Normal 3 5 2 6 2 4 4 2" xfId="9271"/>
    <cellStyle name="Normal 3 5 2 6 2 4 5" xfId="9272"/>
    <cellStyle name="Normal 3 5 2 6 2 5" xfId="9273"/>
    <cellStyle name="Normal 3 5 2 6 2 5 2" xfId="9274"/>
    <cellStyle name="Normal 3 5 2 6 2 6" xfId="9275"/>
    <cellStyle name="Normal 3 5 2 6 2 6 2" xfId="9276"/>
    <cellStyle name="Normal 3 5 2 6 2 7" xfId="9277"/>
    <cellStyle name="Normal 3 5 2 6 2 7 2" xfId="9278"/>
    <cellStyle name="Normal 3 5 2 6 2 8" xfId="9279"/>
    <cellStyle name="Normal 3 5 2 6 3" xfId="9280"/>
    <cellStyle name="Normal 3 5 2 6 3 2" xfId="9281"/>
    <cellStyle name="Normal 3 5 2 6 3 2 2" xfId="9282"/>
    <cellStyle name="Normal 3 5 2 6 3 2 2 2" xfId="9283"/>
    <cellStyle name="Normal 3 5 2 6 3 2 2 2 2" xfId="9284"/>
    <cellStyle name="Normal 3 5 2 6 3 2 2 3" xfId="9285"/>
    <cellStyle name="Normal 3 5 2 6 3 2 2 3 2" xfId="9286"/>
    <cellStyle name="Normal 3 5 2 6 3 2 2 4" xfId="9287"/>
    <cellStyle name="Normal 3 5 2 6 3 2 2 4 2" xfId="9288"/>
    <cellStyle name="Normal 3 5 2 6 3 2 2 5" xfId="9289"/>
    <cellStyle name="Normal 3 5 2 6 3 2 3" xfId="9290"/>
    <cellStyle name="Normal 3 5 2 6 3 2 3 2" xfId="9291"/>
    <cellStyle name="Normal 3 5 2 6 3 2 3 2 2" xfId="9292"/>
    <cellStyle name="Normal 3 5 2 6 3 2 3 3" xfId="9293"/>
    <cellStyle name="Normal 3 5 2 6 3 2 3 3 2" xfId="9294"/>
    <cellStyle name="Normal 3 5 2 6 3 2 3 4" xfId="9295"/>
    <cellStyle name="Normal 3 5 2 6 3 2 3 4 2" xfId="9296"/>
    <cellStyle name="Normal 3 5 2 6 3 2 3 5" xfId="9297"/>
    <cellStyle name="Normal 3 5 2 6 3 2 4" xfId="9298"/>
    <cellStyle name="Normal 3 5 2 6 3 2 4 2" xfId="9299"/>
    <cellStyle name="Normal 3 5 2 6 3 2 5" xfId="9300"/>
    <cellStyle name="Normal 3 5 2 6 3 2 5 2" xfId="9301"/>
    <cellStyle name="Normal 3 5 2 6 3 2 6" xfId="9302"/>
    <cellStyle name="Normal 3 5 2 6 3 2 6 2" xfId="9303"/>
    <cellStyle name="Normal 3 5 2 6 3 2 7" xfId="9304"/>
    <cellStyle name="Normal 3 5 2 6 3 3" xfId="9305"/>
    <cellStyle name="Normal 3 5 2 6 3 3 2" xfId="9306"/>
    <cellStyle name="Normal 3 5 2 6 3 3 2 2" xfId="9307"/>
    <cellStyle name="Normal 3 5 2 6 3 3 3" xfId="9308"/>
    <cellStyle name="Normal 3 5 2 6 3 3 3 2" xfId="9309"/>
    <cellStyle name="Normal 3 5 2 6 3 3 4" xfId="9310"/>
    <cellStyle name="Normal 3 5 2 6 3 3 4 2" xfId="9311"/>
    <cellStyle name="Normal 3 5 2 6 3 3 5" xfId="9312"/>
    <cellStyle name="Normal 3 5 2 6 3 4" xfId="9313"/>
    <cellStyle name="Normal 3 5 2 6 3 4 2" xfId="9314"/>
    <cellStyle name="Normal 3 5 2 6 3 4 2 2" xfId="9315"/>
    <cellStyle name="Normal 3 5 2 6 3 4 3" xfId="9316"/>
    <cellStyle name="Normal 3 5 2 6 3 4 3 2" xfId="9317"/>
    <cellStyle name="Normal 3 5 2 6 3 4 4" xfId="9318"/>
    <cellStyle name="Normal 3 5 2 6 3 4 4 2" xfId="9319"/>
    <cellStyle name="Normal 3 5 2 6 3 4 5" xfId="9320"/>
    <cellStyle name="Normal 3 5 2 6 3 5" xfId="9321"/>
    <cellStyle name="Normal 3 5 2 6 3 5 2" xfId="9322"/>
    <cellStyle name="Normal 3 5 2 6 3 6" xfId="9323"/>
    <cellStyle name="Normal 3 5 2 6 3 6 2" xfId="9324"/>
    <cellStyle name="Normal 3 5 2 6 3 7" xfId="9325"/>
    <cellStyle name="Normal 3 5 2 6 3 7 2" xfId="9326"/>
    <cellStyle name="Normal 3 5 2 6 3 8" xfId="9327"/>
    <cellStyle name="Normal 3 5 2 6 4" xfId="9328"/>
    <cellStyle name="Normal 3 5 2 6 4 2" xfId="9329"/>
    <cellStyle name="Normal 3 5 2 6 4 2 2" xfId="9330"/>
    <cellStyle name="Normal 3 5 2 6 4 2 2 2" xfId="9331"/>
    <cellStyle name="Normal 3 5 2 6 4 2 2 2 2" xfId="9332"/>
    <cellStyle name="Normal 3 5 2 6 4 2 2 3" xfId="9333"/>
    <cellStyle name="Normal 3 5 2 6 4 2 2 3 2" xfId="9334"/>
    <cellStyle name="Normal 3 5 2 6 4 2 2 4" xfId="9335"/>
    <cellStyle name="Normal 3 5 2 6 4 2 2 4 2" xfId="9336"/>
    <cellStyle name="Normal 3 5 2 6 4 2 2 5" xfId="9337"/>
    <cellStyle name="Normal 3 5 2 6 4 2 3" xfId="9338"/>
    <cellStyle name="Normal 3 5 2 6 4 2 3 2" xfId="9339"/>
    <cellStyle name="Normal 3 5 2 6 4 2 3 2 2" xfId="9340"/>
    <cellStyle name="Normal 3 5 2 6 4 2 3 3" xfId="9341"/>
    <cellStyle name="Normal 3 5 2 6 4 2 3 3 2" xfId="9342"/>
    <cellStyle name="Normal 3 5 2 6 4 2 3 4" xfId="9343"/>
    <cellStyle name="Normal 3 5 2 6 4 2 3 4 2" xfId="9344"/>
    <cellStyle name="Normal 3 5 2 6 4 2 3 5" xfId="9345"/>
    <cellStyle name="Normal 3 5 2 6 4 2 4" xfId="9346"/>
    <cellStyle name="Normal 3 5 2 6 4 2 4 2" xfId="9347"/>
    <cellStyle name="Normal 3 5 2 6 4 2 5" xfId="9348"/>
    <cellStyle name="Normal 3 5 2 6 4 2 5 2" xfId="9349"/>
    <cellStyle name="Normal 3 5 2 6 4 2 6" xfId="9350"/>
    <cellStyle name="Normal 3 5 2 6 4 2 6 2" xfId="9351"/>
    <cellStyle name="Normal 3 5 2 6 4 2 7" xfId="9352"/>
    <cellStyle name="Normal 3 5 2 6 4 3" xfId="9353"/>
    <cellStyle name="Normal 3 5 2 6 4 3 2" xfId="9354"/>
    <cellStyle name="Normal 3 5 2 6 4 3 2 2" xfId="9355"/>
    <cellStyle name="Normal 3 5 2 6 4 3 3" xfId="9356"/>
    <cellStyle name="Normal 3 5 2 6 4 3 3 2" xfId="9357"/>
    <cellStyle name="Normal 3 5 2 6 4 3 4" xfId="9358"/>
    <cellStyle name="Normal 3 5 2 6 4 3 4 2" xfId="9359"/>
    <cellStyle name="Normal 3 5 2 6 4 3 5" xfId="9360"/>
    <cellStyle name="Normal 3 5 2 6 4 4" xfId="9361"/>
    <cellStyle name="Normal 3 5 2 6 4 4 2" xfId="9362"/>
    <cellStyle name="Normal 3 5 2 6 4 4 2 2" xfId="9363"/>
    <cellStyle name="Normal 3 5 2 6 4 4 3" xfId="9364"/>
    <cellStyle name="Normal 3 5 2 6 4 4 3 2" xfId="9365"/>
    <cellStyle name="Normal 3 5 2 6 4 4 4" xfId="9366"/>
    <cellStyle name="Normal 3 5 2 6 4 4 4 2" xfId="9367"/>
    <cellStyle name="Normal 3 5 2 6 4 4 5" xfId="9368"/>
    <cellStyle name="Normal 3 5 2 6 4 5" xfId="9369"/>
    <cellStyle name="Normal 3 5 2 6 4 5 2" xfId="9370"/>
    <cellStyle name="Normal 3 5 2 6 4 6" xfId="9371"/>
    <cellStyle name="Normal 3 5 2 6 4 6 2" xfId="9372"/>
    <cellStyle name="Normal 3 5 2 6 4 7" xfId="9373"/>
    <cellStyle name="Normal 3 5 2 6 4 7 2" xfId="9374"/>
    <cellStyle name="Normal 3 5 2 6 4 8" xfId="9375"/>
    <cellStyle name="Normal 3 5 2 6 5" xfId="9376"/>
    <cellStyle name="Normal 3 5 2 6 5 2" xfId="9377"/>
    <cellStyle name="Normal 3 5 2 6 5 2 2" xfId="9378"/>
    <cellStyle name="Normal 3 5 2 6 5 2 2 2" xfId="9379"/>
    <cellStyle name="Normal 3 5 2 6 5 2 2 2 2" xfId="9380"/>
    <cellStyle name="Normal 3 5 2 6 5 2 2 3" xfId="9381"/>
    <cellStyle name="Normal 3 5 2 6 5 2 2 3 2" xfId="9382"/>
    <cellStyle name="Normal 3 5 2 6 5 2 2 4" xfId="9383"/>
    <cellStyle name="Normal 3 5 2 6 5 2 2 4 2" xfId="9384"/>
    <cellStyle name="Normal 3 5 2 6 5 2 2 5" xfId="9385"/>
    <cellStyle name="Normal 3 5 2 6 5 2 3" xfId="9386"/>
    <cellStyle name="Normal 3 5 2 6 5 2 3 2" xfId="9387"/>
    <cellStyle name="Normal 3 5 2 6 5 2 3 2 2" xfId="9388"/>
    <cellStyle name="Normal 3 5 2 6 5 2 3 3" xfId="9389"/>
    <cellStyle name="Normal 3 5 2 6 5 2 3 3 2" xfId="9390"/>
    <cellStyle name="Normal 3 5 2 6 5 2 3 4" xfId="9391"/>
    <cellStyle name="Normal 3 5 2 6 5 2 3 4 2" xfId="9392"/>
    <cellStyle name="Normal 3 5 2 6 5 2 3 5" xfId="9393"/>
    <cellStyle name="Normal 3 5 2 6 5 2 4" xfId="9394"/>
    <cellStyle name="Normal 3 5 2 6 5 2 4 2" xfId="9395"/>
    <cellStyle name="Normal 3 5 2 6 5 2 5" xfId="9396"/>
    <cellStyle name="Normal 3 5 2 6 5 2 5 2" xfId="9397"/>
    <cellStyle name="Normal 3 5 2 6 5 2 6" xfId="9398"/>
    <cellStyle name="Normal 3 5 2 6 5 2 6 2" xfId="9399"/>
    <cellStyle name="Normal 3 5 2 6 5 2 7" xfId="9400"/>
    <cellStyle name="Normal 3 5 2 6 5 3" xfId="9401"/>
    <cellStyle name="Normal 3 5 2 6 5 3 2" xfId="9402"/>
    <cellStyle name="Normal 3 5 2 6 5 3 2 2" xfId="9403"/>
    <cellStyle name="Normal 3 5 2 6 5 3 3" xfId="9404"/>
    <cellStyle name="Normal 3 5 2 6 5 3 3 2" xfId="9405"/>
    <cellStyle name="Normal 3 5 2 6 5 3 4" xfId="9406"/>
    <cellStyle name="Normal 3 5 2 6 5 3 4 2" xfId="9407"/>
    <cellStyle name="Normal 3 5 2 6 5 3 5" xfId="9408"/>
    <cellStyle name="Normal 3 5 2 6 5 4" xfId="9409"/>
    <cellStyle name="Normal 3 5 2 6 5 4 2" xfId="9410"/>
    <cellStyle name="Normal 3 5 2 6 5 4 2 2" xfId="9411"/>
    <cellStyle name="Normal 3 5 2 6 5 4 3" xfId="9412"/>
    <cellStyle name="Normal 3 5 2 6 5 4 3 2" xfId="9413"/>
    <cellStyle name="Normal 3 5 2 6 5 4 4" xfId="9414"/>
    <cellStyle name="Normal 3 5 2 6 5 4 4 2" xfId="9415"/>
    <cellStyle name="Normal 3 5 2 6 5 4 5" xfId="9416"/>
    <cellStyle name="Normal 3 5 2 6 5 5" xfId="9417"/>
    <cellStyle name="Normal 3 5 2 6 5 5 2" xfId="9418"/>
    <cellStyle name="Normal 3 5 2 6 5 6" xfId="9419"/>
    <cellStyle name="Normal 3 5 2 6 5 6 2" xfId="9420"/>
    <cellStyle name="Normal 3 5 2 6 5 7" xfId="9421"/>
    <cellStyle name="Normal 3 5 2 6 5 7 2" xfId="9422"/>
    <cellStyle name="Normal 3 5 2 6 5 8" xfId="9423"/>
    <cellStyle name="Normal 3 5 2 6 6" xfId="9424"/>
    <cellStyle name="Normal 3 5 2 6 6 2" xfId="9425"/>
    <cellStyle name="Normal 3 5 2 6 6 2 2" xfId="9426"/>
    <cellStyle name="Normal 3 5 2 6 6 2 2 2" xfId="9427"/>
    <cellStyle name="Normal 3 5 2 6 6 2 2 2 2" xfId="9428"/>
    <cellStyle name="Normal 3 5 2 6 6 2 2 3" xfId="9429"/>
    <cellStyle name="Normal 3 5 2 6 6 2 2 3 2" xfId="9430"/>
    <cellStyle name="Normal 3 5 2 6 6 2 2 4" xfId="9431"/>
    <cellStyle name="Normal 3 5 2 6 6 2 2 4 2" xfId="9432"/>
    <cellStyle name="Normal 3 5 2 6 6 2 2 5" xfId="9433"/>
    <cellStyle name="Normal 3 5 2 6 6 2 3" xfId="9434"/>
    <cellStyle name="Normal 3 5 2 6 6 2 3 2" xfId="9435"/>
    <cellStyle name="Normal 3 5 2 6 6 2 3 2 2" xfId="9436"/>
    <cellStyle name="Normal 3 5 2 6 6 2 3 3" xfId="9437"/>
    <cellStyle name="Normal 3 5 2 6 6 2 3 3 2" xfId="9438"/>
    <cellStyle name="Normal 3 5 2 6 6 2 3 4" xfId="9439"/>
    <cellStyle name="Normal 3 5 2 6 6 2 3 4 2" xfId="9440"/>
    <cellStyle name="Normal 3 5 2 6 6 2 3 5" xfId="9441"/>
    <cellStyle name="Normal 3 5 2 6 6 2 4" xfId="9442"/>
    <cellStyle name="Normal 3 5 2 6 6 2 4 2" xfId="9443"/>
    <cellStyle name="Normal 3 5 2 6 6 2 5" xfId="9444"/>
    <cellStyle name="Normal 3 5 2 6 6 2 5 2" xfId="9445"/>
    <cellStyle name="Normal 3 5 2 6 6 2 6" xfId="9446"/>
    <cellStyle name="Normal 3 5 2 6 6 2 6 2" xfId="9447"/>
    <cellStyle name="Normal 3 5 2 6 6 2 7" xfId="9448"/>
    <cellStyle name="Normal 3 5 2 6 6 3" xfId="9449"/>
    <cellStyle name="Normal 3 5 2 6 6 3 2" xfId="9450"/>
    <cellStyle name="Normal 3 5 2 6 6 3 2 2" xfId="9451"/>
    <cellStyle name="Normal 3 5 2 6 6 3 3" xfId="9452"/>
    <cellStyle name="Normal 3 5 2 6 6 3 3 2" xfId="9453"/>
    <cellStyle name="Normal 3 5 2 6 6 3 4" xfId="9454"/>
    <cellStyle name="Normal 3 5 2 6 6 3 4 2" xfId="9455"/>
    <cellStyle name="Normal 3 5 2 6 6 3 5" xfId="9456"/>
    <cellStyle name="Normal 3 5 2 6 6 4" xfId="9457"/>
    <cellStyle name="Normal 3 5 2 6 6 4 2" xfId="9458"/>
    <cellStyle name="Normal 3 5 2 6 6 4 2 2" xfId="9459"/>
    <cellStyle name="Normal 3 5 2 6 6 4 3" xfId="9460"/>
    <cellStyle name="Normal 3 5 2 6 6 4 3 2" xfId="9461"/>
    <cellStyle name="Normal 3 5 2 6 6 4 4" xfId="9462"/>
    <cellStyle name="Normal 3 5 2 6 6 4 4 2" xfId="9463"/>
    <cellStyle name="Normal 3 5 2 6 6 4 5" xfId="9464"/>
    <cellStyle name="Normal 3 5 2 6 6 5" xfId="9465"/>
    <cellStyle name="Normal 3 5 2 6 6 5 2" xfId="9466"/>
    <cellStyle name="Normal 3 5 2 6 6 6" xfId="9467"/>
    <cellStyle name="Normal 3 5 2 6 6 6 2" xfId="9468"/>
    <cellStyle name="Normal 3 5 2 6 6 7" xfId="9469"/>
    <cellStyle name="Normal 3 5 2 6 6 7 2" xfId="9470"/>
    <cellStyle name="Normal 3 5 2 6 6 8" xfId="9471"/>
    <cellStyle name="Normal 3 5 2 6 7" xfId="9472"/>
    <cellStyle name="Normal 3 5 2 6 7 2" xfId="9473"/>
    <cellStyle name="Normal 3 5 2 6 7 2 2" xfId="9474"/>
    <cellStyle name="Normal 3 5 2 6 7 2 2 2" xfId="9475"/>
    <cellStyle name="Normal 3 5 2 6 7 2 3" xfId="9476"/>
    <cellStyle name="Normal 3 5 2 6 7 2 3 2" xfId="9477"/>
    <cellStyle name="Normal 3 5 2 6 7 2 4" xfId="9478"/>
    <cellStyle name="Normal 3 5 2 6 7 2 4 2" xfId="9479"/>
    <cellStyle name="Normal 3 5 2 6 7 2 5" xfId="9480"/>
    <cellStyle name="Normal 3 5 2 6 7 3" xfId="9481"/>
    <cellStyle name="Normal 3 5 2 6 7 3 2" xfId="9482"/>
    <cellStyle name="Normal 3 5 2 6 7 3 2 2" xfId="9483"/>
    <cellStyle name="Normal 3 5 2 6 7 3 3" xfId="9484"/>
    <cellStyle name="Normal 3 5 2 6 7 3 3 2" xfId="9485"/>
    <cellStyle name="Normal 3 5 2 6 7 3 4" xfId="9486"/>
    <cellStyle name="Normal 3 5 2 6 7 3 4 2" xfId="9487"/>
    <cellStyle name="Normal 3 5 2 6 7 3 5" xfId="9488"/>
    <cellStyle name="Normal 3 5 2 6 7 4" xfId="9489"/>
    <cellStyle name="Normal 3 5 2 6 7 4 2" xfId="9490"/>
    <cellStyle name="Normal 3 5 2 6 7 5" xfId="9491"/>
    <cellStyle name="Normal 3 5 2 6 7 5 2" xfId="9492"/>
    <cellStyle name="Normal 3 5 2 6 7 6" xfId="9493"/>
    <cellStyle name="Normal 3 5 2 6 7 6 2" xfId="9494"/>
    <cellStyle name="Normal 3 5 2 6 7 7" xfId="9495"/>
    <cellStyle name="Normal 3 5 2 6 8" xfId="9496"/>
    <cellStyle name="Normal 3 5 2 6 8 2" xfId="9497"/>
    <cellStyle name="Normal 3 5 2 6 8 2 2" xfId="9498"/>
    <cellStyle name="Normal 3 5 2 6 8 3" xfId="9499"/>
    <cellStyle name="Normal 3 5 2 6 8 3 2" xfId="9500"/>
    <cellStyle name="Normal 3 5 2 6 8 4" xfId="9501"/>
    <cellStyle name="Normal 3 5 2 6 8 4 2" xfId="9502"/>
    <cellStyle name="Normal 3 5 2 6 8 5" xfId="9503"/>
    <cellStyle name="Normal 3 5 2 6 9" xfId="9504"/>
    <cellStyle name="Normal 3 5 2 6 9 2" xfId="9505"/>
    <cellStyle name="Normal 3 5 2 6 9 2 2" xfId="9506"/>
    <cellStyle name="Normal 3 5 2 6 9 3" xfId="9507"/>
    <cellStyle name="Normal 3 5 2 6 9 3 2" xfId="9508"/>
    <cellStyle name="Normal 3 5 2 6 9 4" xfId="9509"/>
    <cellStyle name="Normal 3 5 2 6 9 4 2" xfId="9510"/>
    <cellStyle name="Normal 3 5 2 6 9 5" xfId="9511"/>
    <cellStyle name="Normal 3 5 2 7" xfId="9512"/>
    <cellStyle name="Normal 3 5 2 7 2" xfId="9513"/>
    <cellStyle name="Normal 3 5 2 7 2 2" xfId="9514"/>
    <cellStyle name="Normal 3 5 2 7 2 2 2" xfId="9515"/>
    <cellStyle name="Normal 3 5 2 7 2 2 2 2" xfId="9516"/>
    <cellStyle name="Normal 3 5 2 7 2 2 3" xfId="9517"/>
    <cellStyle name="Normal 3 5 2 7 2 2 3 2" xfId="9518"/>
    <cellStyle name="Normal 3 5 2 7 2 2 4" xfId="9519"/>
    <cellStyle name="Normal 3 5 2 7 2 2 4 2" xfId="9520"/>
    <cellStyle name="Normal 3 5 2 7 2 2 5" xfId="9521"/>
    <cellStyle name="Normal 3 5 2 7 2 3" xfId="9522"/>
    <cellStyle name="Normal 3 5 2 7 2 3 2" xfId="9523"/>
    <cellStyle name="Normal 3 5 2 7 2 3 2 2" xfId="9524"/>
    <cellStyle name="Normal 3 5 2 7 2 3 3" xfId="9525"/>
    <cellStyle name="Normal 3 5 2 7 2 3 3 2" xfId="9526"/>
    <cellStyle name="Normal 3 5 2 7 2 3 4" xfId="9527"/>
    <cellStyle name="Normal 3 5 2 7 2 3 4 2" xfId="9528"/>
    <cellStyle name="Normal 3 5 2 7 2 3 5" xfId="9529"/>
    <cellStyle name="Normal 3 5 2 7 2 4" xfId="9530"/>
    <cellStyle name="Normal 3 5 2 7 2 4 2" xfId="9531"/>
    <cellStyle name="Normal 3 5 2 7 2 5" xfId="9532"/>
    <cellStyle name="Normal 3 5 2 7 2 5 2" xfId="9533"/>
    <cellStyle name="Normal 3 5 2 7 2 6" xfId="9534"/>
    <cellStyle name="Normal 3 5 2 7 2 6 2" xfId="9535"/>
    <cellStyle name="Normal 3 5 2 7 2 7" xfId="9536"/>
    <cellStyle name="Normal 3 5 2 7 3" xfId="9537"/>
    <cellStyle name="Normal 3 5 2 7 3 2" xfId="9538"/>
    <cellStyle name="Normal 3 5 2 7 3 2 2" xfId="9539"/>
    <cellStyle name="Normal 3 5 2 7 3 3" xfId="9540"/>
    <cellStyle name="Normal 3 5 2 7 3 3 2" xfId="9541"/>
    <cellStyle name="Normal 3 5 2 7 3 4" xfId="9542"/>
    <cellStyle name="Normal 3 5 2 7 3 4 2" xfId="9543"/>
    <cellStyle name="Normal 3 5 2 7 3 5" xfId="9544"/>
    <cellStyle name="Normal 3 5 2 7 4" xfId="9545"/>
    <cellStyle name="Normal 3 5 2 7 4 2" xfId="9546"/>
    <cellStyle name="Normal 3 5 2 7 4 2 2" xfId="9547"/>
    <cellStyle name="Normal 3 5 2 7 4 3" xfId="9548"/>
    <cellStyle name="Normal 3 5 2 7 4 3 2" xfId="9549"/>
    <cellStyle name="Normal 3 5 2 7 4 4" xfId="9550"/>
    <cellStyle name="Normal 3 5 2 7 4 4 2" xfId="9551"/>
    <cellStyle name="Normal 3 5 2 7 4 5" xfId="9552"/>
    <cellStyle name="Normal 3 5 2 7 5" xfId="9553"/>
    <cellStyle name="Normal 3 5 2 7 5 2" xfId="9554"/>
    <cellStyle name="Normal 3 5 2 7 6" xfId="9555"/>
    <cellStyle name="Normal 3 5 2 7 6 2" xfId="9556"/>
    <cellStyle name="Normal 3 5 2 7 7" xfId="9557"/>
    <cellStyle name="Normal 3 5 2 7 7 2" xfId="9558"/>
    <cellStyle name="Normal 3 5 2 7 8" xfId="9559"/>
    <cellStyle name="Normal 3 5 2 8" xfId="9560"/>
    <cellStyle name="Normal 3 5 2 8 2" xfId="9561"/>
    <cellStyle name="Normal 3 5 2 8 2 2" xfId="9562"/>
    <cellStyle name="Normal 3 5 2 8 2 2 2" xfId="9563"/>
    <cellStyle name="Normal 3 5 2 8 2 2 2 2" xfId="9564"/>
    <cellStyle name="Normal 3 5 2 8 2 2 3" xfId="9565"/>
    <cellStyle name="Normal 3 5 2 8 2 2 3 2" xfId="9566"/>
    <cellStyle name="Normal 3 5 2 8 2 2 4" xfId="9567"/>
    <cellStyle name="Normal 3 5 2 8 2 2 4 2" xfId="9568"/>
    <cellStyle name="Normal 3 5 2 8 2 2 5" xfId="9569"/>
    <cellStyle name="Normal 3 5 2 8 2 3" xfId="9570"/>
    <cellStyle name="Normal 3 5 2 8 2 3 2" xfId="9571"/>
    <cellStyle name="Normal 3 5 2 8 2 3 2 2" xfId="9572"/>
    <cellStyle name="Normal 3 5 2 8 2 3 3" xfId="9573"/>
    <cellStyle name="Normal 3 5 2 8 2 3 3 2" xfId="9574"/>
    <cellStyle name="Normal 3 5 2 8 2 3 4" xfId="9575"/>
    <cellStyle name="Normal 3 5 2 8 2 3 4 2" xfId="9576"/>
    <cellStyle name="Normal 3 5 2 8 2 3 5" xfId="9577"/>
    <cellStyle name="Normal 3 5 2 8 2 4" xfId="9578"/>
    <cellStyle name="Normal 3 5 2 8 2 4 2" xfId="9579"/>
    <cellStyle name="Normal 3 5 2 8 2 5" xfId="9580"/>
    <cellStyle name="Normal 3 5 2 8 2 5 2" xfId="9581"/>
    <cellStyle name="Normal 3 5 2 8 2 6" xfId="9582"/>
    <cellStyle name="Normal 3 5 2 8 2 6 2" xfId="9583"/>
    <cellStyle name="Normal 3 5 2 8 2 7" xfId="9584"/>
    <cellStyle name="Normal 3 5 2 8 3" xfId="9585"/>
    <cellStyle name="Normal 3 5 2 8 3 2" xfId="9586"/>
    <cellStyle name="Normal 3 5 2 8 3 2 2" xfId="9587"/>
    <cellStyle name="Normal 3 5 2 8 3 3" xfId="9588"/>
    <cellStyle name="Normal 3 5 2 8 3 3 2" xfId="9589"/>
    <cellStyle name="Normal 3 5 2 8 3 4" xfId="9590"/>
    <cellStyle name="Normal 3 5 2 8 3 4 2" xfId="9591"/>
    <cellStyle name="Normal 3 5 2 8 3 5" xfId="9592"/>
    <cellStyle name="Normal 3 5 2 8 4" xfId="9593"/>
    <cellStyle name="Normal 3 5 2 8 4 2" xfId="9594"/>
    <cellStyle name="Normal 3 5 2 8 4 2 2" xfId="9595"/>
    <cellStyle name="Normal 3 5 2 8 4 3" xfId="9596"/>
    <cellStyle name="Normal 3 5 2 8 4 3 2" xfId="9597"/>
    <cellStyle name="Normal 3 5 2 8 4 4" xfId="9598"/>
    <cellStyle name="Normal 3 5 2 8 4 4 2" xfId="9599"/>
    <cellStyle name="Normal 3 5 2 8 4 5" xfId="9600"/>
    <cellStyle name="Normal 3 5 2 8 5" xfId="9601"/>
    <cellStyle name="Normal 3 5 2 8 5 2" xfId="9602"/>
    <cellStyle name="Normal 3 5 2 8 6" xfId="9603"/>
    <cellStyle name="Normal 3 5 2 8 6 2" xfId="9604"/>
    <cellStyle name="Normal 3 5 2 8 7" xfId="9605"/>
    <cellStyle name="Normal 3 5 2 8 7 2" xfId="9606"/>
    <cellStyle name="Normal 3 5 2 8 8" xfId="9607"/>
    <cellStyle name="Normal 3 5 2 9" xfId="9608"/>
    <cellStyle name="Normal 3 5 2 9 2" xfId="9609"/>
    <cellStyle name="Normal 3 5 2 9 2 2" xfId="9610"/>
    <cellStyle name="Normal 3 5 2 9 2 2 2" xfId="9611"/>
    <cellStyle name="Normal 3 5 2 9 2 2 2 2" xfId="9612"/>
    <cellStyle name="Normal 3 5 2 9 2 2 3" xfId="9613"/>
    <cellStyle name="Normal 3 5 2 9 2 2 3 2" xfId="9614"/>
    <cellStyle name="Normal 3 5 2 9 2 2 4" xfId="9615"/>
    <cellStyle name="Normal 3 5 2 9 2 2 4 2" xfId="9616"/>
    <cellStyle name="Normal 3 5 2 9 2 2 5" xfId="9617"/>
    <cellStyle name="Normal 3 5 2 9 2 3" xfId="9618"/>
    <cellStyle name="Normal 3 5 2 9 2 3 2" xfId="9619"/>
    <cellStyle name="Normal 3 5 2 9 2 3 2 2" xfId="9620"/>
    <cellStyle name="Normal 3 5 2 9 2 3 3" xfId="9621"/>
    <cellStyle name="Normal 3 5 2 9 2 3 3 2" xfId="9622"/>
    <cellStyle name="Normal 3 5 2 9 2 3 4" xfId="9623"/>
    <cellStyle name="Normal 3 5 2 9 2 3 4 2" xfId="9624"/>
    <cellStyle name="Normal 3 5 2 9 2 3 5" xfId="9625"/>
    <cellStyle name="Normal 3 5 2 9 2 4" xfId="9626"/>
    <cellStyle name="Normal 3 5 2 9 2 4 2" xfId="9627"/>
    <cellStyle name="Normal 3 5 2 9 2 5" xfId="9628"/>
    <cellStyle name="Normal 3 5 2 9 2 5 2" xfId="9629"/>
    <cellStyle name="Normal 3 5 2 9 2 6" xfId="9630"/>
    <cellStyle name="Normal 3 5 2 9 2 6 2" xfId="9631"/>
    <cellStyle name="Normal 3 5 2 9 2 7" xfId="9632"/>
    <cellStyle name="Normal 3 5 2 9 3" xfId="9633"/>
    <cellStyle name="Normal 3 5 2 9 3 2" xfId="9634"/>
    <cellStyle name="Normal 3 5 2 9 3 2 2" xfId="9635"/>
    <cellStyle name="Normal 3 5 2 9 3 3" xfId="9636"/>
    <cellStyle name="Normal 3 5 2 9 3 3 2" xfId="9637"/>
    <cellStyle name="Normal 3 5 2 9 3 4" xfId="9638"/>
    <cellStyle name="Normal 3 5 2 9 3 4 2" xfId="9639"/>
    <cellStyle name="Normal 3 5 2 9 3 5" xfId="9640"/>
    <cellStyle name="Normal 3 5 2 9 4" xfId="9641"/>
    <cellStyle name="Normal 3 5 2 9 4 2" xfId="9642"/>
    <cellStyle name="Normal 3 5 2 9 4 2 2" xfId="9643"/>
    <cellStyle name="Normal 3 5 2 9 4 3" xfId="9644"/>
    <cellStyle name="Normal 3 5 2 9 4 3 2" xfId="9645"/>
    <cellStyle name="Normal 3 5 2 9 4 4" xfId="9646"/>
    <cellStyle name="Normal 3 5 2 9 4 4 2" xfId="9647"/>
    <cellStyle name="Normal 3 5 2 9 4 5" xfId="9648"/>
    <cellStyle name="Normal 3 5 2 9 5" xfId="9649"/>
    <cellStyle name="Normal 3 5 2 9 5 2" xfId="9650"/>
    <cellStyle name="Normal 3 5 2 9 6" xfId="9651"/>
    <cellStyle name="Normal 3 5 2 9 6 2" xfId="9652"/>
    <cellStyle name="Normal 3 5 2 9 7" xfId="9653"/>
    <cellStyle name="Normal 3 5 2 9 7 2" xfId="9654"/>
    <cellStyle name="Normal 3 5 2 9 8" xfId="9655"/>
    <cellStyle name="Normal 3 5 2_Input" xfId="2032"/>
    <cellStyle name="Normal 3 5 3" xfId="1988"/>
    <cellStyle name="Normal 3 5 3 10" xfId="9656"/>
    <cellStyle name="Normal 3 5 3 10 2" xfId="9657"/>
    <cellStyle name="Normal 3 5 3 10 2 2" xfId="9658"/>
    <cellStyle name="Normal 3 5 3 10 3" xfId="9659"/>
    <cellStyle name="Normal 3 5 3 10 3 2" xfId="9660"/>
    <cellStyle name="Normal 3 5 3 10 4" xfId="9661"/>
    <cellStyle name="Normal 3 5 3 10 4 2" xfId="9662"/>
    <cellStyle name="Normal 3 5 3 10 5" xfId="9663"/>
    <cellStyle name="Normal 3 5 3 11" xfId="9664"/>
    <cellStyle name="Normal 3 5 3 11 2" xfId="9665"/>
    <cellStyle name="Normal 3 5 3 12" xfId="9666"/>
    <cellStyle name="Normal 3 5 3 12 2" xfId="9667"/>
    <cellStyle name="Normal 3 5 3 13" xfId="9668"/>
    <cellStyle name="Normal 3 5 3 13 2" xfId="9669"/>
    <cellStyle name="Normal 3 5 3 14" xfId="9670"/>
    <cellStyle name="Normal 3 5 3 2" xfId="9671"/>
    <cellStyle name="Normal 3 5 3 2 10" xfId="9672"/>
    <cellStyle name="Normal 3 5 3 2 10 2" xfId="9673"/>
    <cellStyle name="Normal 3 5 3 2 11" xfId="9674"/>
    <cellStyle name="Normal 3 5 3 2 11 2" xfId="9675"/>
    <cellStyle name="Normal 3 5 3 2 12" xfId="9676"/>
    <cellStyle name="Normal 3 5 3 2 12 2" xfId="9677"/>
    <cellStyle name="Normal 3 5 3 2 13" xfId="9678"/>
    <cellStyle name="Normal 3 5 3 2 2" xfId="9679"/>
    <cellStyle name="Normal 3 5 3 2 2 2" xfId="9680"/>
    <cellStyle name="Normal 3 5 3 2 2 2 2" xfId="9681"/>
    <cellStyle name="Normal 3 5 3 2 2 2 2 2" xfId="9682"/>
    <cellStyle name="Normal 3 5 3 2 2 2 2 2 2" xfId="9683"/>
    <cellStyle name="Normal 3 5 3 2 2 2 2 3" xfId="9684"/>
    <cellStyle name="Normal 3 5 3 2 2 2 2 3 2" xfId="9685"/>
    <cellStyle name="Normal 3 5 3 2 2 2 2 4" xfId="9686"/>
    <cellStyle name="Normal 3 5 3 2 2 2 2 4 2" xfId="9687"/>
    <cellStyle name="Normal 3 5 3 2 2 2 2 5" xfId="9688"/>
    <cellStyle name="Normal 3 5 3 2 2 2 3" xfId="9689"/>
    <cellStyle name="Normal 3 5 3 2 2 2 3 2" xfId="9690"/>
    <cellStyle name="Normal 3 5 3 2 2 2 3 2 2" xfId="9691"/>
    <cellStyle name="Normal 3 5 3 2 2 2 3 3" xfId="9692"/>
    <cellStyle name="Normal 3 5 3 2 2 2 3 3 2" xfId="9693"/>
    <cellStyle name="Normal 3 5 3 2 2 2 3 4" xfId="9694"/>
    <cellStyle name="Normal 3 5 3 2 2 2 3 4 2" xfId="9695"/>
    <cellStyle name="Normal 3 5 3 2 2 2 3 5" xfId="9696"/>
    <cellStyle name="Normal 3 5 3 2 2 2 4" xfId="9697"/>
    <cellStyle name="Normal 3 5 3 2 2 2 4 2" xfId="9698"/>
    <cellStyle name="Normal 3 5 3 2 2 2 5" xfId="9699"/>
    <cellStyle name="Normal 3 5 3 2 2 2 5 2" xfId="9700"/>
    <cellStyle name="Normal 3 5 3 2 2 2 6" xfId="9701"/>
    <cellStyle name="Normal 3 5 3 2 2 2 6 2" xfId="9702"/>
    <cellStyle name="Normal 3 5 3 2 2 2 7" xfId="9703"/>
    <cellStyle name="Normal 3 5 3 2 2 3" xfId="9704"/>
    <cellStyle name="Normal 3 5 3 2 2 3 2" xfId="9705"/>
    <cellStyle name="Normal 3 5 3 2 2 3 2 2" xfId="9706"/>
    <cellStyle name="Normal 3 5 3 2 2 3 3" xfId="9707"/>
    <cellStyle name="Normal 3 5 3 2 2 3 3 2" xfId="9708"/>
    <cellStyle name="Normal 3 5 3 2 2 3 4" xfId="9709"/>
    <cellStyle name="Normal 3 5 3 2 2 3 4 2" xfId="9710"/>
    <cellStyle name="Normal 3 5 3 2 2 3 5" xfId="9711"/>
    <cellStyle name="Normal 3 5 3 2 2 4" xfId="9712"/>
    <cellStyle name="Normal 3 5 3 2 2 4 2" xfId="9713"/>
    <cellStyle name="Normal 3 5 3 2 2 4 2 2" xfId="9714"/>
    <cellStyle name="Normal 3 5 3 2 2 4 3" xfId="9715"/>
    <cellStyle name="Normal 3 5 3 2 2 4 3 2" xfId="9716"/>
    <cellStyle name="Normal 3 5 3 2 2 4 4" xfId="9717"/>
    <cellStyle name="Normal 3 5 3 2 2 4 4 2" xfId="9718"/>
    <cellStyle name="Normal 3 5 3 2 2 4 5" xfId="9719"/>
    <cellStyle name="Normal 3 5 3 2 2 5" xfId="9720"/>
    <cellStyle name="Normal 3 5 3 2 2 5 2" xfId="9721"/>
    <cellStyle name="Normal 3 5 3 2 2 6" xfId="9722"/>
    <cellStyle name="Normal 3 5 3 2 2 6 2" xfId="9723"/>
    <cellStyle name="Normal 3 5 3 2 2 7" xfId="9724"/>
    <cellStyle name="Normal 3 5 3 2 2 7 2" xfId="9725"/>
    <cellStyle name="Normal 3 5 3 2 2 8" xfId="9726"/>
    <cellStyle name="Normal 3 5 3 2 3" xfId="9727"/>
    <cellStyle name="Normal 3 5 3 2 3 2" xfId="9728"/>
    <cellStyle name="Normal 3 5 3 2 3 2 2" xfId="9729"/>
    <cellStyle name="Normal 3 5 3 2 3 2 2 2" xfId="9730"/>
    <cellStyle name="Normal 3 5 3 2 3 2 2 2 2" xfId="9731"/>
    <cellStyle name="Normal 3 5 3 2 3 2 2 3" xfId="9732"/>
    <cellStyle name="Normal 3 5 3 2 3 2 2 3 2" xfId="9733"/>
    <cellStyle name="Normal 3 5 3 2 3 2 2 4" xfId="9734"/>
    <cellStyle name="Normal 3 5 3 2 3 2 2 4 2" xfId="9735"/>
    <cellStyle name="Normal 3 5 3 2 3 2 2 5" xfId="9736"/>
    <cellStyle name="Normal 3 5 3 2 3 2 3" xfId="9737"/>
    <cellStyle name="Normal 3 5 3 2 3 2 3 2" xfId="9738"/>
    <cellStyle name="Normal 3 5 3 2 3 2 3 2 2" xfId="9739"/>
    <cellStyle name="Normal 3 5 3 2 3 2 3 3" xfId="9740"/>
    <cellStyle name="Normal 3 5 3 2 3 2 3 3 2" xfId="9741"/>
    <cellStyle name="Normal 3 5 3 2 3 2 3 4" xfId="9742"/>
    <cellStyle name="Normal 3 5 3 2 3 2 3 4 2" xfId="9743"/>
    <cellStyle name="Normal 3 5 3 2 3 2 3 5" xfId="9744"/>
    <cellStyle name="Normal 3 5 3 2 3 2 4" xfId="9745"/>
    <cellStyle name="Normal 3 5 3 2 3 2 4 2" xfId="9746"/>
    <cellStyle name="Normal 3 5 3 2 3 2 5" xfId="9747"/>
    <cellStyle name="Normal 3 5 3 2 3 2 5 2" xfId="9748"/>
    <cellStyle name="Normal 3 5 3 2 3 2 6" xfId="9749"/>
    <cellStyle name="Normal 3 5 3 2 3 2 6 2" xfId="9750"/>
    <cellStyle name="Normal 3 5 3 2 3 2 7" xfId="9751"/>
    <cellStyle name="Normal 3 5 3 2 3 3" xfId="9752"/>
    <cellStyle name="Normal 3 5 3 2 3 3 2" xfId="9753"/>
    <cellStyle name="Normal 3 5 3 2 3 3 2 2" xfId="9754"/>
    <cellStyle name="Normal 3 5 3 2 3 3 3" xfId="9755"/>
    <cellStyle name="Normal 3 5 3 2 3 3 3 2" xfId="9756"/>
    <cellStyle name="Normal 3 5 3 2 3 3 4" xfId="9757"/>
    <cellStyle name="Normal 3 5 3 2 3 3 4 2" xfId="9758"/>
    <cellStyle name="Normal 3 5 3 2 3 3 5" xfId="9759"/>
    <cellStyle name="Normal 3 5 3 2 3 4" xfId="9760"/>
    <cellStyle name="Normal 3 5 3 2 3 4 2" xfId="9761"/>
    <cellStyle name="Normal 3 5 3 2 3 4 2 2" xfId="9762"/>
    <cellStyle name="Normal 3 5 3 2 3 4 3" xfId="9763"/>
    <cellStyle name="Normal 3 5 3 2 3 4 3 2" xfId="9764"/>
    <cellStyle name="Normal 3 5 3 2 3 4 4" xfId="9765"/>
    <cellStyle name="Normal 3 5 3 2 3 4 4 2" xfId="9766"/>
    <cellStyle name="Normal 3 5 3 2 3 4 5" xfId="9767"/>
    <cellStyle name="Normal 3 5 3 2 3 5" xfId="9768"/>
    <cellStyle name="Normal 3 5 3 2 3 5 2" xfId="9769"/>
    <cellStyle name="Normal 3 5 3 2 3 6" xfId="9770"/>
    <cellStyle name="Normal 3 5 3 2 3 6 2" xfId="9771"/>
    <cellStyle name="Normal 3 5 3 2 3 7" xfId="9772"/>
    <cellStyle name="Normal 3 5 3 2 3 7 2" xfId="9773"/>
    <cellStyle name="Normal 3 5 3 2 3 8" xfId="9774"/>
    <cellStyle name="Normal 3 5 3 2 4" xfId="9775"/>
    <cellStyle name="Normal 3 5 3 2 4 2" xfId="9776"/>
    <cellStyle name="Normal 3 5 3 2 4 2 2" xfId="9777"/>
    <cellStyle name="Normal 3 5 3 2 4 2 2 2" xfId="9778"/>
    <cellStyle name="Normal 3 5 3 2 4 2 2 2 2" xfId="9779"/>
    <cellStyle name="Normal 3 5 3 2 4 2 2 3" xfId="9780"/>
    <cellStyle name="Normal 3 5 3 2 4 2 2 3 2" xfId="9781"/>
    <cellStyle name="Normal 3 5 3 2 4 2 2 4" xfId="9782"/>
    <cellStyle name="Normal 3 5 3 2 4 2 2 4 2" xfId="9783"/>
    <cellStyle name="Normal 3 5 3 2 4 2 2 5" xfId="9784"/>
    <cellStyle name="Normal 3 5 3 2 4 2 3" xfId="9785"/>
    <cellStyle name="Normal 3 5 3 2 4 2 3 2" xfId="9786"/>
    <cellStyle name="Normal 3 5 3 2 4 2 3 2 2" xfId="9787"/>
    <cellStyle name="Normal 3 5 3 2 4 2 3 3" xfId="9788"/>
    <cellStyle name="Normal 3 5 3 2 4 2 3 3 2" xfId="9789"/>
    <cellStyle name="Normal 3 5 3 2 4 2 3 4" xfId="9790"/>
    <cellStyle name="Normal 3 5 3 2 4 2 3 4 2" xfId="9791"/>
    <cellStyle name="Normal 3 5 3 2 4 2 3 5" xfId="9792"/>
    <cellStyle name="Normal 3 5 3 2 4 2 4" xfId="9793"/>
    <cellStyle name="Normal 3 5 3 2 4 2 4 2" xfId="9794"/>
    <cellStyle name="Normal 3 5 3 2 4 2 5" xfId="9795"/>
    <cellStyle name="Normal 3 5 3 2 4 2 5 2" xfId="9796"/>
    <cellStyle name="Normal 3 5 3 2 4 2 6" xfId="9797"/>
    <cellStyle name="Normal 3 5 3 2 4 2 6 2" xfId="9798"/>
    <cellStyle name="Normal 3 5 3 2 4 2 7" xfId="9799"/>
    <cellStyle name="Normal 3 5 3 2 4 3" xfId="9800"/>
    <cellStyle name="Normal 3 5 3 2 4 3 2" xfId="9801"/>
    <cellStyle name="Normal 3 5 3 2 4 3 2 2" xfId="9802"/>
    <cellStyle name="Normal 3 5 3 2 4 3 3" xfId="9803"/>
    <cellStyle name="Normal 3 5 3 2 4 3 3 2" xfId="9804"/>
    <cellStyle name="Normal 3 5 3 2 4 3 4" xfId="9805"/>
    <cellStyle name="Normal 3 5 3 2 4 3 4 2" xfId="9806"/>
    <cellStyle name="Normal 3 5 3 2 4 3 5" xfId="9807"/>
    <cellStyle name="Normal 3 5 3 2 4 4" xfId="9808"/>
    <cellStyle name="Normal 3 5 3 2 4 4 2" xfId="9809"/>
    <cellStyle name="Normal 3 5 3 2 4 4 2 2" xfId="9810"/>
    <cellStyle name="Normal 3 5 3 2 4 4 3" xfId="9811"/>
    <cellStyle name="Normal 3 5 3 2 4 4 3 2" xfId="9812"/>
    <cellStyle name="Normal 3 5 3 2 4 4 4" xfId="9813"/>
    <cellStyle name="Normal 3 5 3 2 4 4 4 2" xfId="9814"/>
    <cellStyle name="Normal 3 5 3 2 4 4 5" xfId="9815"/>
    <cellStyle name="Normal 3 5 3 2 4 5" xfId="9816"/>
    <cellStyle name="Normal 3 5 3 2 4 5 2" xfId="9817"/>
    <cellStyle name="Normal 3 5 3 2 4 6" xfId="9818"/>
    <cellStyle name="Normal 3 5 3 2 4 6 2" xfId="9819"/>
    <cellStyle name="Normal 3 5 3 2 4 7" xfId="9820"/>
    <cellStyle name="Normal 3 5 3 2 4 7 2" xfId="9821"/>
    <cellStyle name="Normal 3 5 3 2 4 8" xfId="9822"/>
    <cellStyle name="Normal 3 5 3 2 5" xfId="9823"/>
    <cellStyle name="Normal 3 5 3 2 5 2" xfId="9824"/>
    <cellStyle name="Normal 3 5 3 2 5 2 2" xfId="9825"/>
    <cellStyle name="Normal 3 5 3 2 5 2 2 2" xfId="9826"/>
    <cellStyle name="Normal 3 5 3 2 5 2 2 2 2" xfId="9827"/>
    <cellStyle name="Normal 3 5 3 2 5 2 2 3" xfId="9828"/>
    <cellStyle name="Normal 3 5 3 2 5 2 2 3 2" xfId="9829"/>
    <cellStyle name="Normal 3 5 3 2 5 2 2 4" xfId="9830"/>
    <cellStyle name="Normal 3 5 3 2 5 2 2 4 2" xfId="9831"/>
    <cellStyle name="Normal 3 5 3 2 5 2 2 5" xfId="9832"/>
    <cellStyle name="Normal 3 5 3 2 5 2 3" xfId="9833"/>
    <cellStyle name="Normal 3 5 3 2 5 2 3 2" xfId="9834"/>
    <cellStyle name="Normal 3 5 3 2 5 2 3 2 2" xfId="9835"/>
    <cellStyle name="Normal 3 5 3 2 5 2 3 3" xfId="9836"/>
    <cellStyle name="Normal 3 5 3 2 5 2 3 3 2" xfId="9837"/>
    <cellStyle name="Normal 3 5 3 2 5 2 3 4" xfId="9838"/>
    <cellStyle name="Normal 3 5 3 2 5 2 3 4 2" xfId="9839"/>
    <cellStyle name="Normal 3 5 3 2 5 2 3 5" xfId="9840"/>
    <cellStyle name="Normal 3 5 3 2 5 2 4" xfId="9841"/>
    <cellStyle name="Normal 3 5 3 2 5 2 4 2" xfId="9842"/>
    <cellStyle name="Normal 3 5 3 2 5 2 5" xfId="9843"/>
    <cellStyle name="Normal 3 5 3 2 5 2 5 2" xfId="9844"/>
    <cellStyle name="Normal 3 5 3 2 5 2 6" xfId="9845"/>
    <cellStyle name="Normal 3 5 3 2 5 2 6 2" xfId="9846"/>
    <cellStyle name="Normal 3 5 3 2 5 2 7" xfId="9847"/>
    <cellStyle name="Normal 3 5 3 2 5 3" xfId="9848"/>
    <cellStyle name="Normal 3 5 3 2 5 3 2" xfId="9849"/>
    <cellStyle name="Normal 3 5 3 2 5 3 2 2" xfId="9850"/>
    <cellStyle name="Normal 3 5 3 2 5 3 3" xfId="9851"/>
    <cellStyle name="Normal 3 5 3 2 5 3 3 2" xfId="9852"/>
    <cellStyle name="Normal 3 5 3 2 5 3 4" xfId="9853"/>
    <cellStyle name="Normal 3 5 3 2 5 3 4 2" xfId="9854"/>
    <cellStyle name="Normal 3 5 3 2 5 3 5" xfId="9855"/>
    <cellStyle name="Normal 3 5 3 2 5 4" xfId="9856"/>
    <cellStyle name="Normal 3 5 3 2 5 4 2" xfId="9857"/>
    <cellStyle name="Normal 3 5 3 2 5 4 2 2" xfId="9858"/>
    <cellStyle name="Normal 3 5 3 2 5 4 3" xfId="9859"/>
    <cellStyle name="Normal 3 5 3 2 5 4 3 2" xfId="9860"/>
    <cellStyle name="Normal 3 5 3 2 5 4 4" xfId="9861"/>
    <cellStyle name="Normal 3 5 3 2 5 4 4 2" xfId="9862"/>
    <cellStyle name="Normal 3 5 3 2 5 4 5" xfId="9863"/>
    <cellStyle name="Normal 3 5 3 2 5 5" xfId="9864"/>
    <cellStyle name="Normal 3 5 3 2 5 5 2" xfId="9865"/>
    <cellStyle name="Normal 3 5 3 2 5 6" xfId="9866"/>
    <cellStyle name="Normal 3 5 3 2 5 6 2" xfId="9867"/>
    <cellStyle name="Normal 3 5 3 2 5 7" xfId="9868"/>
    <cellStyle name="Normal 3 5 3 2 5 7 2" xfId="9869"/>
    <cellStyle name="Normal 3 5 3 2 5 8" xfId="9870"/>
    <cellStyle name="Normal 3 5 3 2 6" xfId="9871"/>
    <cellStyle name="Normal 3 5 3 2 6 2" xfId="9872"/>
    <cellStyle name="Normal 3 5 3 2 6 2 2" xfId="9873"/>
    <cellStyle name="Normal 3 5 3 2 6 2 2 2" xfId="9874"/>
    <cellStyle name="Normal 3 5 3 2 6 2 2 2 2" xfId="9875"/>
    <cellStyle name="Normal 3 5 3 2 6 2 2 3" xfId="9876"/>
    <cellStyle name="Normal 3 5 3 2 6 2 2 3 2" xfId="9877"/>
    <cellStyle name="Normal 3 5 3 2 6 2 2 4" xfId="9878"/>
    <cellStyle name="Normal 3 5 3 2 6 2 2 4 2" xfId="9879"/>
    <cellStyle name="Normal 3 5 3 2 6 2 2 5" xfId="9880"/>
    <cellStyle name="Normal 3 5 3 2 6 2 3" xfId="9881"/>
    <cellStyle name="Normal 3 5 3 2 6 2 3 2" xfId="9882"/>
    <cellStyle name="Normal 3 5 3 2 6 2 3 2 2" xfId="9883"/>
    <cellStyle name="Normal 3 5 3 2 6 2 3 3" xfId="9884"/>
    <cellStyle name="Normal 3 5 3 2 6 2 3 3 2" xfId="9885"/>
    <cellStyle name="Normal 3 5 3 2 6 2 3 4" xfId="9886"/>
    <cellStyle name="Normal 3 5 3 2 6 2 3 4 2" xfId="9887"/>
    <cellStyle name="Normal 3 5 3 2 6 2 3 5" xfId="9888"/>
    <cellStyle name="Normal 3 5 3 2 6 2 4" xfId="9889"/>
    <cellStyle name="Normal 3 5 3 2 6 2 4 2" xfId="9890"/>
    <cellStyle name="Normal 3 5 3 2 6 2 5" xfId="9891"/>
    <cellStyle name="Normal 3 5 3 2 6 2 5 2" xfId="9892"/>
    <cellStyle name="Normal 3 5 3 2 6 2 6" xfId="9893"/>
    <cellStyle name="Normal 3 5 3 2 6 2 6 2" xfId="9894"/>
    <cellStyle name="Normal 3 5 3 2 6 2 7" xfId="9895"/>
    <cellStyle name="Normal 3 5 3 2 6 3" xfId="9896"/>
    <cellStyle name="Normal 3 5 3 2 6 3 2" xfId="9897"/>
    <cellStyle name="Normal 3 5 3 2 6 3 2 2" xfId="9898"/>
    <cellStyle name="Normal 3 5 3 2 6 3 3" xfId="9899"/>
    <cellStyle name="Normal 3 5 3 2 6 3 3 2" xfId="9900"/>
    <cellStyle name="Normal 3 5 3 2 6 3 4" xfId="9901"/>
    <cellStyle name="Normal 3 5 3 2 6 3 4 2" xfId="9902"/>
    <cellStyle name="Normal 3 5 3 2 6 3 5" xfId="9903"/>
    <cellStyle name="Normal 3 5 3 2 6 4" xfId="9904"/>
    <cellStyle name="Normal 3 5 3 2 6 4 2" xfId="9905"/>
    <cellStyle name="Normal 3 5 3 2 6 4 2 2" xfId="9906"/>
    <cellStyle name="Normal 3 5 3 2 6 4 3" xfId="9907"/>
    <cellStyle name="Normal 3 5 3 2 6 4 3 2" xfId="9908"/>
    <cellStyle name="Normal 3 5 3 2 6 4 4" xfId="9909"/>
    <cellStyle name="Normal 3 5 3 2 6 4 4 2" xfId="9910"/>
    <cellStyle name="Normal 3 5 3 2 6 4 5" xfId="9911"/>
    <cellStyle name="Normal 3 5 3 2 6 5" xfId="9912"/>
    <cellStyle name="Normal 3 5 3 2 6 5 2" xfId="9913"/>
    <cellStyle name="Normal 3 5 3 2 6 6" xfId="9914"/>
    <cellStyle name="Normal 3 5 3 2 6 6 2" xfId="9915"/>
    <cellStyle name="Normal 3 5 3 2 6 7" xfId="9916"/>
    <cellStyle name="Normal 3 5 3 2 6 7 2" xfId="9917"/>
    <cellStyle name="Normal 3 5 3 2 6 8" xfId="9918"/>
    <cellStyle name="Normal 3 5 3 2 7" xfId="9919"/>
    <cellStyle name="Normal 3 5 3 2 7 2" xfId="9920"/>
    <cellStyle name="Normal 3 5 3 2 7 2 2" xfId="9921"/>
    <cellStyle name="Normal 3 5 3 2 7 2 2 2" xfId="9922"/>
    <cellStyle name="Normal 3 5 3 2 7 2 3" xfId="9923"/>
    <cellStyle name="Normal 3 5 3 2 7 2 3 2" xfId="9924"/>
    <cellStyle name="Normal 3 5 3 2 7 2 4" xfId="9925"/>
    <cellStyle name="Normal 3 5 3 2 7 2 4 2" xfId="9926"/>
    <cellStyle name="Normal 3 5 3 2 7 2 5" xfId="9927"/>
    <cellStyle name="Normal 3 5 3 2 7 3" xfId="9928"/>
    <cellStyle name="Normal 3 5 3 2 7 3 2" xfId="9929"/>
    <cellStyle name="Normal 3 5 3 2 7 3 2 2" xfId="9930"/>
    <cellStyle name="Normal 3 5 3 2 7 3 3" xfId="9931"/>
    <cellStyle name="Normal 3 5 3 2 7 3 3 2" xfId="9932"/>
    <cellStyle name="Normal 3 5 3 2 7 3 4" xfId="9933"/>
    <cellStyle name="Normal 3 5 3 2 7 3 4 2" xfId="9934"/>
    <cellStyle name="Normal 3 5 3 2 7 3 5" xfId="9935"/>
    <cellStyle name="Normal 3 5 3 2 7 4" xfId="9936"/>
    <cellStyle name="Normal 3 5 3 2 7 4 2" xfId="9937"/>
    <cellStyle name="Normal 3 5 3 2 7 5" xfId="9938"/>
    <cellStyle name="Normal 3 5 3 2 7 5 2" xfId="9939"/>
    <cellStyle name="Normal 3 5 3 2 7 6" xfId="9940"/>
    <cellStyle name="Normal 3 5 3 2 7 6 2" xfId="9941"/>
    <cellStyle name="Normal 3 5 3 2 7 7" xfId="9942"/>
    <cellStyle name="Normal 3 5 3 2 8" xfId="9943"/>
    <cellStyle name="Normal 3 5 3 2 8 2" xfId="9944"/>
    <cellStyle name="Normal 3 5 3 2 8 2 2" xfId="9945"/>
    <cellStyle name="Normal 3 5 3 2 8 3" xfId="9946"/>
    <cellStyle name="Normal 3 5 3 2 8 3 2" xfId="9947"/>
    <cellStyle name="Normal 3 5 3 2 8 4" xfId="9948"/>
    <cellStyle name="Normal 3 5 3 2 8 4 2" xfId="9949"/>
    <cellStyle name="Normal 3 5 3 2 8 5" xfId="9950"/>
    <cellStyle name="Normal 3 5 3 2 9" xfId="9951"/>
    <cellStyle name="Normal 3 5 3 2 9 2" xfId="9952"/>
    <cellStyle name="Normal 3 5 3 2 9 2 2" xfId="9953"/>
    <cellStyle name="Normal 3 5 3 2 9 3" xfId="9954"/>
    <cellStyle name="Normal 3 5 3 2 9 3 2" xfId="9955"/>
    <cellStyle name="Normal 3 5 3 2 9 4" xfId="9956"/>
    <cellStyle name="Normal 3 5 3 2 9 4 2" xfId="9957"/>
    <cellStyle name="Normal 3 5 3 2 9 5" xfId="9958"/>
    <cellStyle name="Normal 3 5 3 3" xfId="9959"/>
    <cellStyle name="Normal 3 5 3 3 2" xfId="9960"/>
    <cellStyle name="Normal 3 5 3 3 2 2" xfId="9961"/>
    <cellStyle name="Normal 3 5 3 3 2 2 2" xfId="9962"/>
    <cellStyle name="Normal 3 5 3 3 2 2 2 2" xfId="9963"/>
    <cellStyle name="Normal 3 5 3 3 2 2 3" xfId="9964"/>
    <cellStyle name="Normal 3 5 3 3 2 2 3 2" xfId="9965"/>
    <cellStyle name="Normal 3 5 3 3 2 2 4" xfId="9966"/>
    <cellStyle name="Normal 3 5 3 3 2 2 4 2" xfId="9967"/>
    <cellStyle name="Normal 3 5 3 3 2 2 5" xfId="9968"/>
    <cellStyle name="Normal 3 5 3 3 2 3" xfId="9969"/>
    <cellStyle name="Normal 3 5 3 3 2 3 2" xfId="9970"/>
    <cellStyle name="Normal 3 5 3 3 2 3 2 2" xfId="9971"/>
    <cellStyle name="Normal 3 5 3 3 2 3 3" xfId="9972"/>
    <cellStyle name="Normal 3 5 3 3 2 3 3 2" xfId="9973"/>
    <cellStyle name="Normal 3 5 3 3 2 3 4" xfId="9974"/>
    <cellStyle name="Normal 3 5 3 3 2 3 4 2" xfId="9975"/>
    <cellStyle name="Normal 3 5 3 3 2 3 5" xfId="9976"/>
    <cellStyle name="Normal 3 5 3 3 2 4" xfId="9977"/>
    <cellStyle name="Normal 3 5 3 3 2 4 2" xfId="9978"/>
    <cellStyle name="Normal 3 5 3 3 2 5" xfId="9979"/>
    <cellStyle name="Normal 3 5 3 3 2 5 2" xfId="9980"/>
    <cellStyle name="Normal 3 5 3 3 2 6" xfId="9981"/>
    <cellStyle name="Normal 3 5 3 3 2 6 2" xfId="9982"/>
    <cellStyle name="Normal 3 5 3 3 2 7" xfId="9983"/>
    <cellStyle name="Normal 3 5 3 3 3" xfId="9984"/>
    <cellStyle name="Normal 3 5 3 3 3 2" xfId="9985"/>
    <cellStyle name="Normal 3 5 3 3 3 2 2" xfId="9986"/>
    <cellStyle name="Normal 3 5 3 3 3 3" xfId="9987"/>
    <cellStyle name="Normal 3 5 3 3 3 3 2" xfId="9988"/>
    <cellStyle name="Normal 3 5 3 3 3 4" xfId="9989"/>
    <cellStyle name="Normal 3 5 3 3 3 4 2" xfId="9990"/>
    <cellStyle name="Normal 3 5 3 3 3 5" xfId="9991"/>
    <cellStyle name="Normal 3 5 3 3 4" xfId="9992"/>
    <cellStyle name="Normal 3 5 3 3 4 2" xfId="9993"/>
    <cellStyle name="Normal 3 5 3 3 4 2 2" xfId="9994"/>
    <cellStyle name="Normal 3 5 3 3 4 3" xfId="9995"/>
    <cellStyle name="Normal 3 5 3 3 4 3 2" xfId="9996"/>
    <cellStyle name="Normal 3 5 3 3 4 4" xfId="9997"/>
    <cellStyle name="Normal 3 5 3 3 4 4 2" xfId="9998"/>
    <cellStyle name="Normal 3 5 3 3 4 5" xfId="9999"/>
    <cellStyle name="Normal 3 5 3 3 5" xfId="10000"/>
    <cellStyle name="Normal 3 5 3 3 5 2" xfId="10001"/>
    <cellStyle name="Normal 3 5 3 3 6" xfId="10002"/>
    <cellStyle name="Normal 3 5 3 3 6 2" xfId="10003"/>
    <cellStyle name="Normal 3 5 3 3 7" xfId="10004"/>
    <cellStyle name="Normal 3 5 3 3 7 2" xfId="10005"/>
    <cellStyle name="Normal 3 5 3 3 8" xfId="10006"/>
    <cellStyle name="Normal 3 5 3 4" xfId="10007"/>
    <cellStyle name="Normal 3 5 3 4 2" xfId="10008"/>
    <cellStyle name="Normal 3 5 3 4 2 2" xfId="10009"/>
    <cellStyle name="Normal 3 5 3 4 2 2 2" xfId="10010"/>
    <cellStyle name="Normal 3 5 3 4 2 2 2 2" xfId="10011"/>
    <cellStyle name="Normal 3 5 3 4 2 2 3" xfId="10012"/>
    <cellStyle name="Normal 3 5 3 4 2 2 3 2" xfId="10013"/>
    <cellStyle name="Normal 3 5 3 4 2 2 4" xfId="10014"/>
    <cellStyle name="Normal 3 5 3 4 2 2 4 2" xfId="10015"/>
    <cellStyle name="Normal 3 5 3 4 2 2 5" xfId="10016"/>
    <cellStyle name="Normal 3 5 3 4 2 3" xfId="10017"/>
    <cellStyle name="Normal 3 5 3 4 2 3 2" xfId="10018"/>
    <cellStyle name="Normal 3 5 3 4 2 3 2 2" xfId="10019"/>
    <cellStyle name="Normal 3 5 3 4 2 3 3" xfId="10020"/>
    <cellStyle name="Normal 3 5 3 4 2 3 3 2" xfId="10021"/>
    <cellStyle name="Normal 3 5 3 4 2 3 4" xfId="10022"/>
    <cellStyle name="Normal 3 5 3 4 2 3 4 2" xfId="10023"/>
    <cellStyle name="Normal 3 5 3 4 2 3 5" xfId="10024"/>
    <cellStyle name="Normal 3 5 3 4 2 4" xfId="10025"/>
    <cellStyle name="Normal 3 5 3 4 2 4 2" xfId="10026"/>
    <cellStyle name="Normal 3 5 3 4 2 5" xfId="10027"/>
    <cellStyle name="Normal 3 5 3 4 2 5 2" xfId="10028"/>
    <cellStyle name="Normal 3 5 3 4 2 6" xfId="10029"/>
    <cellStyle name="Normal 3 5 3 4 2 6 2" xfId="10030"/>
    <cellStyle name="Normal 3 5 3 4 2 7" xfId="10031"/>
    <cellStyle name="Normal 3 5 3 4 3" xfId="10032"/>
    <cellStyle name="Normal 3 5 3 4 3 2" xfId="10033"/>
    <cellStyle name="Normal 3 5 3 4 3 2 2" xfId="10034"/>
    <cellStyle name="Normal 3 5 3 4 3 3" xfId="10035"/>
    <cellStyle name="Normal 3 5 3 4 3 3 2" xfId="10036"/>
    <cellStyle name="Normal 3 5 3 4 3 4" xfId="10037"/>
    <cellStyle name="Normal 3 5 3 4 3 4 2" xfId="10038"/>
    <cellStyle name="Normal 3 5 3 4 3 5" xfId="10039"/>
    <cellStyle name="Normal 3 5 3 4 4" xfId="10040"/>
    <cellStyle name="Normal 3 5 3 4 4 2" xfId="10041"/>
    <cellStyle name="Normal 3 5 3 4 4 2 2" xfId="10042"/>
    <cellStyle name="Normal 3 5 3 4 4 3" xfId="10043"/>
    <cellStyle name="Normal 3 5 3 4 4 3 2" xfId="10044"/>
    <cellStyle name="Normal 3 5 3 4 4 4" xfId="10045"/>
    <cellStyle name="Normal 3 5 3 4 4 4 2" xfId="10046"/>
    <cellStyle name="Normal 3 5 3 4 4 5" xfId="10047"/>
    <cellStyle name="Normal 3 5 3 4 5" xfId="10048"/>
    <cellStyle name="Normal 3 5 3 4 5 2" xfId="10049"/>
    <cellStyle name="Normal 3 5 3 4 6" xfId="10050"/>
    <cellStyle name="Normal 3 5 3 4 6 2" xfId="10051"/>
    <cellStyle name="Normal 3 5 3 4 7" xfId="10052"/>
    <cellStyle name="Normal 3 5 3 4 7 2" xfId="10053"/>
    <cellStyle name="Normal 3 5 3 4 8" xfId="10054"/>
    <cellStyle name="Normal 3 5 3 5" xfId="10055"/>
    <cellStyle name="Normal 3 5 3 5 2" xfId="10056"/>
    <cellStyle name="Normal 3 5 3 5 2 2" xfId="10057"/>
    <cellStyle name="Normal 3 5 3 5 2 2 2" xfId="10058"/>
    <cellStyle name="Normal 3 5 3 5 2 2 2 2" xfId="10059"/>
    <cellStyle name="Normal 3 5 3 5 2 2 3" xfId="10060"/>
    <cellStyle name="Normal 3 5 3 5 2 2 3 2" xfId="10061"/>
    <cellStyle name="Normal 3 5 3 5 2 2 4" xfId="10062"/>
    <cellStyle name="Normal 3 5 3 5 2 2 4 2" xfId="10063"/>
    <cellStyle name="Normal 3 5 3 5 2 2 5" xfId="10064"/>
    <cellStyle name="Normal 3 5 3 5 2 3" xfId="10065"/>
    <cellStyle name="Normal 3 5 3 5 2 3 2" xfId="10066"/>
    <cellStyle name="Normal 3 5 3 5 2 3 2 2" xfId="10067"/>
    <cellStyle name="Normal 3 5 3 5 2 3 3" xfId="10068"/>
    <cellStyle name="Normal 3 5 3 5 2 3 3 2" xfId="10069"/>
    <cellStyle name="Normal 3 5 3 5 2 3 4" xfId="10070"/>
    <cellStyle name="Normal 3 5 3 5 2 3 4 2" xfId="10071"/>
    <cellStyle name="Normal 3 5 3 5 2 3 5" xfId="10072"/>
    <cellStyle name="Normal 3 5 3 5 2 4" xfId="10073"/>
    <cellStyle name="Normal 3 5 3 5 2 4 2" xfId="10074"/>
    <cellStyle name="Normal 3 5 3 5 2 5" xfId="10075"/>
    <cellStyle name="Normal 3 5 3 5 2 5 2" xfId="10076"/>
    <cellStyle name="Normal 3 5 3 5 2 6" xfId="10077"/>
    <cellStyle name="Normal 3 5 3 5 2 6 2" xfId="10078"/>
    <cellStyle name="Normal 3 5 3 5 2 7" xfId="10079"/>
    <cellStyle name="Normal 3 5 3 5 3" xfId="10080"/>
    <cellStyle name="Normal 3 5 3 5 3 2" xfId="10081"/>
    <cellStyle name="Normal 3 5 3 5 3 2 2" xfId="10082"/>
    <cellStyle name="Normal 3 5 3 5 3 3" xfId="10083"/>
    <cellStyle name="Normal 3 5 3 5 3 3 2" xfId="10084"/>
    <cellStyle name="Normal 3 5 3 5 3 4" xfId="10085"/>
    <cellStyle name="Normal 3 5 3 5 3 4 2" xfId="10086"/>
    <cellStyle name="Normal 3 5 3 5 3 5" xfId="10087"/>
    <cellStyle name="Normal 3 5 3 5 4" xfId="10088"/>
    <cellStyle name="Normal 3 5 3 5 4 2" xfId="10089"/>
    <cellStyle name="Normal 3 5 3 5 4 2 2" xfId="10090"/>
    <cellStyle name="Normal 3 5 3 5 4 3" xfId="10091"/>
    <cellStyle name="Normal 3 5 3 5 4 3 2" xfId="10092"/>
    <cellStyle name="Normal 3 5 3 5 4 4" xfId="10093"/>
    <cellStyle name="Normal 3 5 3 5 4 4 2" xfId="10094"/>
    <cellStyle name="Normal 3 5 3 5 4 5" xfId="10095"/>
    <cellStyle name="Normal 3 5 3 5 5" xfId="10096"/>
    <cellStyle name="Normal 3 5 3 5 5 2" xfId="10097"/>
    <cellStyle name="Normal 3 5 3 5 6" xfId="10098"/>
    <cellStyle name="Normal 3 5 3 5 6 2" xfId="10099"/>
    <cellStyle name="Normal 3 5 3 5 7" xfId="10100"/>
    <cellStyle name="Normal 3 5 3 5 7 2" xfId="10101"/>
    <cellStyle name="Normal 3 5 3 5 8" xfId="10102"/>
    <cellStyle name="Normal 3 5 3 6" xfId="10103"/>
    <cellStyle name="Normal 3 5 3 6 2" xfId="10104"/>
    <cellStyle name="Normal 3 5 3 6 2 2" xfId="10105"/>
    <cellStyle name="Normal 3 5 3 6 2 2 2" xfId="10106"/>
    <cellStyle name="Normal 3 5 3 6 2 2 2 2" xfId="10107"/>
    <cellStyle name="Normal 3 5 3 6 2 2 3" xfId="10108"/>
    <cellStyle name="Normal 3 5 3 6 2 2 3 2" xfId="10109"/>
    <cellStyle name="Normal 3 5 3 6 2 2 4" xfId="10110"/>
    <cellStyle name="Normal 3 5 3 6 2 2 4 2" xfId="10111"/>
    <cellStyle name="Normal 3 5 3 6 2 2 5" xfId="10112"/>
    <cellStyle name="Normal 3 5 3 6 2 3" xfId="10113"/>
    <cellStyle name="Normal 3 5 3 6 2 3 2" xfId="10114"/>
    <cellStyle name="Normal 3 5 3 6 2 3 2 2" xfId="10115"/>
    <cellStyle name="Normal 3 5 3 6 2 3 3" xfId="10116"/>
    <cellStyle name="Normal 3 5 3 6 2 3 3 2" xfId="10117"/>
    <cellStyle name="Normal 3 5 3 6 2 3 4" xfId="10118"/>
    <cellStyle name="Normal 3 5 3 6 2 3 4 2" xfId="10119"/>
    <cellStyle name="Normal 3 5 3 6 2 3 5" xfId="10120"/>
    <cellStyle name="Normal 3 5 3 6 2 4" xfId="10121"/>
    <cellStyle name="Normal 3 5 3 6 2 4 2" xfId="10122"/>
    <cellStyle name="Normal 3 5 3 6 2 5" xfId="10123"/>
    <cellStyle name="Normal 3 5 3 6 2 5 2" xfId="10124"/>
    <cellStyle name="Normal 3 5 3 6 2 6" xfId="10125"/>
    <cellStyle name="Normal 3 5 3 6 2 6 2" xfId="10126"/>
    <cellStyle name="Normal 3 5 3 6 2 7" xfId="10127"/>
    <cellStyle name="Normal 3 5 3 6 3" xfId="10128"/>
    <cellStyle name="Normal 3 5 3 6 3 2" xfId="10129"/>
    <cellStyle name="Normal 3 5 3 6 3 2 2" xfId="10130"/>
    <cellStyle name="Normal 3 5 3 6 3 3" xfId="10131"/>
    <cellStyle name="Normal 3 5 3 6 3 3 2" xfId="10132"/>
    <cellStyle name="Normal 3 5 3 6 3 4" xfId="10133"/>
    <cellStyle name="Normal 3 5 3 6 3 4 2" xfId="10134"/>
    <cellStyle name="Normal 3 5 3 6 3 5" xfId="10135"/>
    <cellStyle name="Normal 3 5 3 6 4" xfId="10136"/>
    <cellStyle name="Normal 3 5 3 6 4 2" xfId="10137"/>
    <cellStyle name="Normal 3 5 3 6 4 2 2" xfId="10138"/>
    <cellStyle name="Normal 3 5 3 6 4 3" xfId="10139"/>
    <cellStyle name="Normal 3 5 3 6 4 3 2" xfId="10140"/>
    <cellStyle name="Normal 3 5 3 6 4 4" xfId="10141"/>
    <cellStyle name="Normal 3 5 3 6 4 4 2" xfId="10142"/>
    <cellStyle name="Normal 3 5 3 6 4 5" xfId="10143"/>
    <cellStyle name="Normal 3 5 3 6 5" xfId="10144"/>
    <cellStyle name="Normal 3 5 3 6 5 2" xfId="10145"/>
    <cellStyle name="Normal 3 5 3 6 6" xfId="10146"/>
    <cellStyle name="Normal 3 5 3 6 6 2" xfId="10147"/>
    <cellStyle name="Normal 3 5 3 6 7" xfId="10148"/>
    <cellStyle name="Normal 3 5 3 6 7 2" xfId="10149"/>
    <cellStyle name="Normal 3 5 3 6 8" xfId="10150"/>
    <cellStyle name="Normal 3 5 3 7" xfId="10151"/>
    <cellStyle name="Normal 3 5 3 7 2" xfId="10152"/>
    <cellStyle name="Normal 3 5 3 7 2 2" xfId="10153"/>
    <cellStyle name="Normal 3 5 3 7 2 2 2" xfId="10154"/>
    <cellStyle name="Normal 3 5 3 7 2 2 2 2" xfId="10155"/>
    <cellStyle name="Normal 3 5 3 7 2 2 3" xfId="10156"/>
    <cellStyle name="Normal 3 5 3 7 2 2 3 2" xfId="10157"/>
    <cellStyle name="Normal 3 5 3 7 2 2 4" xfId="10158"/>
    <cellStyle name="Normal 3 5 3 7 2 2 4 2" xfId="10159"/>
    <cellStyle name="Normal 3 5 3 7 2 2 5" xfId="10160"/>
    <cellStyle name="Normal 3 5 3 7 2 3" xfId="10161"/>
    <cellStyle name="Normal 3 5 3 7 2 3 2" xfId="10162"/>
    <cellStyle name="Normal 3 5 3 7 2 3 2 2" xfId="10163"/>
    <cellStyle name="Normal 3 5 3 7 2 3 3" xfId="10164"/>
    <cellStyle name="Normal 3 5 3 7 2 3 3 2" xfId="10165"/>
    <cellStyle name="Normal 3 5 3 7 2 3 4" xfId="10166"/>
    <cellStyle name="Normal 3 5 3 7 2 3 4 2" xfId="10167"/>
    <cellStyle name="Normal 3 5 3 7 2 3 5" xfId="10168"/>
    <cellStyle name="Normal 3 5 3 7 2 4" xfId="10169"/>
    <cellStyle name="Normal 3 5 3 7 2 4 2" xfId="10170"/>
    <cellStyle name="Normal 3 5 3 7 2 5" xfId="10171"/>
    <cellStyle name="Normal 3 5 3 7 2 5 2" xfId="10172"/>
    <cellStyle name="Normal 3 5 3 7 2 6" xfId="10173"/>
    <cellStyle name="Normal 3 5 3 7 2 6 2" xfId="10174"/>
    <cellStyle name="Normal 3 5 3 7 2 7" xfId="10175"/>
    <cellStyle name="Normal 3 5 3 7 3" xfId="10176"/>
    <cellStyle name="Normal 3 5 3 7 3 2" xfId="10177"/>
    <cellStyle name="Normal 3 5 3 7 3 2 2" xfId="10178"/>
    <cellStyle name="Normal 3 5 3 7 3 3" xfId="10179"/>
    <cellStyle name="Normal 3 5 3 7 3 3 2" xfId="10180"/>
    <cellStyle name="Normal 3 5 3 7 3 4" xfId="10181"/>
    <cellStyle name="Normal 3 5 3 7 3 4 2" xfId="10182"/>
    <cellStyle name="Normal 3 5 3 7 3 5" xfId="10183"/>
    <cellStyle name="Normal 3 5 3 7 4" xfId="10184"/>
    <cellStyle name="Normal 3 5 3 7 4 2" xfId="10185"/>
    <cellStyle name="Normal 3 5 3 7 4 2 2" xfId="10186"/>
    <cellStyle name="Normal 3 5 3 7 4 3" xfId="10187"/>
    <cellStyle name="Normal 3 5 3 7 4 3 2" xfId="10188"/>
    <cellStyle name="Normal 3 5 3 7 4 4" xfId="10189"/>
    <cellStyle name="Normal 3 5 3 7 4 4 2" xfId="10190"/>
    <cellStyle name="Normal 3 5 3 7 4 5" xfId="10191"/>
    <cellStyle name="Normal 3 5 3 7 5" xfId="10192"/>
    <cellStyle name="Normal 3 5 3 7 5 2" xfId="10193"/>
    <cellStyle name="Normal 3 5 3 7 6" xfId="10194"/>
    <cellStyle name="Normal 3 5 3 7 6 2" xfId="10195"/>
    <cellStyle name="Normal 3 5 3 7 7" xfId="10196"/>
    <cellStyle name="Normal 3 5 3 7 7 2" xfId="10197"/>
    <cellStyle name="Normal 3 5 3 7 8" xfId="10198"/>
    <cellStyle name="Normal 3 5 3 8" xfId="10199"/>
    <cellStyle name="Normal 3 5 3 8 2" xfId="10200"/>
    <cellStyle name="Normal 3 5 3 8 2 2" xfId="10201"/>
    <cellStyle name="Normal 3 5 3 8 2 2 2" xfId="10202"/>
    <cellStyle name="Normal 3 5 3 8 2 3" xfId="10203"/>
    <cellStyle name="Normal 3 5 3 8 2 3 2" xfId="10204"/>
    <cellStyle name="Normal 3 5 3 8 2 4" xfId="10205"/>
    <cellStyle name="Normal 3 5 3 8 2 4 2" xfId="10206"/>
    <cellStyle name="Normal 3 5 3 8 2 5" xfId="10207"/>
    <cellStyle name="Normal 3 5 3 8 3" xfId="10208"/>
    <cellStyle name="Normal 3 5 3 8 3 2" xfId="10209"/>
    <cellStyle name="Normal 3 5 3 8 3 2 2" xfId="10210"/>
    <cellStyle name="Normal 3 5 3 8 3 3" xfId="10211"/>
    <cellStyle name="Normal 3 5 3 8 3 3 2" xfId="10212"/>
    <cellStyle name="Normal 3 5 3 8 3 4" xfId="10213"/>
    <cellStyle name="Normal 3 5 3 8 3 4 2" xfId="10214"/>
    <cellStyle name="Normal 3 5 3 8 3 5" xfId="10215"/>
    <cellStyle name="Normal 3 5 3 8 4" xfId="10216"/>
    <cellStyle name="Normal 3 5 3 8 4 2" xfId="10217"/>
    <cellStyle name="Normal 3 5 3 8 5" xfId="10218"/>
    <cellStyle name="Normal 3 5 3 8 5 2" xfId="10219"/>
    <cellStyle name="Normal 3 5 3 8 6" xfId="10220"/>
    <cellStyle name="Normal 3 5 3 8 6 2" xfId="10221"/>
    <cellStyle name="Normal 3 5 3 8 7" xfId="10222"/>
    <cellStyle name="Normal 3 5 3 9" xfId="10223"/>
    <cellStyle name="Normal 3 5 3 9 2" xfId="10224"/>
    <cellStyle name="Normal 3 5 3 9 2 2" xfId="10225"/>
    <cellStyle name="Normal 3 5 3 9 3" xfId="10226"/>
    <cellStyle name="Normal 3 5 3 9 3 2" xfId="10227"/>
    <cellStyle name="Normal 3 5 3 9 4" xfId="10228"/>
    <cellStyle name="Normal 3 5 3 9 4 2" xfId="10229"/>
    <cellStyle name="Normal 3 5 3 9 5" xfId="10230"/>
    <cellStyle name="Normal 3 5 4" xfId="10231"/>
    <cellStyle name="Normal 3 5 4 10" xfId="10232"/>
    <cellStyle name="Normal 3 5 4 10 2" xfId="10233"/>
    <cellStyle name="Normal 3 5 4 10 2 2" xfId="10234"/>
    <cellStyle name="Normal 3 5 4 10 3" xfId="10235"/>
    <cellStyle name="Normal 3 5 4 10 3 2" xfId="10236"/>
    <cellStyle name="Normal 3 5 4 10 4" xfId="10237"/>
    <cellStyle name="Normal 3 5 4 10 4 2" xfId="10238"/>
    <cellStyle name="Normal 3 5 4 10 5" xfId="10239"/>
    <cellStyle name="Normal 3 5 4 11" xfId="10240"/>
    <cellStyle name="Normal 3 5 4 11 2" xfId="10241"/>
    <cellStyle name="Normal 3 5 4 12" xfId="10242"/>
    <cellStyle name="Normal 3 5 4 12 2" xfId="10243"/>
    <cellStyle name="Normal 3 5 4 13" xfId="10244"/>
    <cellStyle name="Normal 3 5 4 13 2" xfId="10245"/>
    <cellStyle name="Normal 3 5 4 14" xfId="10246"/>
    <cellStyle name="Normal 3 5 4 2" xfId="10247"/>
    <cellStyle name="Normal 3 5 4 2 10" xfId="10248"/>
    <cellStyle name="Normal 3 5 4 2 10 2" xfId="10249"/>
    <cellStyle name="Normal 3 5 4 2 11" xfId="10250"/>
    <cellStyle name="Normal 3 5 4 2 11 2" xfId="10251"/>
    <cellStyle name="Normal 3 5 4 2 12" xfId="10252"/>
    <cellStyle name="Normal 3 5 4 2 12 2" xfId="10253"/>
    <cellStyle name="Normal 3 5 4 2 13" xfId="10254"/>
    <cellStyle name="Normal 3 5 4 2 2" xfId="10255"/>
    <cellStyle name="Normal 3 5 4 2 2 2" xfId="10256"/>
    <cellStyle name="Normal 3 5 4 2 2 2 2" xfId="10257"/>
    <cellStyle name="Normal 3 5 4 2 2 2 2 2" xfId="10258"/>
    <cellStyle name="Normal 3 5 4 2 2 2 2 2 2" xfId="10259"/>
    <cellStyle name="Normal 3 5 4 2 2 2 2 3" xfId="10260"/>
    <cellStyle name="Normal 3 5 4 2 2 2 2 3 2" xfId="10261"/>
    <cellStyle name="Normal 3 5 4 2 2 2 2 4" xfId="10262"/>
    <cellStyle name="Normal 3 5 4 2 2 2 2 4 2" xfId="10263"/>
    <cellStyle name="Normal 3 5 4 2 2 2 2 5" xfId="10264"/>
    <cellStyle name="Normal 3 5 4 2 2 2 3" xfId="10265"/>
    <cellStyle name="Normal 3 5 4 2 2 2 3 2" xfId="10266"/>
    <cellStyle name="Normal 3 5 4 2 2 2 3 2 2" xfId="10267"/>
    <cellStyle name="Normal 3 5 4 2 2 2 3 3" xfId="10268"/>
    <cellStyle name="Normal 3 5 4 2 2 2 3 3 2" xfId="10269"/>
    <cellStyle name="Normal 3 5 4 2 2 2 3 4" xfId="10270"/>
    <cellStyle name="Normal 3 5 4 2 2 2 3 4 2" xfId="10271"/>
    <cellStyle name="Normal 3 5 4 2 2 2 3 5" xfId="10272"/>
    <cellStyle name="Normal 3 5 4 2 2 2 4" xfId="10273"/>
    <cellStyle name="Normal 3 5 4 2 2 2 4 2" xfId="10274"/>
    <cellStyle name="Normal 3 5 4 2 2 2 5" xfId="10275"/>
    <cellStyle name="Normal 3 5 4 2 2 2 5 2" xfId="10276"/>
    <cellStyle name="Normal 3 5 4 2 2 2 6" xfId="10277"/>
    <cellStyle name="Normal 3 5 4 2 2 2 6 2" xfId="10278"/>
    <cellStyle name="Normal 3 5 4 2 2 2 7" xfId="10279"/>
    <cellStyle name="Normal 3 5 4 2 2 3" xfId="10280"/>
    <cellStyle name="Normal 3 5 4 2 2 3 2" xfId="10281"/>
    <cellStyle name="Normal 3 5 4 2 2 3 2 2" xfId="10282"/>
    <cellStyle name="Normal 3 5 4 2 2 3 3" xfId="10283"/>
    <cellStyle name="Normal 3 5 4 2 2 3 3 2" xfId="10284"/>
    <cellStyle name="Normal 3 5 4 2 2 3 4" xfId="10285"/>
    <cellStyle name="Normal 3 5 4 2 2 3 4 2" xfId="10286"/>
    <cellStyle name="Normal 3 5 4 2 2 3 5" xfId="10287"/>
    <cellStyle name="Normal 3 5 4 2 2 4" xfId="10288"/>
    <cellStyle name="Normal 3 5 4 2 2 4 2" xfId="10289"/>
    <cellStyle name="Normal 3 5 4 2 2 4 2 2" xfId="10290"/>
    <cellStyle name="Normal 3 5 4 2 2 4 3" xfId="10291"/>
    <cellStyle name="Normal 3 5 4 2 2 4 3 2" xfId="10292"/>
    <cellStyle name="Normal 3 5 4 2 2 4 4" xfId="10293"/>
    <cellStyle name="Normal 3 5 4 2 2 4 4 2" xfId="10294"/>
    <cellStyle name="Normal 3 5 4 2 2 4 5" xfId="10295"/>
    <cellStyle name="Normal 3 5 4 2 2 5" xfId="10296"/>
    <cellStyle name="Normal 3 5 4 2 2 5 2" xfId="10297"/>
    <cellStyle name="Normal 3 5 4 2 2 6" xfId="10298"/>
    <cellStyle name="Normal 3 5 4 2 2 6 2" xfId="10299"/>
    <cellStyle name="Normal 3 5 4 2 2 7" xfId="10300"/>
    <cellStyle name="Normal 3 5 4 2 2 7 2" xfId="10301"/>
    <cellStyle name="Normal 3 5 4 2 2 8" xfId="10302"/>
    <cellStyle name="Normal 3 5 4 2 3" xfId="10303"/>
    <cellStyle name="Normal 3 5 4 2 3 2" xfId="10304"/>
    <cellStyle name="Normal 3 5 4 2 3 2 2" xfId="10305"/>
    <cellStyle name="Normal 3 5 4 2 3 2 2 2" xfId="10306"/>
    <cellStyle name="Normal 3 5 4 2 3 2 2 2 2" xfId="10307"/>
    <cellStyle name="Normal 3 5 4 2 3 2 2 3" xfId="10308"/>
    <cellStyle name="Normal 3 5 4 2 3 2 2 3 2" xfId="10309"/>
    <cellStyle name="Normal 3 5 4 2 3 2 2 4" xfId="10310"/>
    <cellStyle name="Normal 3 5 4 2 3 2 2 4 2" xfId="10311"/>
    <cellStyle name="Normal 3 5 4 2 3 2 2 5" xfId="10312"/>
    <cellStyle name="Normal 3 5 4 2 3 2 3" xfId="10313"/>
    <cellStyle name="Normal 3 5 4 2 3 2 3 2" xfId="10314"/>
    <cellStyle name="Normal 3 5 4 2 3 2 3 2 2" xfId="10315"/>
    <cellStyle name="Normal 3 5 4 2 3 2 3 3" xfId="10316"/>
    <cellStyle name="Normal 3 5 4 2 3 2 3 3 2" xfId="10317"/>
    <cellStyle name="Normal 3 5 4 2 3 2 3 4" xfId="10318"/>
    <cellStyle name="Normal 3 5 4 2 3 2 3 4 2" xfId="10319"/>
    <cellStyle name="Normal 3 5 4 2 3 2 3 5" xfId="10320"/>
    <cellStyle name="Normal 3 5 4 2 3 2 4" xfId="10321"/>
    <cellStyle name="Normal 3 5 4 2 3 2 4 2" xfId="10322"/>
    <cellStyle name="Normal 3 5 4 2 3 2 5" xfId="10323"/>
    <cellStyle name="Normal 3 5 4 2 3 2 5 2" xfId="10324"/>
    <cellStyle name="Normal 3 5 4 2 3 2 6" xfId="10325"/>
    <cellStyle name="Normal 3 5 4 2 3 2 6 2" xfId="10326"/>
    <cellStyle name="Normal 3 5 4 2 3 2 7" xfId="10327"/>
    <cellStyle name="Normal 3 5 4 2 3 3" xfId="10328"/>
    <cellStyle name="Normal 3 5 4 2 3 3 2" xfId="10329"/>
    <cellStyle name="Normal 3 5 4 2 3 3 2 2" xfId="10330"/>
    <cellStyle name="Normal 3 5 4 2 3 3 3" xfId="10331"/>
    <cellStyle name="Normal 3 5 4 2 3 3 3 2" xfId="10332"/>
    <cellStyle name="Normal 3 5 4 2 3 3 4" xfId="10333"/>
    <cellStyle name="Normal 3 5 4 2 3 3 4 2" xfId="10334"/>
    <cellStyle name="Normal 3 5 4 2 3 3 5" xfId="10335"/>
    <cellStyle name="Normal 3 5 4 2 3 4" xfId="10336"/>
    <cellStyle name="Normal 3 5 4 2 3 4 2" xfId="10337"/>
    <cellStyle name="Normal 3 5 4 2 3 4 2 2" xfId="10338"/>
    <cellStyle name="Normal 3 5 4 2 3 4 3" xfId="10339"/>
    <cellStyle name="Normal 3 5 4 2 3 4 3 2" xfId="10340"/>
    <cellStyle name="Normal 3 5 4 2 3 4 4" xfId="10341"/>
    <cellStyle name="Normal 3 5 4 2 3 4 4 2" xfId="10342"/>
    <cellStyle name="Normal 3 5 4 2 3 4 5" xfId="10343"/>
    <cellStyle name="Normal 3 5 4 2 3 5" xfId="10344"/>
    <cellStyle name="Normal 3 5 4 2 3 5 2" xfId="10345"/>
    <cellStyle name="Normal 3 5 4 2 3 6" xfId="10346"/>
    <cellStyle name="Normal 3 5 4 2 3 6 2" xfId="10347"/>
    <cellStyle name="Normal 3 5 4 2 3 7" xfId="10348"/>
    <cellStyle name="Normal 3 5 4 2 3 7 2" xfId="10349"/>
    <cellStyle name="Normal 3 5 4 2 3 8" xfId="10350"/>
    <cellStyle name="Normal 3 5 4 2 4" xfId="10351"/>
    <cellStyle name="Normal 3 5 4 2 4 2" xfId="10352"/>
    <cellStyle name="Normal 3 5 4 2 4 2 2" xfId="10353"/>
    <cellStyle name="Normal 3 5 4 2 4 2 2 2" xfId="10354"/>
    <cellStyle name="Normal 3 5 4 2 4 2 2 2 2" xfId="10355"/>
    <cellStyle name="Normal 3 5 4 2 4 2 2 3" xfId="10356"/>
    <cellStyle name="Normal 3 5 4 2 4 2 2 3 2" xfId="10357"/>
    <cellStyle name="Normal 3 5 4 2 4 2 2 4" xfId="10358"/>
    <cellStyle name="Normal 3 5 4 2 4 2 2 4 2" xfId="10359"/>
    <cellStyle name="Normal 3 5 4 2 4 2 2 5" xfId="10360"/>
    <cellStyle name="Normal 3 5 4 2 4 2 3" xfId="10361"/>
    <cellStyle name="Normal 3 5 4 2 4 2 3 2" xfId="10362"/>
    <cellStyle name="Normal 3 5 4 2 4 2 3 2 2" xfId="10363"/>
    <cellStyle name="Normal 3 5 4 2 4 2 3 3" xfId="10364"/>
    <cellStyle name="Normal 3 5 4 2 4 2 3 3 2" xfId="10365"/>
    <cellStyle name="Normal 3 5 4 2 4 2 3 4" xfId="10366"/>
    <cellStyle name="Normal 3 5 4 2 4 2 3 4 2" xfId="10367"/>
    <cellStyle name="Normal 3 5 4 2 4 2 3 5" xfId="10368"/>
    <cellStyle name="Normal 3 5 4 2 4 2 4" xfId="10369"/>
    <cellStyle name="Normal 3 5 4 2 4 2 4 2" xfId="10370"/>
    <cellStyle name="Normal 3 5 4 2 4 2 5" xfId="10371"/>
    <cellStyle name="Normal 3 5 4 2 4 2 5 2" xfId="10372"/>
    <cellStyle name="Normal 3 5 4 2 4 2 6" xfId="10373"/>
    <cellStyle name="Normal 3 5 4 2 4 2 6 2" xfId="10374"/>
    <cellStyle name="Normal 3 5 4 2 4 2 7" xfId="10375"/>
    <cellStyle name="Normal 3 5 4 2 4 3" xfId="10376"/>
    <cellStyle name="Normal 3 5 4 2 4 3 2" xfId="10377"/>
    <cellStyle name="Normal 3 5 4 2 4 3 2 2" xfId="10378"/>
    <cellStyle name="Normal 3 5 4 2 4 3 3" xfId="10379"/>
    <cellStyle name="Normal 3 5 4 2 4 3 3 2" xfId="10380"/>
    <cellStyle name="Normal 3 5 4 2 4 3 4" xfId="10381"/>
    <cellStyle name="Normal 3 5 4 2 4 3 4 2" xfId="10382"/>
    <cellStyle name="Normal 3 5 4 2 4 3 5" xfId="10383"/>
    <cellStyle name="Normal 3 5 4 2 4 4" xfId="10384"/>
    <cellStyle name="Normal 3 5 4 2 4 4 2" xfId="10385"/>
    <cellStyle name="Normal 3 5 4 2 4 4 2 2" xfId="10386"/>
    <cellStyle name="Normal 3 5 4 2 4 4 3" xfId="10387"/>
    <cellStyle name="Normal 3 5 4 2 4 4 3 2" xfId="10388"/>
    <cellStyle name="Normal 3 5 4 2 4 4 4" xfId="10389"/>
    <cellStyle name="Normal 3 5 4 2 4 4 4 2" xfId="10390"/>
    <cellStyle name="Normal 3 5 4 2 4 4 5" xfId="10391"/>
    <cellStyle name="Normal 3 5 4 2 4 5" xfId="10392"/>
    <cellStyle name="Normal 3 5 4 2 4 5 2" xfId="10393"/>
    <cellStyle name="Normal 3 5 4 2 4 6" xfId="10394"/>
    <cellStyle name="Normal 3 5 4 2 4 6 2" xfId="10395"/>
    <cellStyle name="Normal 3 5 4 2 4 7" xfId="10396"/>
    <cellStyle name="Normal 3 5 4 2 4 7 2" xfId="10397"/>
    <cellStyle name="Normal 3 5 4 2 4 8" xfId="10398"/>
    <cellStyle name="Normal 3 5 4 2 5" xfId="10399"/>
    <cellStyle name="Normal 3 5 4 2 5 2" xfId="10400"/>
    <cellStyle name="Normal 3 5 4 2 5 2 2" xfId="10401"/>
    <cellStyle name="Normal 3 5 4 2 5 2 2 2" xfId="10402"/>
    <cellStyle name="Normal 3 5 4 2 5 2 2 2 2" xfId="10403"/>
    <cellStyle name="Normal 3 5 4 2 5 2 2 3" xfId="10404"/>
    <cellStyle name="Normal 3 5 4 2 5 2 2 3 2" xfId="10405"/>
    <cellStyle name="Normal 3 5 4 2 5 2 2 4" xfId="10406"/>
    <cellStyle name="Normal 3 5 4 2 5 2 2 4 2" xfId="10407"/>
    <cellStyle name="Normal 3 5 4 2 5 2 2 5" xfId="10408"/>
    <cellStyle name="Normal 3 5 4 2 5 2 3" xfId="10409"/>
    <cellStyle name="Normal 3 5 4 2 5 2 3 2" xfId="10410"/>
    <cellStyle name="Normal 3 5 4 2 5 2 3 2 2" xfId="10411"/>
    <cellStyle name="Normal 3 5 4 2 5 2 3 3" xfId="10412"/>
    <cellStyle name="Normal 3 5 4 2 5 2 3 3 2" xfId="10413"/>
    <cellStyle name="Normal 3 5 4 2 5 2 3 4" xfId="10414"/>
    <cellStyle name="Normal 3 5 4 2 5 2 3 4 2" xfId="10415"/>
    <cellStyle name="Normal 3 5 4 2 5 2 3 5" xfId="10416"/>
    <cellStyle name="Normal 3 5 4 2 5 2 4" xfId="10417"/>
    <cellStyle name="Normal 3 5 4 2 5 2 4 2" xfId="10418"/>
    <cellStyle name="Normal 3 5 4 2 5 2 5" xfId="10419"/>
    <cellStyle name="Normal 3 5 4 2 5 2 5 2" xfId="10420"/>
    <cellStyle name="Normal 3 5 4 2 5 2 6" xfId="10421"/>
    <cellStyle name="Normal 3 5 4 2 5 2 6 2" xfId="10422"/>
    <cellStyle name="Normal 3 5 4 2 5 2 7" xfId="10423"/>
    <cellStyle name="Normal 3 5 4 2 5 3" xfId="10424"/>
    <cellStyle name="Normal 3 5 4 2 5 3 2" xfId="10425"/>
    <cellStyle name="Normal 3 5 4 2 5 3 2 2" xfId="10426"/>
    <cellStyle name="Normal 3 5 4 2 5 3 3" xfId="10427"/>
    <cellStyle name="Normal 3 5 4 2 5 3 3 2" xfId="10428"/>
    <cellStyle name="Normal 3 5 4 2 5 3 4" xfId="10429"/>
    <cellStyle name="Normal 3 5 4 2 5 3 4 2" xfId="10430"/>
    <cellStyle name="Normal 3 5 4 2 5 3 5" xfId="10431"/>
    <cellStyle name="Normal 3 5 4 2 5 4" xfId="10432"/>
    <cellStyle name="Normal 3 5 4 2 5 4 2" xfId="10433"/>
    <cellStyle name="Normal 3 5 4 2 5 4 2 2" xfId="10434"/>
    <cellStyle name="Normal 3 5 4 2 5 4 3" xfId="10435"/>
    <cellStyle name="Normal 3 5 4 2 5 4 3 2" xfId="10436"/>
    <cellStyle name="Normal 3 5 4 2 5 4 4" xfId="10437"/>
    <cellStyle name="Normal 3 5 4 2 5 4 4 2" xfId="10438"/>
    <cellStyle name="Normal 3 5 4 2 5 4 5" xfId="10439"/>
    <cellStyle name="Normal 3 5 4 2 5 5" xfId="10440"/>
    <cellStyle name="Normal 3 5 4 2 5 5 2" xfId="10441"/>
    <cellStyle name="Normal 3 5 4 2 5 6" xfId="10442"/>
    <cellStyle name="Normal 3 5 4 2 5 6 2" xfId="10443"/>
    <cellStyle name="Normal 3 5 4 2 5 7" xfId="10444"/>
    <cellStyle name="Normal 3 5 4 2 5 7 2" xfId="10445"/>
    <cellStyle name="Normal 3 5 4 2 5 8" xfId="10446"/>
    <cellStyle name="Normal 3 5 4 2 6" xfId="10447"/>
    <cellStyle name="Normal 3 5 4 2 6 2" xfId="10448"/>
    <cellStyle name="Normal 3 5 4 2 6 2 2" xfId="10449"/>
    <cellStyle name="Normal 3 5 4 2 6 2 2 2" xfId="10450"/>
    <cellStyle name="Normal 3 5 4 2 6 2 2 2 2" xfId="10451"/>
    <cellStyle name="Normal 3 5 4 2 6 2 2 3" xfId="10452"/>
    <cellStyle name="Normal 3 5 4 2 6 2 2 3 2" xfId="10453"/>
    <cellStyle name="Normal 3 5 4 2 6 2 2 4" xfId="10454"/>
    <cellStyle name="Normal 3 5 4 2 6 2 2 4 2" xfId="10455"/>
    <cellStyle name="Normal 3 5 4 2 6 2 2 5" xfId="10456"/>
    <cellStyle name="Normal 3 5 4 2 6 2 3" xfId="10457"/>
    <cellStyle name="Normal 3 5 4 2 6 2 3 2" xfId="10458"/>
    <cellStyle name="Normal 3 5 4 2 6 2 3 2 2" xfId="10459"/>
    <cellStyle name="Normal 3 5 4 2 6 2 3 3" xfId="10460"/>
    <cellStyle name="Normal 3 5 4 2 6 2 3 3 2" xfId="10461"/>
    <cellStyle name="Normal 3 5 4 2 6 2 3 4" xfId="10462"/>
    <cellStyle name="Normal 3 5 4 2 6 2 3 4 2" xfId="10463"/>
    <cellStyle name="Normal 3 5 4 2 6 2 3 5" xfId="10464"/>
    <cellStyle name="Normal 3 5 4 2 6 2 4" xfId="10465"/>
    <cellStyle name="Normal 3 5 4 2 6 2 4 2" xfId="10466"/>
    <cellStyle name="Normal 3 5 4 2 6 2 5" xfId="10467"/>
    <cellStyle name="Normal 3 5 4 2 6 2 5 2" xfId="10468"/>
    <cellStyle name="Normal 3 5 4 2 6 2 6" xfId="10469"/>
    <cellStyle name="Normal 3 5 4 2 6 2 6 2" xfId="10470"/>
    <cellStyle name="Normal 3 5 4 2 6 2 7" xfId="10471"/>
    <cellStyle name="Normal 3 5 4 2 6 3" xfId="10472"/>
    <cellStyle name="Normal 3 5 4 2 6 3 2" xfId="10473"/>
    <cellStyle name="Normal 3 5 4 2 6 3 2 2" xfId="10474"/>
    <cellStyle name="Normal 3 5 4 2 6 3 3" xfId="10475"/>
    <cellStyle name="Normal 3 5 4 2 6 3 3 2" xfId="10476"/>
    <cellStyle name="Normal 3 5 4 2 6 3 4" xfId="10477"/>
    <cellStyle name="Normal 3 5 4 2 6 3 4 2" xfId="10478"/>
    <cellStyle name="Normal 3 5 4 2 6 3 5" xfId="10479"/>
    <cellStyle name="Normal 3 5 4 2 6 4" xfId="10480"/>
    <cellStyle name="Normal 3 5 4 2 6 4 2" xfId="10481"/>
    <cellStyle name="Normal 3 5 4 2 6 4 2 2" xfId="10482"/>
    <cellStyle name="Normal 3 5 4 2 6 4 3" xfId="10483"/>
    <cellStyle name="Normal 3 5 4 2 6 4 3 2" xfId="10484"/>
    <cellStyle name="Normal 3 5 4 2 6 4 4" xfId="10485"/>
    <cellStyle name="Normal 3 5 4 2 6 4 4 2" xfId="10486"/>
    <cellStyle name="Normal 3 5 4 2 6 4 5" xfId="10487"/>
    <cellStyle name="Normal 3 5 4 2 6 5" xfId="10488"/>
    <cellStyle name="Normal 3 5 4 2 6 5 2" xfId="10489"/>
    <cellStyle name="Normal 3 5 4 2 6 6" xfId="10490"/>
    <cellStyle name="Normal 3 5 4 2 6 6 2" xfId="10491"/>
    <cellStyle name="Normal 3 5 4 2 6 7" xfId="10492"/>
    <cellStyle name="Normal 3 5 4 2 6 7 2" xfId="10493"/>
    <cellStyle name="Normal 3 5 4 2 6 8" xfId="10494"/>
    <cellStyle name="Normal 3 5 4 2 7" xfId="10495"/>
    <cellStyle name="Normal 3 5 4 2 7 2" xfId="10496"/>
    <cellStyle name="Normal 3 5 4 2 7 2 2" xfId="10497"/>
    <cellStyle name="Normal 3 5 4 2 7 2 2 2" xfId="10498"/>
    <cellStyle name="Normal 3 5 4 2 7 2 3" xfId="10499"/>
    <cellStyle name="Normal 3 5 4 2 7 2 3 2" xfId="10500"/>
    <cellStyle name="Normal 3 5 4 2 7 2 4" xfId="10501"/>
    <cellStyle name="Normal 3 5 4 2 7 2 4 2" xfId="10502"/>
    <cellStyle name="Normal 3 5 4 2 7 2 5" xfId="10503"/>
    <cellStyle name="Normal 3 5 4 2 7 3" xfId="10504"/>
    <cellStyle name="Normal 3 5 4 2 7 3 2" xfId="10505"/>
    <cellStyle name="Normal 3 5 4 2 7 3 2 2" xfId="10506"/>
    <cellStyle name="Normal 3 5 4 2 7 3 3" xfId="10507"/>
    <cellStyle name="Normal 3 5 4 2 7 3 3 2" xfId="10508"/>
    <cellStyle name="Normal 3 5 4 2 7 3 4" xfId="10509"/>
    <cellStyle name="Normal 3 5 4 2 7 3 4 2" xfId="10510"/>
    <cellStyle name="Normal 3 5 4 2 7 3 5" xfId="10511"/>
    <cellStyle name="Normal 3 5 4 2 7 4" xfId="10512"/>
    <cellStyle name="Normal 3 5 4 2 7 4 2" xfId="10513"/>
    <cellStyle name="Normal 3 5 4 2 7 5" xfId="10514"/>
    <cellStyle name="Normal 3 5 4 2 7 5 2" xfId="10515"/>
    <cellStyle name="Normal 3 5 4 2 7 6" xfId="10516"/>
    <cellStyle name="Normal 3 5 4 2 7 6 2" xfId="10517"/>
    <cellStyle name="Normal 3 5 4 2 7 7" xfId="10518"/>
    <cellStyle name="Normal 3 5 4 2 8" xfId="10519"/>
    <cellStyle name="Normal 3 5 4 2 8 2" xfId="10520"/>
    <cellStyle name="Normal 3 5 4 2 8 2 2" xfId="10521"/>
    <cellStyle name="Normal 3 5 4 2 8 3" xfId="10522"/>
    <cellStyle name="Normal 3 5 4 2 8 3 2" xfId="10523"/>
    <cellStyle name="Normal 3 5 4 2 8 4" xfId="10524"/>
    <cellStyle name="Normal 3 5 4 2 8 4 2" xfId="10525"/>
    <cellStyle name="Normal 3 5 4 2 8 5" xfId="10526"/>
    <cellStyle name="Normal 3 5 4 2 9" xfId="10527"/>
    <cellStyle name="Normal 3 5 4 2 9 2" xfId="10528"/>
    <cellStyle name="Normal 3 5 4 2 9 2 2" xfId="10529"/>
    <cellStyle name="Normal 3 5 4 2 9 3" xfId="10530"/>
    <cellStyle name="Normal 3 5 4 2 9 3 2" xfId="10531"/>
    <cellStyle name="Normal 3 5 4 2 9 4" xfId="10532"/>
    <cellStyle name="Normal 3 5 4 2 9 4 2" xfId="10533"/>
    <cellStyle name="Normal 3 5 4 2 9 5" xfId="10534"/>
    <cellStyle name="Normal 3 5 4 3" xfId="10535"/>
    <cellStyle name="Normal 3 5 4 3 2" xfId="10536"/>
    <cellStyle name="Normal 3 5 4 3 2 2" xfId="10537"/>
    <cellStyle name="Normal 3 5 4 3 2 2 2" xfId="10538"/>
    <cellStyle name="Normal 3 5 4 3 2 2 2 2" xfId="10539"/>
    <cellStyle name="Normal 3 5 4 3 2 2 3" xfId="10540"/>
    <cellStyle name="Normal 3 5 4 3 2 2 3 2" xfId="10541"/>
    <cellStyle name="Normal 3 5 4 3 2 2 4" xfId="10542"/>
    <cellStyle name="Normal 3 5 4 3 2 2 4 2" xfId="10543"/>
    <cellStyle name="Normal 3 5 4 3 2 2 5" xfId="10544"/>
    <cellStyle name="Normal 3 5 4 3 2 3" xfId="10545"/>
    <cellStyle name="Normal 3 5 4 3 2 3 2" xfId="10546"/>
    <cellStyle name="Normal 3 5 4 3 2 3 2 2" xfId="10547"/>
    <cellStyle name="Normal 3 5 4 3 2 3 3" xfId="10548"/>
    <cellStyle name="Normal 3 5 4 3 2 3 3 2" xfId="10549"/>
    <cellStyle name="Normal 3 5 4 3 2 3 4" xfId="10550"/>
    <cellStyle name="Normal 3 5 4 3 2 3 4 2" xfId="10551"/>
    <cellStyle name="Normal 3 5 4 3 2 3 5" xfId="10552"/>
    <cellStyle name="Normal 3 5 4 3 2 4" xfId="10553"/>
    <cellStyle name="Normal 3 5 4 3 2 4 2" xfId="10554"/>
    <cellStyle name="Normal 3 5 4 3 2 5" xfId="10555"/>
    <cellStyle name="Normal 3 5 4 3 2 5 2" xfId="10556"/>
    <cellStyle name="Normal 3 5 4 3 2 6" xfId="10557"/>
    <cellStyle name="Normal 3 5 4 3 2 6 2" xfId="10558"/>
    <cellStyle name="Normal 3 5 4 3 2 7" xfId="10559"/>
    <cellStyle name="Normal 3 5 4 3 3" xfId="10560"/>
    <cellStyle name="Normal 3 5 4 3 3 2" xfId="10561"/>
    <cellStyle name="Normal 3 5 4 3 3 2 2" xfId="10562"/>
    <cellStyle name="Normal 3 5 4 3 3 3" xfId="10563"/>
    <cellStyle name="Normal 3 5 4 3 3 3 2" xfId="10564"/>
    <cellStyle name="Normal 3 5 4 3 3 4" xfId="10565"/>
    <cellStyle name="Normal 3 5 4 3 3 4 2" xfId="10566"/>
    <cellStyle name="Normal 3 5 4 3 3 5" xfId="10567"/>
    <cellStyle name="Normal 3 5 4 3 4" xfId="10568"/>
    <cellStyle name="Normal 3 5 4 3 4 2" xfId="10569"/>
    <cellStyle name="Normal 3 5 4 3 4 2 2" xfId="10570"/>
    <cellStyle name="Normal 3 5 4 3 4 3" xfId="10571"/>
    <cellStyle name="Normal 3 5 4 3 4 3 2" xfId="10572"/>
    <cellStyle name="Normal 3 5 4 3 4 4" xfId="10573"/>
    <cellStyle name="Normal 3 5 4 3 4 4 2" xfId="10574"/>
    <cellStyle name="Normal 3 5 4 3 4 5" xfId="10575"/>
    <cellStyle name="Normal 3 5 4 3 5" xfId="10576"/>
    <cellStyle name="Normal 3 5 4 3 5 2" xfId="10577"/>
    <cellStyle name="Normal 3 5 4 3 6" xfId="10578"/>
    <cellStyle name="Normal 3 5 4 3 6 2" xfId="10579"/>
    <cellStyle name="Normal 3 5 4 3 7" xfId="10580"/>
    <cellStyle name="Normal 3 5 4 3 7 2" xfId="10581"/>
    <cellStyle name="Normal 3 5 4 3 8" xfId="10582"/>
    <cellStyle name="Normal 3 5 4 4" xfId="10583"/>
    <cellStyle name="Normal 3 5 4 4 2" xfId="10584"/>
    <cellStyle name="Normal 3 5 4 4 2 2" xfId="10585"/>
    <cellStyle name="Normal 3 5 4 4 2 2 2" xfId="10586"/>
    <cellStyle name="Normal 3 5 4 4 2 2 2 2" xfId="10587"/>
    <cellStyle name="Normal 3 5 4 4 2 2 3" xfId="10588"/>
    <cellStyle name="Normal 3 5 4 4 2 2 3 2" xfId="10589"/>
    <cellStyle name="Normal 3 5 4 4 2 2 4" xfId="10590"/>
    <cellStyle name="Normal 3 5 4 4 2 2 4 2" xfId="10591"/>
    <cellStyle name="Normal 3 5 4 4 2 2 5" xfId="10592"/>
    <cellStyle name="Normal 3 5 4 4 2 3" xfId="10593"/>
    <cellStyle name="Normal 3 5 4 4 2 3 2" xfId="10594"/>
    <cellStyle name="Normal 3 5 4 4 2 3 2 2" xfId="10595"/>
    <cellStyle name="Normal 3 5 4 4 2 3 3" xfId="10596"/>
    <cellStyle name="Normal 3 5 4 4 2 3 3 2" xfId="10597"/>
    <cellStyle name="Normal 3 5 4 4 2 3 4" xfId="10598"/>
    <cellStyle name="Normal 3 5 4 4 2 3 4 2" xfId="10599"/>
    <cellStyle name="Normal 3 5 4 4 2 3 5" xfId="10600"/>
    <cellStyle name="Normal 3 5 4 4 2 4" xfId="10601"/>
    <cellStyle name="Normal 3 5 4 4 2 4 2" xfId="10602"/>
    <cellStyle name="Normal 3 5 4 4 2 5" xfId="10603"/>
    <cellStyle name="Normal 3 5 4 4 2 5 2" xfId="10604"/>
    <cellStyle name="Normal 3 5 4 4 2 6" xfId="10605"/>
    <cellStyle name="Normal 3 5 4 4 2 6 2" xfId="10606"/>
    <cellStyle name="Normal 3 5 4 4 2 7" xfId="10607"/>
    <cellStyle name="Normal 3 5 4 4 3" xfId="10608"/>
    <cellStyle name="Normal 3 5 4 4 3 2" xfId="10609"/>
    <cellStyle name="Normal 3 5 4 4 3 2 2" xfId="10610"/>
    <cellStyle name="Normal 3 5 4 4 3 3" xfId="10611"/>
    <cellStyle name="Normal 3 5 4 4 3 3 2" xfId="10612"/>
    <cellStyle name="Normal 3 5 4 4 3 4" xfId="10613"/>
    <cellStyle name="Normal 3 5 4 4 3 4 2" xfId="10614"/>
    <cellStyle name="Normal 3 5 4 4 3 5" xfId="10615"/>
    <cellStyle name="Normal 3 5 4 4 4" xfId="10616"/>
    <cellStyle name="Normal 3 5 4 4 4 2" xfId="10617"/>
    <cellStyle name="Normal 3 5 4 4 4 2 2" xfId="10618"/>
    <cellStyle name="Normal 3 5 4 4 4 3" xfId="10619"/>
    <cellStyle name="Normal 3 5 4 4 4 3 2" xfId="10620"/>
    <cellStyle name="Normal 3 5 4 4 4 4" xfId="10621"/>
    <cellStyle name="Normal 3 5 4 4 4 4 2" xfId="10622"/>
    <cellStyle name="Normal 3 5 4 4 4 5" xfId="10623"/>
    <cellStyle name="Normal 3 5 4 4 5" xfId="10624"/>
    <cellStyle name="Normal 3 5 4 4 5 2" xfId="10625"/>
    <cellStyle name="Normal 3 5 4 4 6" xfId="10626"/>
    <cellStyle name="Normal 3 5 4 4 6 2" xfId="10627"/>
    <cellStyle name="Normal 3 5 4 4 7" xfId="10628"/>
    <cellStyle name="Normal 3 5 4 4 7 2" xfId="10629"/>
    <cellStyle name="Normal 3 5 4 4 8" xfId="10630"/>
    <cellStyle name="Normal 3 5 4 5" xfId="10631"/>
    <cellStyle name="Normal 3 5 4 5 2" xfId="10632"/>
    <cellStyle name="Normal 3 5 4 5 2 2" xfId="10633"/>
    <cellStyle name="Normal 3 5 4 5 2 2 2" xfId="10634"/>
    <cellStyle name="Normal 3 5 4 5 2 2 2 2" xfId="10635"/>
    <cellStyle name="Normal 3 5 4 5 2 2 3" xfId="10636"/>
    <cellStyle name="Normal 3 5 4 5 2 2 3 2" xfId="10637"/>
    <cellStyle name="Normal 3 5 4 5 2 2 4" xfId="10638"/>
    <cellStyle name="Normal 3 5 4 5 2 2 4 2" xfId="10639"/>
    <cellStyle name="Normal 3 5 4 5 2 2 5" xfId="10640"/>
    <cellStyle name="Normal 3 5 4 5 2 3" xfId="10641"/>
    <cellStyle name="Normal 3 5 4 5 2 3 2" xfId="10642"/>
    <cellStyle name="Normal 3 5 4 5 2 3 2 2" xfId="10643"/>
    <cellStyle name="Normal 3 5 4 5 2 3 3" xfId="10644"/>
    <cellStyle name="Normal 3 5 4 5 2 3 3 2" xfId="10645"/>
    <cellStyle name="Normal 3 5 4 5 2 3 4" xfId="10646"/>
    <cellStyle name="Normal 3 5 4 5 2 3 4 2" xfId="10647"/>
    <cellStyle name="Normal 3 5 4 5 2 3 5" xfId="10648"/>
    <cellStyle name="Normal 3 5 4 5 2 4" xfId="10649"/>
    <cellStyle name="Normal 3 5 4 5 2 4 2" xfId="10650"/>
    <cellStyle name="Normal 3 5 4 5 2 5" xfId="10651"/>
    <cellStyle name="Normal 3 5 4 5 2 5 2" xfId="10652"/>
    <cellStyle name="Normal 3 5 4 5 2 6" xfId="10653"/>
    <cellStyle name="Normal 3 5 4 5 2 6 2" xfId="10654"/>
    <cellStyle name="Normal 3 5 4 5 2 7" xfId="10655"/>
    <cellStyle name="Normal 3 5 4 5 3" xfId="10656"/>
    <cellStyle name="Normal 3 5 4 5 3 2" xfId="10657"/>
    <cellStyle name="Normal 3 5 4 5 3 2 2" xfId="10658"/>
    <cellStyle name="Normal 3 5 4 5 3 3" xfId="10659"/>
    <cellStyle name="Normal 3 5 4 5 3 3 2" xfId="10660"/>
    <cellStyle name="Normal 3 5 4 5 3 4" xfId="10661"/>
    <cellStyle name="Normal 3 5 4 5 3 4 2" xfId="10662"/>
    <cellStyle name="Normal 3 5 4 5 3 5" xfId="10663"/>
    <cellStyle name="Normal 3 5 4 5 4" xfId="10664"/>
    <cellStyle name="Normal 3 5 4 5 4 2" xfId="10665"/>
    <cellStyle name="Normal 3 5 4 5 4 2 2" xfId="10666"/>
    <cellStyle name="Normal 3 5 4 5 4 3" xfId="10667"/>
    <cellStyle name="Normal 3 5 4 5 4 3 2" xfId="10668"/>
    <cellStyle name="Normal 3 5 4 5 4 4" xfId="10669"/>
    <cellStyle name="Normal 3 5 4 5 4 4 2" xfId="10670"/>
    <cellStyle name="Normal 3 5 4 5 4 5" xfId="10671"/>
    <cellStyle name="Normal 3 5 4 5 5" xfId="10672"/>
    <cellStyle name="Normal 3 5 4 5 5 2" xfId="10673"/>
    <cellStyle name="Normal 3 5 4 5 6" xfId="10674"/>
    <cellStyle name="Normal 3 5 4 5 6 2" xfId="10675"/>
    <cellStyle name="Normal 3 5 4 5 7" xfId="10676"/>
    <cellStyle name="Normal 3 5 4 5 7 2" xfId="10677"/>
    <cellStyle name="Normal 3 5 4 5 8" xfId="10678"/>
    <cellStyle name="Normal 3 5 4 6" xfId="10679"/>
    <cellStyle name="Normal 3 5 4 6 2" xfId="10680"/>
    <cellStyle name="Normal 3 5 4 6 2 2" xfId="10681"/>
    <cellStyle name="Normal 3 5 4 6 2 2 2" xfId="10682"/>
    <cellStyle name="Normal 3 5 4 6 2 2 2 2" xfId="10683"/>
    <cellStyle name="Normal 3 5 4 6 2 2 3" xfId="10684"/>
    <cellStyle name="Normal 3 5 4 6 2 2 3 2" xfId="10685"/>
    <cellStyle name="Normal 3 5 4 6 2 2 4" xfId="10686"/>
    <cellStyle name="Normal 3 5 4 6 2 2 4 2" xfId="10687"/>
    <cellStyle name="Normal 3 5 4 6 2 2 5" xfId="10688"/>
    <cellStyle name="Normal 3 5 4 6 2 3" xfId="10689"/>
    <cellStyle name="Normal 3 5 4 6 2 3 2" xfId="10690"/>
    <cellStyle name="Normal 3 5 4 6 2 3 2 2" xfId="10691"/>
    <cellStyle name="Normal 3 5 4 6 2 3 3" xfId="10692"/>
    <cellStyle name="Normal 3 5 4 6 2 3 3 2" xfId="10693"/>
    <cellStyle name="Normal 3 5 4 6 2 3 4" xfId="10694"/>
    <cellStyle name="Normal 3 5 4 6 2 3 4 2" xfId="10695"/>
    <cellStyle name="Normal 3 5 4 6 2 3 5" xfId="10696"/>
    <cellStyle name="Normal 3 5 4 6 2 4" xfId="10697"/>
    <cellStyle name="Normal 3 5 4 6 2 4 2" xfId="10698"/>
    <cellStyle name="Normal 3 5 4 6 2 5" xfId="10699"/>
    <cellStyle name="Normal 3 5 4 6 2 5 2" xfId="10700"/>
    <cellStyle name="Normal 3 5 4 6 2 6" xfId="10701"/>
    <cellStyle name="Normal 3 5 4 6 2 6 2" xfId="10702"/>
    <cellStyle name="Normal 3 5 4 6 2 7" xfId="10703"/>
    <cellStyle name="Normal 3 5 4 6 3" xfId="10704"/>
    <cellStyle name="Normal 3 5 4 6 3 2" xfId="10705"/>
    <cellStyle name="Normal 3 5 4 6 3 2 2" xfId="10706"/>
    <cellStyle name="Normal 3 5 4 6 3 3" xfId="10707"/>
    <cellStyle name="Normal 3 5 4 6 3 3 2" xfId="10708"/>
    <cellStyle name="Normal 3 5 4 6 3 4" xfId="10709"/>
    <cellStyle name="Normal 3 5 4 6 3 4 2" xfId="10710"/>
    <cellStyle name="Normal 3 5 4 6 3 5" xfId="10711"/>
    <cellStyle name="Normal 3 5 4 6 4" xfId="10712"/>
    <cellStyle name="Normal 3 5 4 6 4 2" xfId="10713"/>
    <cellStyle name="Normal 3 5 4 6 4 2 2" xfId="10714"/>
    <cellStyle name="Normal 3 5 4 6 4 3" xfId="10715"/>
    <cellStyle name="Normal 3 5 4 6 4 3 2" xfId="10716"/>
    <cellStyle name="Normal 3 5 4 6 4 4" xfId="10717"/>
    <cellStyle name="Normal 3 5 4 6 4 4 2" xfId="10718"/>
    <cellStyle name="Normal 3 5 4 6 4 5" xfId="10719"/>
    <cellStyle name="Normal 3 5 4 6 5" xfId="10720"/>
    <cellStyle name="Normal 3 5 4 6 5 2" xfId="10721"/>
    <cellStyle name="Normal 3 5 4 6 6" xfId="10722"/>
    <cellStyle name="Normal 3 5 4 6 6 2" xfId="10723"/>
    <cellStyle name="Normal 3 5 4 6 7" xfId="10724"/>
    <cellStyle name="Normal 3 5 4 6 7 2" xfId="10725"/>
    <cellStyle name="Normal 3 5 4 6 8" xfId="10726"/>
    <cellStyle name="Normal 3 5 4 7" xfId="10727"/>
    <cellStyle name="Normal 3 5 4 7 2" xfId="10728"/>
    <cellStyle name="Normal 3 5 4 7 2 2" xfId="10729"/>
    <cellStyle name="Normal 3 5 4 7 2 2 2" xfId="10730"/>
    <cellStyle name="Normal 3 5 4 7 2 2 2 2" xfId="10731"/>
    <cellStyle name="Normal 3 5 4 7 2 2 3" xfId="10732"/>
    <cellStyle name="Normal 3 5 4 7 2 2 3 2" xfId="10733"/>
    <cellStyle name="Normal 3 5 4 7 2 2 4" xfId="10734"/>
    <cellStyle name="Normal 3 5 4 7 2 2 4 2" xfId="10735"/>
    <cellStyle name="Normal 3 5 4 7 2 2 5" xfId="10736"/>
    <cellStyle name="Normal 3 5 4 7 2 3" xfId="10737"/>
    <cellStyle name="Normal 3 5 4 7 2 3 2" xfId="10738"/>
    <cellStyle name="Normal 3 5 4 7 2 3 2 2" xfId="10739"/>
    <cellStyle name="Normal 3 5 4 7 2 3 3" xfId="10740"/>
    <cellStyle name="Normal 3 5 4 7 2 3 3 2" xfId="10741"/>
    <cellStyle name="Normal 3 5 4 7 2 3 4" xfId="10742"/>
    <cellStyle name="Normal 3 5 4 7 2 3 4 2" xfId="10743"/>
    <cellStyle name="Normal 3 5 4 7 2 3 5" xfId="10744"/>
    <cellStyle name="Normal 3 5 4 7 2 4" xfId="10745"/>
    <cellStyle name="Normal 3 5 4 7 2 4 2" xfId="10746"/>
    <cellStyle name="Normal 3 5 4 7 2 5" xfId="10747"/>
    <cellStyle name="Normal 3 5 4 7 2 5 2" xfId="10748"/>
    <cellStyle name="Normal 3 5 4 7 2 6" xfId="10749"/>
    <cellStyle name="Normal 3 5 4 7 2 6 2" xfId="10750"/>
    <cellStyle name="Normal 3 5 4 7 2 7" xfId="10751"/>
    <cellStyle name="Normal 3 5 4 7 3" xfId="10752"/>
    <cellStyle name="Normal 3 5 4 7 3 2" xfId="10753"/>
    <cellStyle name="Normal 3 5 4 7 3 2 2" xfId="10754"/>
    <cellStyle name="Normal 3 5 4 7 3 3" xfId="10755"/>
    <cellStyle name="Normal 3 5 4 7 3 3 2" xfId="10756"/>
    <cellStyle name="Normal 3 5 4 7 3 4" xfId="10757"/>
    <cellStyle name="Normal 3 5 4 7 3 4 2" xfId="10758"/>
    <cellStyle name="Normal 3 5 4 7 3 5" xfId="10759"/>
    <cellStyle name="Normal 3 5 4 7 4" xfId="10760"/>
    <cellStyle name="Normal 3 5 4 7 4 2" xfId="10761"/>
    <cellStyle name="Normal 3 5 4 7 4 2 2" xfId="10762"/>
    <cellStyle name="Normal 3 5 4 7 4 3" xfId="10763"/>
    <cellStyle name="Normal 3 5 4 7 4 3 2" xfId="10764"/>
    <cellStyle name="Normal 3 5 4 7 4 4" xfId="10765"/>
    <cellStyle name="Normal 3 5 4 7 4 4 2" xfId="10766"/>
    <cellStyle name="Normal 3 5 4 7 4 5" xfId="10767"/>
    <cellStyle name="Normal 3 5 4 7 5" xfId="10768"/>
    <cellStyle name="Normal 3 5 4 7 5 2" xfId="10769"/>
    <cellStyle name="Normal 3 5 4 7 6" xfId="10770"/>
    <cellStyle name="Normal 3 5 4 7 6 2" xfId="10771"/>
    <cellStyle name="Normal 3 5 4 7 7" xfId="10772"/>
    <cellStyle name="Normal 3 5 4 7 7 2" xfId="10773"/>
    <cellStyle name="Normal 3 5 4 7 8" xfId="10774"/>
    <cellStyle name="Normal 3 5 4 8" xfId="10775"/>
    <cellStyle name="Normal 3 5 4 8 2" xfId="10776"/>
    <cellStyle name="Normal 3 5 4 8 2 2" xfId="10777"/>
    <cellStyle name="Normal 3 5 4 8 2 2 2" xfId="10778"/>
    <cellStyle name="Normal 3 5 4 8 2 3" xfId="10779"/>
    <cellStyle name="Normal 3 5 4 8 2 3 2" xfId="10780"/>
    <cellStyle name="Normal 3 5 4 8 2 4" xfId="10781"/>
    <cellStyle name="Normal 3 5 4 8 2 4 2" xfId="10782"/>
    <cellStyle name="Normal 3 5 4 8 2 5" xfId="10783"/>
    <cellStyle name="Normal 3 5 4 8 3" xfId="10784"/>
    <cellStyle name="Normal 3 5 4 8 3 2" xfId="10785"/>
    <cellStyle name="Normal 3 5 4 8 3 2 2" xfId="10786"/>
    <cellStyle name="Normal 3 5 4 8 3 3" xfId="10787"/>
    <cellStyle name="Normal 3 5 4 8 3 3 2" xfId="10788"/>
    <cellStyle name="Normal 3 5 4 8 3 4" xfId="10789"/>
    <cellStyle name="Normal 3 5 4 8 3 4 2" xfId="10790"/>
    <cellStyle name="Normal 3 5 4 8 3 5" xfId="10791"/>
    <cellStyle name="Normal 3 5 4 8 4" xfId="10792"/>
    <cellStyle name="Normal 3 5 4 8 4 2" xfId="10793"/>
    <cellStyle name="Normal 3 5 4 8 5" xfId="10794"/>
    <cellStyle name="Normal 3 5 4 8 5 2" xfId="10795"/>
    <cellStyle name="Normal 3 5 4 8 6" xfId="10796"/>
    <cellStyle name="Normal 3 5 4 8 6 2" xfId="10797"/>
    <cellStyle name="Normal 3 5 4 8 7" xfId="10798"/>
    <cellStyle name="Normal 3 5 4 9" xfId="10799"/>
    <cellStyle name="Normal 3 5 4 9 2" xfId="10800"/>
    <cellStyle name="Normal 3 5 4 9 2 2" xfId="10801"/>
    <cellStyle name="Normal 3 5 4 9 3" xfId="10802"/>
    <cellStyle name="Normal 3 5 4 9 3 2" xfId="10803"/>
    <cellStyle name="Normal 3 5 4 9 4" xfId="10804"/>
    <cellStyle name="Normal 3 5 4 9 4 2" xfId="10805"/>
    <cellStyle name="Normal 3 5 4 9 5" xfId="10806"/>
    <cellStyle name="Normal 3 5 5" xfId="10807"/>
    <cellStyle name="Normal 3 5 5 10" xfId="10808"/>
    <cellStyle name="Normal 3 5 5 10 2" xfId="10809"/>
    <cellStyle name="Normal 3 5 5 10 2 2" xfId="10810"/>
    <cellStyle name="Normal 3 5 5 10 3" xfId="10811"/>
    <cellStyle name="Normal 3 5 5 10 3 2" xfId="10812"/>
    <cellStyle name="Normal 3 5 5 10 4" xfId="10813"/>
    <cellStyle name="Normal 3 5 5 10 4 2" xfId="10814"/>
    <cellStyle name="Normal 3 5 5 10 5" xfId="10815"/>
    <cellStyle name="Normal 3 5 5 11" xfId="10816"/>
    <cellStyle name="Normal 3 5 5 11 2" xfId="10817"/>
    <cellStyle name="Normal 3 5 5 12" xfId="10818"/>
    <cellStyle name="Normal 3 5 5 12 2" xfId="10819"/>
    <cellStyle name="Normal 3 5 5 13" xfId="10820"/>
    <cellStyle name="Normal 3 5 5 13 2" xfId="10821"/>
    <cellStyle name="Normal 3 5 5 14" xfId="10822"/>
    <cellStyle name="Normal 3 5 5 2" xfId="10823"/>
    <cellStyle name="Normal 3 5 5 2 10" xfId="10824"/>
    <cellStyle name="Normal 3 5 5 2 10 2" xfId="10825"/>
    <cellStyle name="Normal 3 5 5 2 11" xfId="10826"/>
    <cellStyle name="Normal 3 5 5 2 11 2" xfId="10827"/>
    <cellStyle name="Normal 3 5 5 2 12" xfId="10828"/>
    <cellStyle name="Normal 3 5 5 2 12 2" xfId="10829"/>
    <cellStyle name="Normal 3 5 5 2 13" xfId="10830"/>
    <cellStyle name="Normal 3 5 5 2 2" xfId="10831"/>
    <cellStyle name="Normal 3 5 5 2 2 2" xfId="10832"/>
    <cellStyle name="Normal 3 5 5 2 2 2 2" xfId="10833"/>
    <cellStyle name="Normal 3 5 5 2 2 2 2 2" xfId="10834"/>
    <cellStyle name="Normal 3 5 5 2 2 2 2 2 2" xfId="10835"/>
    <cellStyle name="Normal 3 5 5 2 2 2 2 3" xfId="10836"/>
    <cellStyle name="Normal 3 5 5 2 2 2 2 3 2" xfId="10837"/>
    <cellStyle name="Normal 3 5 5 2 2 2 2 4" xfId="10838"/>
    <cellStyle name="Normal 3 5 5 2 2 2 2 4 2" xfId="10839"/>
    <cellStyle name="Normal 3 5 5 2 2 2 2 5" xfId="10840"/>
    <cellStyle name="Normal 3 5 5 2 2 2 3" xfId="10841"/>
    <cellStyle name="Normal 3 5 5 2 2 2 3 2" xfId="10842"/>
    <cellStyle name="Normal 3 5 5 2 2 2 3 2 2" xfId="10843"/>
    <cellStyle name="Normal 3 5 5 2 2 2 3 3" xfId="10844"/>
    <cellStyle name="Normal 3 5 5 2 2 2 3 3 2" xfId="10845"/>
    <cellStyle name="Normal 3 5 5 2 2 2 3 4" xfId="10846"/>
    <cellStyle name="Normal 3 5 5 2 2 2 3 4 2" xfId="10847"/>
    <cellStyle name="Normal 3 5 5 2 2 2 3 5" xfId="10848"/>
    <cellStyle name="Normal 3 5 5 2 2 2 4" xfId="10849"/>
    <cellStyle name="Normal 3 5 5 2 2 2 4 2" xfId="10850"/>
    <cellStyle name="Normal 3 5 5 2 2 2 5" xfId="10851"/>
    <cellStyle name="Normal 3 5 5 2 2 2 5 2" xfId="10852"/>
    <cellStyle name="Normal 3 5 5 2 2 2 6" xfId="10853"/>
    <cellStyle name="Normal 3 5 5 2 2 2 6 2" xfId="10854"/>
    <cellStyle name="Normal 3 5 5 2 2 2 7" xfId="10855"/>
    <cellStyle name="Normal 3 5 5 2 2 3" xfId="10856"/>
    <cellStyle name="Normal 3 5 5 2 2 3 2" xfId="10857"/>
    <cellStyle name="Normal 3 5 5 2 2 3 2 2" xfId="10858"/>
    <cellStyle name="Normal 3 5 5 2 2 3 3" xfId="10859"/>
    <cellStyle name="Normal 3 5 5 2 2 3 3 2" xfId="10860"/>
    <cellStyle name="Normal 3 5 5 2 2 3 4" xfId="10861"/>
    <cellStyle name="Normal 3 5 5 2 2 3 4 2" xfId="10862"/>
    <cellStyle name="Normal 3 5 5 2 2 3 5" xfId="10863"/>
    <cellStyle name="Normal 3 5 5 2 2 4" xfId="10864"/>
    <cellStyle name="Normal 3 5 5 2 2 4 2" xfId="10865"/>
    <cellStyle name="Normal 3 5 5 2 2 4 2 2" xfId="10866"/>
    <cellStyle name="Normal 3 5 5 2 2 4 3" xfId="10867"/>
    <cellStyle name="Normal 3 5 5 2 2 4 3 2" xfId="10868"/>
    <cellStyle name="Normal 3 5 5 2 2 4 4" xfId="10869"/>
    <cellStyle name="Normal 3 5 5 2 2 4 4 2" xfId="10870"/>
    <cellStyle name="Normal 3 5 5 2 2 4 5" xfId="10871"/>
    <cellStyle name="Normal 3 5 5 2 2 5" xfId="10872"/>
    <cellStyle name="Normal 3 5 5 2 2 5 2" xfId="10873"/>
    <cellStyle name="Normal 3 5 5 2 2 6" xfId="10874"/>
    <cellStyle name="Normal 3 5 5 2 2 6 2" xfId="10875"/>
    <cellStyle name="Normal 3 5 5 2 2 7" xfId="10876"/>
    <cellStyle name="Normal 3 5 5 2 2 7 2" xfId="10877"/>
    <cellStyle name="Normal 3 5 5 2 2 8" xfId="10878"/>
    <cellStyle name="Normal 3 5 5 2 3" xfId="10879"/>
    <cellStyle name="Normal 3 5 5 2 3 2" xfId="10880"/>
    <cellStyle name="Normal 3 5 5 2 3 2 2" xfId="10881"/>
    <cellStyle name="Normal 3 5 5 2 3 2 2 2" xfId="10882"/>
    <cellStyle name="Normal 3 5 5 2 3 2 2 2 2" xfId="10883"/>
    <cellStyle name="Normal 3 5 5 2 3 2 2 3" xfId="10884"/>
    <cellStyle name="Normal 3 5 5 2 3 2 2 3 2" xfId="10885"/>
    <cellStyle name="Normal 3 5 5 2 3 2 2 4" xfId="10886"/>
    <cellStyle name="Normal 3 5 5 2 3 2 2 4 2" xfId="10887"/>
    <cellStyle name="Normal 3 5 5 2 3 2 2 5" xfId="10888"/>
    <cellStyle name="Normal 3 5 5 2 3 2 3" xfId="10889"/>
    <cellStyle name="Normal 3 5 5 2 3 2 3 2" xfId="10890"/>
    <cellStyle name="Normal 3 5 5 2 3 2 3 2 2" xfId="10891"/>
    <cellStyle name="Normal 3 5 5 2 3 2 3 3" xfId="10892"/>
    <cellStyle name="Normal 3 5 5 2 3 2 3 3 2" xfId="10893"/>
    <cellStyle name="Normal 3 5 5 2 3 2 3 4" xfId="10894"/>
    <cellStyle name="Normal 3 5 5 2 3 2 3 4 2" xfId="10895"/>
    <cellStyle name="Normal 3 5 5 2 3 2 3 5" xfId="10896"/>
    <cellStyle name="Normal 3 5 5 2 3 2 4" xfId="10897"/>
    <cellStyle name="Normal 3 5 5 2 3 2 4 2" xfId="10898"/>
    <cellStyle name="Normal 3 5 5 2 3 2 5" xfId="10899"/>
    <cellStyle name="Normal 3 5 5 2 3 2 5 2" xfId="10900"/>
    <cellStyle name="Normal 3 5 5 2 3 2 6" xfId="10901"/>
    <cellStyle name="Normal 3 5 5 2 3 2 6 2" xfId="10902"/>
    <cellStyle name="Normal 3 5 5 2 3 2 7" xfId="10903"/>
    <cellStyle name="Normal 3 5 5 2 3 3" xfId="10904"/>
    <cellStyle name="Normal 3 5 5 2 3 3 2" xfId="10905"/>
    <cellStyle name="Normal 3 5 5 2 3 3 2 2" xfId="10906"/>
    <cellStyle name="Normal 3 5 5 2 3 3 3" xfId="10907"/>
    <cellStyle name="Normal 3 5 5 2 3 3 3 2" xfId="10908"/>
    <cellStyle name="Normal 3 5 5 2 3 3 4" xfId="10909"/>
    <cellStyle name="Normal 3 5 5 2 3 3 4 2" xfId="10910"/>
    <cellStyle name="Normal 3 5 5 2 3 3 5" xfId="10911"/>
    <cellStyle name="Normal 3 5 5 2 3 4" xfId="10912"/>
    <cellStyle name="Normal 3 5 5 2 3 4 2" xfId="10913"/>
    <cellStyle name="Normal 3 5 5 2 3 4 2 2" xfId="10914"/>
    <cellStyle name="Normal 3 5 5 2 3 4 3" xfId="10915"/>
    <cellStyle name="Normal 3 5 5 2 3 4 3 2" xfId="10916"/>
    <cellStyle name="Normal 3 5 5 2 3 4 4" xfId="10917"/>
    <cellStyle name="Normal 3 5 5 2 3 4 4 2" xfId="10918"/>
    <cellStyle name="Normal 3 5 5 2 3 4 5" xfId="10919"/>
    <cellStyle name="Normal 3 5 5 2 3 5" xfId="10920"/>
    <cellStyle name="Normal 3 5 5 2 3 5 2" xfId="10921"/>
    <cellStyle name="Normal 3 5 5 2 3 6" xfId="10922"/>
    <cellStyle name="Normal 3 5 5 2 3 6 2" xfId="10923"/>
    <cellStyle name="Normal 3 5 5 2 3 7" xfId="10924"/>
    <cellStyle name="Normal 3 5 5 2 3 7 2" xfId="10925"/>
    <cellStyle name="Normal 3 5 5 2 3 8" xfId="10926"/>
    <cellStyle name="Normal 3 5 5 2 4" xfId="10927"/>
    <cellStyle name="Normal 3 5 5 2 4 2" xfId="10928"/>
    <cellStyle name="Normal 3 5 5 2 4 2 2" xfId="10929"/>
    <cellStyle name="Normal 3 5 5 2 4 2 2 2" xfId="10930"/>
    <cellStyle name="Normal 3 5 5 2 4 2 2 2 2" xfId="10931"/>
    <cellStyle name="Normal 3 5 5 2 4 2 2 3" xfId="10932"/>
    <cellStyle name="Normal 3 5 5 2 4 2 2 3 2" xfId="10933"/>
    <cellStyle name="Normal 3 5 5 2 4 2 2 4" xfId="10934"/>
    <cellStyle name="Normal 3 5 5 2 4 2 2 4 2" xfId="10935"/>
    <cellStyle name="Normal 3 5 5 2 4 2 2 5" xfId="10936"/>
    <cellStyle name="Normal 3 5 5 2 4 2 3" xfId="10937"/>
    <cellStyle name="Normal 3 5 5 2 4 2 3 2" xfId="10938"/>
    <cellStyle name="Normal 3 5 5 2 4 2 3 2 2" xfId="10939"/>
    <cellStyle name="Normal 3 5 5 2 4 2 3 3" xfId="10940"/>
    <cellStyle name="Normal 3 5 5 2 4 2 3 3 2" xfId="10941"/>
    <cellStyle name="Normal 3 5 5 2 4 2 3 4" xfId="10942"/>
    <cellStyle name="Normal 3 5 5 2 4 2 3 4 2" xfId="10943"/>
    <cellStyle name="Normal 3 5 5 2 4 2 3 5" xfId="10944"/>
    <cellStyle name="Normal 3 5 5 2 4 2 4" xfId="10945"/>
    <cellStyle name="Normal 3 5 5 2 4 2 4 2" xfId="10946"/>
    <cellStyle name="Normal 3 5 5 2 4 2 5" xfId="10947"/>
    <cellStyle name="Normal 3 5 5 2 4 2 5 2" xfId="10948"/>
    <cellStyle name="Normal 3 5 5 2 4 2 6" xfId="10949"/>
    <cellStyle name="Normal 3 5 5 2 4 2 6 2" xfId="10950"/>
    <cellStyle name="Normal 3 5 5 2 4 2 7" xfId="10951"/>
    <cellStyle name="Normal 3 5 5 2 4 3" xfId="10952"/>
    <cellStyle name="Normal 3 5 5 2 4 3 2" xfId="10953"/>
    <cellStyle name="Normal 3 5 5 2 4 3 2 2" xfId="10954"/>
    <cellStyle name="Normal 3 5 5 2 4 3 3" xfId="10955"/>
    <cellStyle name="Normal 3 5 5 2 4 3 3 2" xfId="10956"/>
    <cellStyle name="Normal 3 5 5 2 4 3 4" xfId="10957"/>
    <cellStyle name="Normal 3 5 5 2 4 3 4 2" xfId="10958"/>
    <cellStyle name="Normal 3 5 5 2 4 3 5" xfId="10959"/>
    <cellStyle name="Normal 3 5 5 2 4 4" xfId="10960"/>
    <cellStyle name="Normal 3 5 5 2 4 4 2" xfId="10961"/>
    <cellStyle name="Normal 3 5 5 2 4 4 2 2" xfId="10962"/>
    <cellStyle name="Normal 3 5 5 2 4 4 3" xfId="10963"/>
    <cellStyle name="Normal 3 5 5 2 4 4 3 2" xfId="10964"/>
    <cellStyle name="Normal 3 5 5 2 4 4 4" xfId="10965"/>
    <cellStyle name="Normal 3 5 5 2 4 4 4 2" xfId="10966"/>
    <cellStyle name="Normal 3 5 5 2 4 4 5" xfId="10967"/>
    <cellStyle name="Normal 3 5 5 2 4 5" xfId="10968"/>
    <cellStyle name="Normal 3 5 5 2 4 5 2" xfId="10969"/>
    <cellStyle name="Normal 3 5 5 2 4 6" xfId="10970"/>
    <cellStyle name="Normal 3 5 5 2 4 6 2" xfId="10971"/>
    <cellStyle name="Normal 3 5 5 2 4 7" xfId="10972"/>
    <cellStyle name="Normal 3 5 5 2 4 7 2" xfId="10973"/>
    <cellStyle name="Normal 3 5 5 2 4 8" xfId="10974"/>
    <cellStyle name="Normal 3 5 5 2 5" xfId="10975"/>
    <cellStyle name="Normal 3 5 5 2 5 2" xfId="10976"/>
    <cellStyle name="Normal 3 5 5 2 5 2 2" xfId="10977"/>
    <cellStyle name="Normal 3 5 5 2 5 2 2 2" xfId="10978"/>
    <cellStyle name="Normal 3 5 5 2 5 2 2 2 2" xfId="10979"/>
    <cellStyle name="Normal 3 5 5 2 5 2 2 3" xfId="10980"/>
    <cellStyle name="Normal 3 5 5 2 5 2 2 3 2" xfId="10981"/>
    <cellStyle name="Normal 3 5 5 2 5 2 2 4" xfId="10982"/>
    <cellStyle name="Normal 3 5 5 2 5 2 2 4 2" xfId="10983"/>
    <cellStyle name="Normal 3 5 5 2 5 2 2 5" xfId="10984"/>
    <cellStyle name="Normal 3 5 5 2 5 2 3" xfId="10985"/>
    <cellStyle name="Normal 3 5 5 2 5 2 3 2" xfId="10986"/>
    <cellStyle name="Normal 3 5 5 2 5 2 3 2 2" xfId="10987"/>
    <cellStyle name="Normal 3 5 5 2 5 2 3 3" xfId="10988"/>
    <cellStyle name="Normal 3 5 5 2 5 2 3 3 2" xfId="10989"/>
    <cellStyle name="Normal 3 5 5 2 5 2 3 4" xfId="10990"/>
    <cellStyle name="Normal 3 5 5 2 5 2 3 4 2" xfId="10991"/>
    <cellStyle name="Normal 3 5 5 2 5 2 3 5" xfId="10992"/>
    <cellStyle name="Normal 3 5 5 2 5 2 4" xfId="10993"/>
    <cellStyle name="Normal 3 5 5 2 5 2 4 2" xfId="10994"/>
    <cellStyle name="Normal 3 5 5 2 5 2 5" xfId="10995"/>
    <cellStyle name="Normal 3 5 5 2 5 2 5 2" xfId="10996"/>
    <cellStyle name="Normal 3 5 5 2 5 2 6" xfId="10997"/>
    <cellStyle name="Normal 3 5 5 2 5 2 6 2" xfId="10998"/>
    <cellStyle name="Normal 3 5 5 2 5 2 7" xfId="10999"/>
    <cellStyle name="Normal 3 5 5 2 5 3" xfId="11000"/>
    <cellStyle name="Normal 3 5 5 2 5 3 2" xfId="11001"/>
    <cellStyle name="Normal 3 5 5 2 5 3 2 2" xfId="11002"/>
    <cellStyle name="Normal 3 5 5 2 5 3 3" xfId="11003"/>
    <cellStyle name="Normal 3 5 5 2 5 3 3 2" xfId="11004"/>
    <cellStyle name="Normal 3 5 5 2 5 3 4" xfId="11005"/>
    <cellStyle name="Normal 3 5 5 2 5 3 4 2" xfId="11006"/>
    <cellStyle name="Normal 3 5 5 2 5 3 5" xfId="11007"/>
    <cellStyle name="Normal 3 5 5 2 5 4" xfId="11008"/>
    <cellStyle name="Normal 3 5 5 2 5 4 2" xfId="11009"/>
    <cellStyle name="Normal 3 5 5 2 5 4 2 2" xfId="11010"/>
    <cellStyle name="Normal 3 5 5 2 5 4 3" xfId="11011"/>
    <cellStyle name="Normal 3 5 5 2 5 4 3 2" xfId="11012"/>
    <cellStyle name="Normal 3 5 5 2 5 4 4" xfId="11013"/>
    <cellStyle name="Normal 3 5 5 2 5 4 4 2" xfId="11014"/>
    <cellStyle name="Normal 3 5 5 2 5 4 5" xfId="11015"/>
    <cellStyle name="Normal 3 5 5 2 5 5" xfId="11016"/>
    <cellStyle name="Normal 3 5 5 2 5 5 2" xfId="11017"/>
    <cellStyle name="Normal 3 5 5 2 5 6" xfId="11018"/>
    <cellStyle name="Normal 3 5 5 2 5 6 2" xfId="11019"/>
    <cellStyle name="Normal 3 5 5 2 5 7" xfId="11020"/>
    <cellStyle name="Normal 3 5 5 2 5 7 2" xfId="11021"/>
    <cellStyle name="Normal 3 5 5 2 5 8" xfId="11022"/>
    <cellStyle name="Normal 3 5 5 2 6" xfId="11023"/>
    <cellStyle name="Normal 3 5 5 2 6 2" xfId="11024"/>
    <cellStyle name="Normal 3 5 5 2 6 2 2" xfId="11025"/>
    <cellStyle name="Normal 3 5 5 2 6 2 2 2" xfId="11026"/>
    <cellStyle name="Normal 3 5 5 2 6 2 2 2 2" xfId="11027"/>
    <cellStyle name="Normal 3 5 5 2 6 2 2 3" xfId="11028"/>
    <cellStyle name="Normal 3 5 5 2 6 2 2 3 2" xfId="11029"/>
    <cellStyle name="Normal 3 5 5 2 6 2 2 4" xfId="11030"/>
    <cellStyle name="Normal 3 5 5 2 6 2 2 4 2" xfId="11031"/>
    <cellStyle name="Normal 3 5 5 2 6 2 2 5" xfId="11032"/>
    <cellStyle name="Normal 3 5 5 2 6 2 3" xfId="11033"/>
    <cellStyle name="Normal 3 5 5 2 6 2 3 2" xfId="11034"/>
    <cellStyle name="Normal 3 5 5 2 6 2 3 2 2" xfId="11035"/>
    <cellStyle name="Normal 3 5 5 2 6 2 3 3" xfId="11036"/>
    <cellStyle name="Normal 3 5 5 2 6 2 3 3 2" xfId="11037"/>
    <cellStyle name="Normal 3 5 5 2 6 2 3 4" xfId="11038"/>
    <cellStyle name="Normal 3 5 5 2 6 2 3 4 2" xfId="11039"/>
    <cellStyle name="Normal 3 5 5 2 6 2 3 5" xfId="11040"/>
    <cellStyle name="Normal 3 5 5 2 6 2 4" xfId="11041"/>
    <cellStyle name="Normal 3 5 5 2 6 2 4 2" xfId="11042"/>
    <cellStyle name="Normal 3 5 5 2 6 2 5" xfId="11043"/>
    <cellStyle name="Normal 3 5 5 2 6 2 5 2" xfId="11044"/>
    <cellStyle name="Normal 3 5 5 2 6 2 6" xfId="11045"/>
    <cellStyle name="Normal 3 5 5 2 6 2 6 2" xfId="11046"/>
    <cellStyle name="Normal 3 5 5 2 6 2 7" xfId="11047"/>
    <cellStyle name="Normal 3 5 5 2 6 3" xfId="11048"/>
    <cellStyle name="Normal 3 5 5 2 6 3 2" xfId="11049"/>
    <cellStyle name="Normal 3 5 5 2 6 3 2 2" xfId="11050"/>
    <cellStyle name="Normal 3 5 5 2 6 3 3" xfId="11051"/>
    <cellStyle name="Normal 3 5 5 2 6 3 3 2" xfId="11052"/>
    <cellStyle name="Normal 3 5 5 2 6 3 4" xfId="11053"/>
    <cellStyle name="Normal 3 5 5 2 6 3 4 2" xfId="11054"/>
    <cellStyle name="Normal 3 5 5 2 6 3 5" xfId="11055"/>
    <cellStyle name="Normal 3 5 5 2 6 4" xfId="11056"/>
    <cellStyle name="Normal 3 5 5 2 6 4 2" xfId="11057"/>
    <cellStyle name="Normal 3 5 5 2 6 4 2 2" xfId="11058"/>
    <cellStyle name="Normal 3 5 5 2 6 4 3" xfId="11059"/>
    <cellStyle name="Normal 3 5 5 2 6 4 3 2" xfId="11060"/>
    <cellStyle name="Normal 3 5 5 2 6 4 4" xfId="11061"/>
    <cellStyle name="Normal 3 5 5 2 6 4 4 2" xfId="11062"/>
    <cellStyle name="Normal 3 5 5 2 6 4 5" xfId="11063"/>
    <cellStyle name="Normal 3 5 5 2 6 5" xfId="11064"/>
    <cellStyle name="Normal 3 5 5 2 6 5 2" xfId="11065"/>
    <cellStyle name="Normal 3 5 5 2 6 6" xfId="11066"/>
    <cellStyle name="Normal 3 5 5 2 6 6 2" xfId="11067"/>
    <cellStyle name="Normal 3 5 5 2 6 7" xfId="11068"/>
    <cellStyle name="Normal 3 5 5 2 6 7 2" xfId="11069"/>
    <cellStyle name="Normal 3 5 5 2 6 8" xfId="11070"/>
    <cellStyle name="Normal 3 5 5 2 7" xfId="11071"/>
    <cellStyle name="Normal 3 5 5 2 7 2" xfId="11072"/>
    <cellStyle name="Normal 3 5 5 2 7 2 2" xfId="11073"/>
    <cellStyle name="Normal 3 5 5 2 7 2 2 2" xfId="11074"/>
    <cellStyle name="Normal 3 5 5 2 7 2 3" xfId="11075"/>
    <cellStyle name="Normal 3 5 5 2 7 2 3 2" xfId="11076"/>
    <cellStyle name="Normal 3 5 5 2 7 2 4" xfId="11077"/>
    <cellStyle name="Normal 3 5 5 2 7 2 4 2" xfId="11078"/>
    <cellStyle name="Normal 3 5 5 2 7 2 5" xfId="11079"/>
    <cellStyle name="Normal 3 5 5 2 7 3" xfId="11080"/>
    <cellStyle name="Normal 3 5 5 2 7 3 2" xfId="11081"/>
    <cellStyle name="Normal 3 5 5 2 7 3 2 2" xfId="11082"/>
    <cellStyle name="Normal 3 5 5 2 7 3 3" xfId="11083"/>
    <cellStyle name="Normal 3 5 5 2 7 3 3 2" xfId="11084"/>
    <cellStyle name="Normal 3 5 5 2 7 3 4" xfId="11085"/>
    <cellStyle name="Normal 3 5 5 2 7 3 4 2" xfId="11086"/>
    <cellStyle name="Normal 3 5 5 2 7 3 5" xfId="11087"/>
    <cellStyle name="Normal 3 5 5 2 7 4" xfId="11088"/>
    <cellStyle name="Normal 3 5 5 2 7 4 2" xfId="11089"/>
    <cellStyle name="Normal 3 5 5 2 7 5" xfId="11090"/>
    <cellStyle name="Normal 3 5 5 2 7 5 2" xfId="11091"/>
    <cellStyle name="Normal 3 5 5 2 7 6" xfId="11092"/>
    <cellStyle name="Normal 3 5 5 2 7 6 2" xfId="11093"/>
    <cellStyle name="Normal 3 5 5 2 7 7" xfId="11094"/>
    <cellStyle name="Normal 3 5 5 2 8" xfId="11095"/>
    <cellStyle name="Normal 3 5 5 2 8 2" xfId="11096"/>
    <cellStyle name="Normal 3 5 5 2 8 2 2" xfId="11097"/>
    <cellStyle name="Normal 3 5 5 2 8 3" xfId="11098"/>
    <cellStyle name="Normal 3 5 5 2 8 3 2" xfId="11099"/>
    <cellStyle name="Normal 3 5 5 2 8 4" xfId="11100"/>
    <cellStyle name="Normal 3 5 5 2 8 4 2" xfId="11101"/>
    <cellStyle name="Normal 3 5 5 2 8 5" xfId="11102"/>
    <cellStyle name="Normal 3 5 5 2 9" xfId="11103"/>
    <cellStyle name="Normal 3 5 5 2 9 2" xfId="11104"/>
    <cellStyle name="Normal 3 5 5 2 9 2 2" xfId="11105"/>
    <cellStyle name="Normal 3 5 5 2 9 3" xfId="11106"/>
    <cellStyle name="Normal 3 5 5 2 9 3 2" xfId="11107"/>
    <cellStyle name="Normal 3 5 5 2 9 4" xfId="11108"/>
    <cellStyle name="Normal 3 5 5 2 9 4 2" xfId="11109"/>
    <cellStyle name="Normal 3 5 5 2 9 5" xfId="11110"/>
    <cellStyle name="Normal 3 5 5 3" xfId="11111"/>
    <cellStyle name="Normal 3 5 5 3 2" xfId="11112"/>
    <cellStyle name="Normal 3 5 5 3 2 2" xfId="11113"/>
    <cellStyle name="Normal 3 5 5 3 2 2 2" xfId="11114"/>
    <cellStyle name="Normal 3 5 5 3 2 2 2 2" xfId="11115"/>
    <cellStyle name="Normal 3 5 5 3 2 2 3" xfId="11116"/>
    <cellStyle name="Normal 3 5 5 3 2 2 3 2" xfId="11117"/>
    <cellStyle name="Normal 3 5 5 3 2 2 4" xfId="11118"/>
    <cellStyle name="Normal 3 5 5 3 2 2 4 2" xfId="11119"/>
    <cellStyle name="Normal 3 5 5 3 2 2 5" xfId="11120"/>
    <cellStyle name="Normal 3 5 5 3 2 3" xfId="11121"/>
    <cellStyle name="Normal 3 5 5 3 2 3 2" xfId="11122"/>
    <cellStyle name="Normal 3 5 5 3 2 3 2 2" xfId="11123"/>
    <cellStyle name="Normal 3 5 5 3 2 3 3" xfId="11124"/>
    <cellStyle name="Normal 3 5 5 3 2 3 3 2" xfId="11125"/>
    <cellStyle name="Normal 3 5 5 3 2 3 4" xfId="11126"/>
    <cellStyle name="Normal 3 5 5 3 2 3 4 2" xfId="11127"/>
    <cellStyle name="Normal 3 5 5 3 2 3 5" xfId="11128"/>
    <cellStyle name="Normal 3 5 5 3 2 4" xfId="11129"/>
    <cellStyle name="Normal 3 5 5 3 2 4 2" xfId="11130"/>
    <cellStyle name="Normal 3 5 5 3 2 5" xfId="11131"/>
    <cellStyle name="Normal 3 5 5 3 2 5 2" xfId="11132"/>
    <cellStyle name="Normal 3 5 5 3 2 6" xfId="11133"/>
    <cellStyle name="Normal 3 5 5 3 2 6 2" xfId="11134"/>
    <cellStyle name="Normal 3 5 5 3 2 7" xfId="11135"/>
    <cellStyle name="Normal 3 5 5 3 3" xfId="11136"/>
    <cellStyle name="Normal 3 5 5 3 3 2" xfId="11137"/>
    <cellStyle name="Normal 3 5 5 3 3 2 2" xfId="11138"/>
    <cellStyle name="Normal 3 5 5 3 3 3" xfId="11139"/>
    <cellStyle name="Normal 3 5 5 3 3 3 2" xfId="11140"/>
    <cellStyle name="Normal 3 5 5 3 3 4" xfId="11141"/>
    <cellStyle name="Normal 3 5 5 3 3 4 2" xfId="11142"/>
    <cellStyle name="Normal 3 5 5 3 3 5" xfId="11143"/>
    <cellStyle name="Normal 3 5 5 3 4" xfId="11144"/>
    <cellStyle name="Normal 3 5 5 3 4 2" xfId="11145"/>
    <cellStyle name="Normal 3 5 5 3 4 2 2" xfId="11146"/>
    <cellStyle name="Normal 3 5 5 3 4 3" xfId="11147"/>
    <cellStyle name="Normal 3 5 5 3 4 3 2" xfId="11148"/>
    <cellStyle name="Normal 3 5 5 3 4 4" xfId="11149"/>
    <cellStyle name="Normal 3 5 5 3 4 4 2" xfId="11150"/>
    <cellStyle name="Normal 3 5 5 3 4 5" xfId="11151"/>
    <cellStyle name="Normal 3 5 5 3 5" xfId="11152"/>
    <cellStyle name="Normal 3 5 5 3 5 2" xfId="11153"/>
    <cellStyle name="Normal 3 5 5 3 6" xfId="11154"/>
    <cellStyle name="Normal 3 5 5 3 6 2" xfId="11155"/>
    <cellStyle name="Normal 3 5 5 3 7" xfId="11156"/>
    <cellStyle name="Normal 3 5 5 3 7 2" xfId="11157"/>
    <cellStyle name="Normal 3 5 5 3 8" xfId="11158"/>
    <cellStyle name="Normal 3 5 5 4" xfId="11159"/>
    <cellStyle name="Normal 3 5 5 4 2" xfId="11160"/>
    <cellStyle name="Normal 3 5 5 4 2 2" xfId="11161"/>
    <cellStyle name="Normal 3 5 5 4 2 2 2" xfId="11162"/>
    <cellStyle name="Normal 3 5 5 4 2 2 2 2" xfId="11163"/>
    <cellStyle name="Normal 3 5 5 4 2 2 3" xfId="11164"/>
    <cellStyle name="Normal 3 5 5 4 2 2 3 2" xfId="11165"/>
    <cellStyle name="Normal 3 5 5 4 2 2 4" xfId="11166"/>
    <cellStyle name="Normal 3 5 5 4 2 2 4 2" xfId="11167"/>
    <cellStyle name="Normal 3 5 5 4 2 2 5" xfId="11168"/>
    <cellStyle name="Normal 3 5 5 4 2 3" xfId="11169"/>
    <cellStyle name="Normal 3 5 5 4 2 3 2" xfId="11170"/>
    <cellStyle name="Normal 3 5 5 4 2 3 2 2" xfId="11171"/>
    <cellStyle name="Normal 3 5 5 4 2 3 3" xfId="11172"/>
    <cellStyle name="Normal 3 5 5 4 2 3 3 2" xfId="11173"/>
    <cellStyle name="Normal 3 5 5 4 2 3 4" xfId="11174"/>
    <cellStyle name="Normal 3 5 5 4 2 3 4 2" xfId="11175"/>
    <cellStyle name="Normal 3 5 5 4 2 3 5" xfId="11176"/>
    <cellStyle name="Normal 3 5 5 4 2 4" xfId="11177"/>
    <cellStyle name="Normal 3 5 5 4 2 4 2" xfId="11178"/>
    <cellStyle name="Normal 3 5 5 4 2 5" xfId="11179"/>
    <cellStyle name="Normal 3 5 5 4 2 5 2" xfId="11180"/>
    <cellStyle name="Normal 3 5 5 4 2 6" xfId="11181"/>
    <cellStyle name="Normal 3 5 5 4 2 6 2" xfId="11182"/>
    <cellStyle name="Normal 3 5 5 4 2 7" xfId="11183"/>
    <cellStyle name="Normal 3 5 5 4 3" xfId="11184"/>
    <cellStyle name="Normal 3 5 5 4 3 2" xfId="11185"/>
    <cellStyle name="Normal 3 5 5 4 3 2 2" xfId="11186"/>
    <cellStyle name="Normal 3 5 5 4 3 3" xfId="11187"/>
    <cellStyle name="Normal 3 5 5 4 3 3 2" xfId="11188"/>
    <cellStyle name="Normal 3 5 5 4 3 4" xfId="11189"/>
    <cellStyle name="Normal 3 5 5 4 3 4 2" xfId="11190"/>
    <cellStyle name="Normal 3 5 5 4 3 5" xfId="11191"/>
    <cellStyle name="Normal 3 5 5 4 4" xfId="11192"/>
    <cellStyle name="Normal 3 5 5 4 4 2" xfId="11193"/>
    <cellStyle name="Normal 3 5 5 4 4 2 2" xfId="11194"/>
    <cellStyle name="Normal 3 5 5 4 4 3" xfId="11195"/>
    <cellStyle name="Normal 3 5 5 4 4 3 2" xfId="11196"/>
    <cellStyle name="Normal 3 5 5 4 4 4" xfId="11197"/>
    <cellStyle name="Normal 3 5 5 4 4 4 2" xfId="11198"/>
    <cellStyle name="Normal 3 5 5 4 4 5" xfId="11199"/>
    <cellStyle name="Normal 3 5 5 4 5" xfId="11200"/>
    <cellStyle name="Normal 3 5 5 4 5 2" xfId="11201"/>
    <cellStyle name="Normal 3 5 5 4 6" xfId="11202"/>
    <cellStyle name="Normal 3 5 5 4 6 2" xfId="11203"/>
    <cellStyle name="Normal 3 5 5 4 7" xfId="11204"/>
    <cellStyle name="Normal 3 5 5 4 7 2" xfId="11205"/>
    <cellStyle name="Normal 3 5 5 4 8" xfId="11206"/>
    <cellStyle name="Normal 3 5 5 5" xfId="11207"/>
    <cellStyle name="Normal 3 5 5 5 2" xfId="11208"/>
    <cellStyle name="Normal 3 5 5 5 2 2" xfId="11209"/>
    <cellStyle name="Normal 3 5 5 5 2 2 2" xfId="11210"/>
    <cellStyle name="Normal 3 5 5 5 2 2 2 2" xfId="11211"/>
    <cellStyle name="Normal 3 5 5 5 2 2 3" xfId="11212"/>
    <cellStyle name="Normal 3 5 5 5 2 2 3 2" xfId="11213"/>
    <cellStyle name="Normal 3 5 5 5 2 2 4" xfId="11214"/>
    <cellStyle name="Normal 3 5 5 5 2 2 4 2" xfId="11215"/>
    <cellStyle name="Normal 3 5 5 5 2 2 5" xfId="11216"/>
    <cellStyle name="Normal 3 5 5 5 2 3" xfId="11217"/>
    <cellStyle name="Normal 3 5 5 5 2 3 2" xfId="11218"/>
    <cellStyle name="Normal 3 5 5 5 2 3 2 2" xfId="11219"/>
    <cellStyle name="Normal 3 5 5 5 2 3 3" xfId="11220"/>
    <cellStyle name="Normal 3 5 5 5 2 3 3 2" xfId="11221"/>
    <cellStyle name="Normal 3 5 5 5 2 3 4" xfId="11222"/>
    <cellStyle name="Normal 3 5 5 5 2 3 4 2" xfId="11223"/>
    <cellStyle name="Normal 3 5 5 5 2 3 5" xfId="11224"/>
    <cellStyle name="Normal 3 5 5 5 2 4" xfId="11225"/>
    <cellStyle name="Normal 3 5 5 5 2 4 2" xfId="11226"/>
    <cellStyle name="Normal 3 5 5 5 2 5" xfId="11227"/>
    <cellStyle name="Normal 3 5 5 5 2 5 2" xfId="11228"/>
    <cellStyle name="Normal 3 5 5 5 2 6" xfId="11229"/>
    <cellStyle name="Normal 3 5 5 5 2 6 2" xfId="11230"/>
    <cellStyle name="Normal 3 5 5 5 2 7" xfId="11231"/>
    <cellStyle name="Normal 3 5 5 5 3" xfId="11232"/>
    <cellStyle name="Normal 3 5 5 5 3 2" xfId="11233"/>
    <cellStyle name="Normal 3 5 5 5 3 2 2" xfId="11234"/>
    <cellStyle name="Normal 3 5 5 5 3 3" xfId="11235"/>
    <cellStyle name="Normal 3 5 5 5 3 3 2" xfId="11236"/>
    <cellStyle name="Normal 3 5 5 5 3 4" xfId="11237"/>
    <cellStyle name="Normal 3 5 5 5 3 4 2" xfId="11238"/>
    <cellStyle name="Normal 3 5 5 5 3 5" xfId="11239"/>
    <cellStyle name="Normal 3 5 5 5 4" xfId="11240"/>
    <cellStyle name="Normal 3 5 5 5 4 2" xfId="11241"/>
    <cellStyle name="Normal 3 5 5 5 4 2 2" xfId="11242"/>
    <cellStyle name="Normal 3 5 5 5 4 3" xfId="11243"/>
    <cellStyle name="Normal 3 5 5 5 4 3 2" xfId="11244"/>
    <cellStyle name="Normal 3 5 5 5 4 4" xfId="11245"/>
    <cellStyle name="Normal 3 5 5 5 4 4 2" xfId="11246"/>
    <cellStyle name="Normal 3 5 5 5 4 5" xfId="11247"/>
    <cellStyle name="Normal 3 5 5 5 5" xfId="11248"/>
    <cellStyle name="Normal 3 5 5 5 5 2" xfId="11249"/>
    <cellStyle name="Normal 3 5 5 5 6" xfId="11250"/>
    <cellStyle name="Normal 3 5 5 5 6 2" xfId="11251"/>
    <cellStyle name="Normal 3 5 5 5 7" xfId="11252"/>
    <cellStyle name="Normal 3 5 5 5 7 2" xfId="11253"/>
    <cellStyle name="Normal 3 5 5 5 8" xfId="11254"/>
    <cellStyle name="Normal 3 5 5 6" xfId="11255"/>
    <cellStyle name="Normal 3 5 5 6 2" xfId="11256"/>
    <cellStyle name="Normal 3 5 5 6 2 2" xfId="11257"/>
    <cellStyle name="Normal 3 5 5 6 2 2 2" xfId="11258"/>
    <cellStyle name="Normal 3 5 5 6 2 2 2 2" xfId="11259"/>
    <cellStyle name="Normal 3 5 5 6 2 2 3" xfId="11260"/>
    <cellStyle name="Normal 3 5 5 6 2 2 3 2" xfId="11261"/>
    <cellStyle name="Normal 3 5 5 6 2 2 4" xfId="11262"/>
    <cellStyle name="Normal 3 5 5 6 2 2 4 2" xfId="11263"/>
    <cellStyle name="Normal 3 5 5 6 2 2 5" xfId="11264"/>
    <cellStyle name="Normal 3 5 5 6 2 3" xfId="11265"/>
    <cellStyle name="Normal 3 5 5 6 2 3 2" xfId="11266"/>
    <cellStyle name="Normal 3 5 5 6 2 3 2 2" xfId="11267"/>
    <cellStyle name="Normal 3 5 5 6 2 3 3" xfId="11268"/>
    <cellStyle name="Normal 3 5 5 6 2 3 3 2" xfId="11269"/>
    <cellStyle name="Normal 3 5 5 6 2 3 4" xfId="11270"/>
    <cellStyle name="Normal 3 5 5 6 2 3 4 2" xfId="11271"/>
    <cellStyle name="Normal 3 5 5 6 2 3 5" xfId="11272"/>
    <cellStyle name="Normal 3 5 5 6 2 4" xfId="11273"/>
    <cellStyle name="Normal 3 5 5 6 2 4 2" xfId="11274"/>
    <cellStyle name="Normal 3 5 5 6 2 5" xfId="11275"/>
    <cellStyle name="Normal 3 5 5 6 2 5 2" xfId="11276"/>
    <cellStyle name="Normal 3 5 5 6 2 6" xfId="11277"/>
    <cellStyle name="Normal 3 5 5 6 2 6 2" xfId="11278"/>
    <cellStyle name="Normal 3 5 5 6 2 7" xfId="11279"/>
    <cellStyle name="Normal 3 5 5 6 3" xfId="11280"/>
    <cellStyle name="Normal 3 5 5 6 3 2" xfId="11281"/>
    <cellStyle name="Normal 3 5 5 6 3 2 2" xfId="11282"/>
    <cellStyle name="Normal 3 5 5 6 3 3" xfId="11283"/>
    <cellStyle name="Normal 3 5 5 6 3 3 2" xfId="11284"/>
    <cellStyle name="Normal 3 5 5 6 3 4" xfId="11285"/>
    <cellStyle name="Normal 3 5 5 6 3 4 2" xfId="11286"/>
    <cellStyle name="Normal 3 5 5 6 3 5" xfId="11287"/>
    <cellStyle name="Normal 3 5 5 6 4" xfId="11288"/>
    <cellStyle name="Normal 3 5 5 6 4 2" xfId="11289"/>
    <cellStyle name="Normal 3 5 5 6 4 2 2" xfId="11290"/>
    <cellStyle name="Normal 3 5 5 6 4 3" xfId="11291"/>
    <cellStyle name="Normal 3 5 5 6 4 3 2" xfId="11292"/>
    <cellStyle name="Normal 3 5 5 6 4 4" xfId="11293"/>
    <cellStyle name="Normal 3 5 5 6 4 4 2" xfId="11294"/>
    <cellStyle name="Normal 3 5 5 6 4 5" xfId="11295"/>
    <cellStyle name="Normal 3 5 5 6 5" xfId="11296"/>
    <cellStyle name="Normal 3 5 5 6 5 2" xfId="11297"/>
    <cellStyle name="Normal 3 5 5 6 6" xfId="11298"/>
    <cellStyle name="Normal 3 5 5 6 6 2" xfId="11299"/>
    <cellStyle name="Normal 3 5 5 6 7" xfId="11300"/>
    <cellStyle name="Normal 3 5 5 6 7 2" xfId="11301"/>
    <cellStyle name="Normal 3 5 5 6 8" xfId="11302"/>
    <cellStyle name="Normal 3 5 5 7" xfId="11303"/>
    <cellStyle name="Normal 3 5 5 7 2" xfId="11304"/>
    <cellStyle name="Normal 3 5 5 7 2 2" xfId="11305"/>
    <cellStyle name="Normal 3 5 5 7 2 2 2" xfId="11306"/>
    <cellStyle name="Normal 3 5 5 7 2 2 2 2" xfId="11307"/>
    <cellStyle name="Normal 3 5 5 7 2 2 3" xfId="11308"/>
    <cellStyle name="Normal 3 5 5 7 2 2 3 2" xfId="11309"/>
    <cellStyle name="Normal 3 5 5 7 2 2 4" xfId="11310"/>
    <cellStyle name="Normal 3 5 5 7 2 2 4 2" xfId="11311"/>
    <cellStyle name="Normal 3 5 5 7 2 2 5" xfId="11312"/>
    <cellStyle name="Normal 3 5 5 7 2 3" xfId="11313"/>
    <cellStyle name="Normal 3 5 5 7 2 3 2" xfId="11314"/>
    <cellStyle name="Normal 3 5 5 7 2 3 2 2" xfId="11315"/>
    <cellStyle name="Normal 3 5 5 7 2 3 3" xfId="11316"/>
    <cellStyle name="Normal 3 5 5 7 2 3 3 2" xfId="11317"/>
    <cellStyle name="Normal 3 5 5 7 2 3 4" xfId="11318"/>
    <cellStyle name="Normal 3 5 5 7 2 3 4 2" xfId="11319"/>
    <cellStyle name="Normal 3 5 5 7 2 3 5" xfId="11320"/>
    <cellStyle name="Normal 3 5 5 7 2 4" xfId="11321"/>
    <cellStyle name="Normal 3 5 5 7 2 4 2" xfId="11322"/>
    <cellStyle name="Normal 3 5 5 7 2 5" xfId="11323"/>
    <cellStyle name="Normal 3 5 5 7 2 5 2" xfId="11324"/>
    <cellStyle name="Normal 3 5 5 7 2 6" xfId="11325"/>
    <cellStyle name="Normal 3 5 5 7 2 6 2" xfId="11326"/>
    <cellStyle name="Normal 3 5 5 7 2 7" xfId="11327"/>
    <cellStyle name="Normal 3 5 5 7 3" xfId="11328"/>
    <cellStyle name="Normal 3 5 5 7 3 2" xfId="11329"/>
    <cellStyle name="Normal 3 5 5 7 3 2 2" xfId="11330"/>
    <cellStyle name="Normal 3 5 5 7 3 3" xfId="11331"/>
    <cellStyle name="Normal 3 5 5 7 3 3 2" xfId="11332"/>
    <cellStyle name="Normal 3 5 5 7 3 4" xfId="11333"/>
    <cellStyle name="Normal 3 5 5 7 3 4 2" xfId="11334"/>
    <cellStyle name="Normal 3 5 5 7 3 5" xfId="11335"/>
    <cellStyle name="Normal 3 5 5 7 4" xfId="11336"/>
    <cellStyle name="Normal 3 5 5 7 4 2" xfId="11337"/>
    <cellStyle name="Normal 3 5 5 7 4 2 2" xfId="11338"/>
    <cellStyle name="Normal 3 5 5 7 4 3" xfId="11339"/>
    <cellStyle name="Normal 3 5 5 7 4 3 2" xfId="11340"/>
    <cellStyle name="Normal 3 5 5 7 4 4" xfId="11341"/>
    <cellStyle name="Normal 3 5 5 7 4 4 2" xfId="11342"/>
    <cellStyle name="Normal 3 5 5 7 4 5" xfId="11343"/>
    <cellStyle name="Normal 3 5 5 7 5" xfId="11344"/>
    <cellStyle name="Normal 3 5 5 7 5 2" xfId="11345"/>
    <cellStyle name="Normal 3 5 5 7 6" xfId="11346"/>
    <cellStyle name="Normal 3 5 5 7 6 2" xfId="11347"/>
    <cellStyle name="Normal 3 5 5 7 7" xfId="11348"/>
    <cellStyle name="Normal 3 5 5 7 7 2" xfId="11349"/>
    <cellStyle name="Normal 3 5 5 7 8" xfId="11350"/>
    <cellStyle name="Normal 3 5 5 8" xfId="11351"/>
    <cellStyle name="Normal 3 5 5 8 2" xfId="11352"/>
    <cellStyle name="Normal 3 5 5 8 2 2" xfId="11353"/>
    <cellStyle name="Normal 3 5 5 8 2 2 2" xfId="11354"/>
    <cellStyle name="Normal 3 5 5 8 2 3" xfId="11355"/>
    <cellStyle name="Normal 3 5 5 8 2 3 2" xfId="11356"/>
    <cellStyle name="Normal 3 5 5 8 2 4" xfId="11357"/>
    <cellStyle name="Normal 3 5 5 8 2 4 2" xfId="11358"/>
    <cellStyle name="Normal 3 5 5 8 2 5" xfId="11359"/>
    <cellStyle name="Normal 3 5 5 8 3" xfId="11360"/>
    <cellStyle name="Normal 3 5 5 8 3 2" xfId="11361"/>
    <cellStyle name="Normal 3 5 5 8 3 2 2" xfId="11362"/>
    <cellStyle name="Normal 3 5 5 8 3 3" xfId="11363"/>
    <cellStyle name="Normal 3 5 5 8 3 3 2" xfId="11364"/>
    <cellStyle name="Normal 3 5 5 8 3 4" xfId="11365"/>
    <cellStyle name="Normal 3 5 5 8 3 4 2" xfId="11366"/>
    <cellStyle name="Normal 3 5 5 8 3 5" xfId="11367"/>
    <cellStyle name="Normal 3 5 5 8 4" xfId="11368"/>
    <cellStyle name="Normal 3 5 5 8 4 2" xfId="11369"/>
    <cellStyle name="Normal 3 5 5 8 5" xfId="11370"/>
    <cellStyle name="Normal 3 5 5 8 5 2" xfId="11371"/>
    <cellStyle name="Normal 3 5 5 8 6" xfId="11372"/>
    <cellStyle name="Normal 3 5 5 8 6 2" xfId="11373"/>
    <cellStyle name="Normal 3 5 5 8 7" xfId="11374"/>
    <cellStyle name="Normal 3 5 5 9" xfId="11375"/>
    <cellStyle name="Normal 3 5 5 9 2" xfId="11376"/>
    <cellStyle name="Normal 3 5 5 9 2 2" xfId="11377"/>
    <cellStyle name="Normal 3 5 5 9 3" xfId="11378"/>
    <cellStyle name="Normal 3 5 5 9 3 2" xfId="11379"/>
    <cellStyle name="Normal 3 5 5 9 4" xfId="11380"/>
    <cellStyle name="Normal 3 5 5 9 4 2" xfId="11381"/>
    <cellStyle name="Normal 3 5 5 9 5" xfId="11382"/>
    <cellStyle name="Normal 3 5 6" xfId="11383"/>
    <cellStyle name="Normal 3 5 6 10" xfId="11384"/>
    <cellStyle name="Normal 3 5 6 10 2" xfId="11385"/>
    <cellStyle name="Normal 3 5 6 10 2 2" xfId="11386"/>
    <cellStyle name="Normal 3 5 6 10 3" xfId="11387"/>
    <cellStyle name="Normal 3 5 6 10 3 2" xfId="11388"/>
    <cellStyle name="Normal 3 5 6 10 4" xfId="11389"/>
    <cellStyle name="Normal 3 5 6 10 4 2" xfId="11390"/>
    <cellStyle name="Normal 3 5 6 10 5" xfId="11391"/>
    <cellStyle name="Normal 3 5 6 11" xfId="11392"/>
    <cellStyle name="Normal 3 5 6 11 2" xfId="11393"/>
    <cellStyle name="Normal 3 5 6 12" xfId="11394"/>
    <cellStyle name="Normal 3 5 6 12 2" xfId="11395"/>
    <cellStyle name="Normal 3 5 6 13" xfId="11396"/>
    <cellStyle name="Normal 3 5 6 13 2" xfId="11397"/>
    <cellStyle name="Normal 3 5 6 14" xfId="11398"/>
    <cellStyle name="Normal 3 5 6 2" xfId="11399"/>
    <cellStyle name="Normal 3 5 6 2 10" xfId="11400"/>
    <cellStyle name="Normal 3 5 6 2 10 2" xfId="11401"/>
    <cellStyle name="Normal 3 5 6 2 11" xfId="11402"/>
    <cellStyle name="Normal 3 5 6 2 11 2" xfId="11403"/>
    <cellStyle name="Normal 3 5 6 2 12" xfId="11404"/>
    <cellStyle name="Normal 3 5 6 2 12 2" xfId="11405"/>
    <cellStyle name="Normal 3 5 6 2 13" xfId="11406"/>
    <cellStyle name="Normal 3 5 6 2 2" xfId="11407"/>
    <cellStyle name="Normal 3 5 6 2 2 2" xfId="11408"/>
    <cellStyle name="Normal 3 5 6 2 2 2 2" xfId="11409"/>
    <cellStyle name="Normal 3 5 6 2 2 2 2 2" xfId="11410"/>
    <cellStyle name="Normal 3 5 6 2 2 2 2 2 2" xfId="11411"/>
    <cellStyle name="Normal 3 5 6 2 2 2 2 3" xfId="11412"/>
    <cellStyle name="Normal 3 5 6 2 2 2 2 3 2" xfId="11413"/>
    <cellStyle name="Normal 3 5 6 2 2 2 2 4" xfId="11414"/>
    <cellStyle name="Normal 3 5 6 2 2 2 2 4 2" xfId="11415"/>
    <cellStyle name="Normal 3 5 6 2 2 2 2 5" xfId="11416"/>
    <cellStyle name="Normal 3 5 6 2 2 2 3" xfId="11417"/>
    <cellStyle name="Normal 3 5 6 2 2 2 3 2" xfId="11418"/>
    <cellStyle name="Normal 3 5 6 2 2 2 3 2 2" xfId="11419"/>
    <cellStyle name="Normal 3 5 6 2 2 2 3 3" xfId="11420"/>
    <cellStyle name="Normal 3 5 6 2 2 2 3 3 2" xfId="11421"/>
    <cellStyle name="Normal 3 5 6 2 2 2 3 4" xfId="11422"/>
    <cellStyle name="Normal 3 5 6 2 2 2 3 4 2" xfId="11423"/>
    <cellStyle name="Normal 3 5 6 2 2 2 3 5" xfId="11424"/>
    <cellStyle name="Normal 3 5 6 2 2 2 4" xfId="11425"/>
    <cellStyle name="Normal 3 5 6 2 2 2 4 2" xfId="11426"/>
    <cellStyle name="Normal 3 5 6 2 2 2 5" xfId="11427"/>
    <cellStyle name="Normal 3 5 6 2 2 2 5 2" xfId="11428"/>
    <cellStyle name="Normal 3 5 6 2 2 2 6" xfId="11429"/>
    <cellStyle name="Normal 3 5 6 2 2 2 6 2" xfId="11430"/>
    <cellStyle name="Normal 3 5 6 2 2 2 7" xfId="11431"/>
    <cellStyle name="Normal 3 5 6 2 2 3" xfId="11432"/>
    <cellStyle name="Normal 3 5 6 2 2 3 2" xfId="11433"/>
    <cellStyle name="Normal 3 5 6 2 2 3 2 2" xfId="11434"/>
    <cellStyle name="Normal 3 5 6 2 2 3 3" xfId="11435"/>
    <cellStyle name="Normal 3 5 6 2 2 3 3 2" xfId="11436"/>
    <cellStyle name="Normal 3 5 6 2 2 3 4" xfId="11437"/>
    <cellStyle name="Normal 3 5 6 2 2 3 4 2" xfId="11438"/>
    <cellStyle name="Normal 3 5 6 2 2 3 5" xfId="11439"/>
    <cellStyle name="Normal 3 5 6 2 2 4" xfId="11440"/>
    <cellStyle name="Normal 3 5 6 2 2 4 2" xfId="11441"/>
    <cellStyle name="Normal 3 5 6 2 2 4 2 2" xfId="11442"/>
    <cellStyle name="Normal 3 5 6 2 2 4 3" xfId="11443"/>
    <cellStyle name="Normal 3 5 6 2 2 4 3 2" xfId="11444"/>
    <cellStyle name="Normal 3 5 6 2 2 4 4" xfId="11445"/>
    <cellStyle name="Normal 3 5 6 2 2 4 4 2" xfId="11446"/>
    <cellStyle name="Normal 3 5 6 2 2 4 5" xfId="11447"/>
    <cellStyle name="Normal 3 5 6 2 2 5" xfId="11448"/>
    <cellStyle name="Normal 3 5 6 2 2 5 2" xfId="11449"/>
    <cellStyle name="Normal 3 5 6 2 2 6" xfId="11450"/>
    <cellStyle name="Normal 3 5 6 2 2 6 2" xfId="11451"/>
    <cellStyle name="Normal 3 5 6 2 2 7" xfId="11452"/>
    <cellStyle name="Normal 3 5 6 2 2 7 2" xfId="11453"/>
    <cellStyle name="Normal 3 5 6 2 2 8" xfId="11454"/>
    <cellStyle name="Normal 3 5 6 2 3" xfId="11455"/>
    <cellStyle name="Normal 3 5 6 2 3 2" xfId="11456"/>
    <cellStyle name="Normal 3 5 6 2 3 2 2" xfId="11457"/>
    <cellStyle name="Normal 3 5 6 2 3 2 2 2" xfId="11458"/>
    <cellStyle name="Normal 3 5 6 2 3 2 2 2 2" xfId="11459"/>
    <cellStyle name="Normal 3 5 6 2 3 2 2 3" xfId="11460"/>
    <cellStyle name="Normal 3 5 6 2 3 2 2 3 2" xfId="11461"/>
    <cellStyle name="Normal 3 5 6 2 3 2 2 4" xfId="11462"/>
    <cellStyle name="Normal 3 5 6 2 3 2 2 4 2" xfId="11463"/>
    <cellStyle name="Normal 3 5 6 2 3 2 2 5" xfId="11464"/>
    <cellStyle name="Normal 3 5 6 2 3 2 3" xfId="11465"/>
    <cellStyle name="Normal 3 5 6 2 3 2 3 2" xfId="11466"/>
    <cellStyle name="Normal 3 5 6 2 3 2 3 2 2" xfId="11467"/>
    <cellStyle name="Normal 3 5 6 2 3 2 3 3" xfId="11468"/>
    <cellStyle name="Normal 3 5 6 2 3 2 3 3 2" xfId="11469"/>
    <cellStyle name="Normal 3 5 6 2 3 2 3 4" xfId="11470"/>
    <cellStyle name="Normal 3 5 6 2 3 2 3 4 2" xfId="11471"/>
    <cellStyle name="Normal 3 5 6 2 3 2 3 5" xfId="11472"/>
    <cellStyle name="Normal 3 5 6 2 3 2 4" xfId="11473"/>
    <cellStyle name="Normal 3 5 6 2 3 2 4 2" xfId="11474"/>
    <cellStyle name="Normal 3 5 6 2 3 2 5" xfId="11475"/>
    <cellStyle name="Normal 3 5 6 2 3 2 5 2" xfId="11476"/>
    <cellStyle name="Normal 3 5 6 2 3 2 6" xfId="11477"/>
    <cellStyle name="Normal 3 5 6 2 3 2 6 2" xfId="11478"/>
    <cellStyle name="Normal 3 5 6 2 3 2 7" xfId="11479"/>
    <cellStyle name="Normal 3 5 6 2 3 3" xfId="11480"/>
    <cellStyle name="Normal 3 5 6 2 3 3 2" xfId="11481"/>
    <cellStyle name="Normal 3 5 6 2 3 3 2 2" xfId="11482"/>
    <cellStyle name="Normal 3 5 6 2 3 3 3" xfId="11483"/>
    <cellStyle name="Normal 3 5 6 2 3 3 3 2" xfId="11484"/>
    <cellStyle name="Normal 3 5 6 2 3 3 4" xfId="11485"/>
    <cellStyle name="Normal 3 5 6 2 3 3 4 2" xfId="11486"/>
    <cellStyle name="Normal 3 5 6 2 3 3 5" xfId="11487"/>
    <cellStyle name="Normal 3 5 6 2 3 4" xfId="11488"/>
    <cellStyle name="Normal 3 5 6 2 3 4 2" xfId="11489"/>
    <cellStyle name="Normal 3 5 6 2 3 4 2 2" xfId="11490"/>
    <cellStyle name="Normal 3 5 6 2 3 4 3" xfId="11491"/>
    <cellStyle name="Normal 3 5 6 2 3 4 3 2" xfId="11492"/>
    <cellStyle name="Normal 3 5 6 2 3 4 4" xfId="11493"/>
    <cellStyle name="Normal 3 5 6 2 3 4 4 2" xfId="11494"/>
    <cellStyle name="Normal 3 5 6 2 3 4 5" xfId="11495"/>
    <cellStyle name="Normal 3 5 6 2 3 5" xfId="11496"/>
    <cellStyle name="Normal 3 5 6 2 3 5 2" xfId="11497"/>
    <cellStyle name="Normal 3 5 6 2 3 6" xfId="11498"/>
    <cellStyle name="Normal 3 5 6 2 3 6 2" xfId="11499"/>
    <cellStyle name="Normal 3 5 6 2 3 7" xfId="11500"/>
    <cellStyle name="Normal 3 5 6 2 3 7 2" xfId="11501"/>
    <cellStyle name="Normal 3 5 6 2 3 8" xfId="11502"/>
    <cellStyle name="Normal 3 5 6 2 4" xfId="11503"/>
    <cellStyle name="Normal 3 5 6 2 4 2" xfId="11504"/>
    <cellStyle name="Normal 3 5 6 2 4 2 2" xfId="11505"/>
    <cellStyle name="Normal 3 5 6 2 4 2 2 2" xfId="11506"/>
    <cellStyle name="Normal 3 5 6 2 4 2 2 2 2" xfId="11507"/>
    <cellStyle name="Normal 3 5 6 2 4 2 2 3" xfId="11508"/>
    <cellStyle name="Normal 3 5 6 2 4 2 2 3 2" xfId="11509"/>
    <cellStyle name="Normal 3 5 6 2 4 2 2 4" xfId="11510"/>
    <cellStyle name="Normal 3 5 6 2 4 2 2 4 2" xfId="11511"/>
    <cellStyle name="Normal 3 5 6 2 4 2 2 5" xfId="11512"/>
    <cellStyle name="Normal 3 5 6 2 4 2 3" xfId="11513"/>
    <cellStyle name="Normal 3 5 6 2 4 2 3 2" xfId="11514"/>
    <cellStyle name="Normal 3 5 6 2 4 2 3 2 2" xfId="11515"/>
    <cellStyle name="Normal 3 5 6 2 4 2 3 3" xfId="11516"/>
    <cellStyle name="Normal 3 5 6 2 4 2 3 3 2" xfId="11517"/>
    <cellStyle name="Normal 3 5 6 2 4 2 3 4" xfId="11518"/>
    <cellStyle name="Normal 3 5 6 2 4 2 3 4 2" xfId="11519"/>
    <cellStyle name="Normal 3 5 6 2 4 2 3 5" xfId="11520"/>
    <cellStyle name="Normal 3 5 6 2 4 2 4" xfId="11521"/>
    <cellStyle name="Normal 3 5 6 2 4 2 4 2" xfId="11522"/>
    <cellStyle name="Normal 3 5 6 2 4 2 5" xfId="11523"/>
    <cellStyle name="Normal 3 5 6 2 4 2 5 2" xfId="11524"/>
    <cellStyle name="Normal 3 5 6 2 4 2 6" xfId="11525"/>
    <cellStyle name="Normal 3 5 6 2 4 2 6 2" xfId="11526"/>
    <cellStyle name="Normal 3 5 6 2 4 2 7" xfId="11527"/>
    <cellStyle name="Normal 3 5 6 2 4 3" xfId="11528"/>
    <cellStyle name="Normal 3 5 6 2 4 3 2" xfId="11529"/>
    <cellStyle name="Normal 3 5 6 2 4 3 2 2" xfId="11530"/>
    <cellStyle name="Normal 3 5 6 2 4 3 3" xfId="11531"/>
    <cellStyle name="Normal 3 5 6 2 4 3 3 2" xfId="11532"/>
    <cellStyle name="Normal 3 5 6 2 4 3 4" xfId="11533"/>
    <cellStyle name="Normal 3 5 6 2 4 3 4 2" xfId="11534"/>
    <cellStyle name="Normal 3 5 6 2 4 3 5" xfId="11535"/>
    <cellStyle name="Normal 3 5 6 2 4 4" xfId="11536"/>
    <cellStyle name="Normal 3 5 6 2 4 4 2" xfId="11537"/>
    <cellStyle name="Normal 3 5 6 2 4 4 2 2" xfId="11538"/>
    <cellStyle name="Normal 3 5 6 2 4 4 3" xfId="11539"/>
    <cellStyle name="Normal 3 5 6 2 4 4 3 2" xfId="11540"/>
    <cellStyle name="Normal 3 5 6 2 4 4 4" xfId="11541"/>
    <cellStyle name="Normal 3 5 6 2 4 4 4 2" xfId="11542"/>
    <cellStyle name="Normal 3 5 6 2 4 4 5" xfId="11543"/>
    <cellStyle name="Normal 3 5 6 2 4 5" xfId="11544"/>
    <cellStyle name="Normal 3 5 6 2 4 5 2" xfId="11545"/>
    <cellStyle name="Normal 3 5 6 2 4 6" xfId="11546"/>
    <cellStyle name="Normal 3 5 6 2 4 6 2" xfId="11547"/>
    <cellStyle name="Normal 3 5 6 2 4 7" xfId="11548"/>
    <cellStyle name="Normal 3 5 6 2 4 7 2" xfId="11549"/>
    <cellStyle name="Normal 3 5 6 2 4 8" xfId="11550"/>
    <cellStyle name="Normal 3 5 6 2 5" xfId="11551"/>
    <cellStyle name="Normal 3 5 6 2 5 2" xfId="11552"/>
    <cellStyle name="Normal 3 5 6 2 5 2 2" xfId="11553"/>
    <cellStyle name="Normal 3 5 6 2 5 2 2 2" xfId="11554"/>
    <cellStyle name="Normal 3 5 6 2 5 2 2 2 2" xfId="11555"/>
    <cellStyle name="Normal 3 5 6 2 5 2 2 3" xfId="11556"/>
    <cellStyle name="Normal 3 5 6 2 5 2 2 3 2" xfId="11557"/>
    <cellStyle name="Normal 3 5 6 2 5 2 2 4" xfId="11558"/>
    <cellStyle name="Normal 3 5 6 2 5 2 2 4 2" xfId="11559"/>
    <cellStyle name="Normal 3 5 6 2 5 2 2 5" xfId="11560"/>
    <cellStyle name="Normal 3 5 6 2 5 2 3" xfId="11561"/>
    <cellStyle name="Normal 3 5 6 2 5 2 3 2" xfId="11562"/>
    <cellStyle name="Normal 3 5 6 2 5 2 3 2 2" xfId="11563"/>
    <cellStyle name="Normal 3 5 6 2 5 2 3 3" xfId="11564"/>
    <cellStyle name="Normal 3 5 6 2 5 2 3 3 2" xfId="11565"/>
    <cellStyle name="Normal 3 5 6 2 5 2 3 4" xfId="11566"/>
    <cellStyle name="Normal 3 5 6 2 5 2 3 4 2" xfId="11567"/>
    <cellStyle name="Normal 3 5 6 2 5 2 3 5" xfId="11568"/>
    <cellStyle name="Normal 3 5 6 2 5 2 4" xfId="11569"/>
    <cellStyle name="Normal 3 5 6 2 5 2 4 2" xfId="11570"/>
    <cellStyle name="Normal 3 5 6 2 5 2 5" xfId="11571"/>
    <cellStyle name="Normal 3 5 6 2 5 2 5 2" xfId="11572"/>
    <cellStyle name="Normal 3 5 6 2 5 2 6" xfId="11573"/>
    <cellStyle name="Normal 3 5 6 2 5 2 6 2" xfId="11574"/>
    <cellStyle name="Normal 3 5 6 2 5 2 7" xfId="11575"/>
    <cellStyle name="Normal 3 5 6 2 5 3" xfId="11576"/>
    <cellStyle name="Normal 3 5 6 2 5 3 2" xfId="11577"/>
    <cellStyle name="Normal 3 5 6 2 5 3 2 2" xfId="11578"/>
    <cellStyle name="Normal 3 5 6 2 5 3 3" xfId="11579"/>
    <cellStyle name="Normal 3 5 6 2 5 3 3 2" xfId="11580"/>
    <cellStyle name="Normal 3 5 6 2 5 3 4" xfId="11581"/>
    <cellStyle name="Normal 3 5 6 2 5 3 4 2" xfId="11582"/>
    <cellStyle name="Normal 3 5 6 2 5 3 5" xfId="11583"/>
    <cellStyle name="Normal 3 5 6 2 5 4" xfId="11584"/>
    <cellStyle name="Normal 3 5 6 2 5 4 2" xfId="11585"/>
    <cellStyle name="Normal 3 5 6 2 5 4 2 2" xfId="11586"/>
    <cellStyle name="Normal 3 5 6 2 5 4 3" xfId="11587"/>
    <cellStyle name="Normal 3 5 6 2 5 4 3 2" xfId="11588"/>
    <cellStyle name="Normal 3 5 6 2 5 4 4" xfId="11589"/>
    <cellStyle name="Normal 3 5 6 2 5 4 4 2" xfId="11590"/>
    <cellStyle name="Normal 3 5 6 2 5 4 5" xfId="11591"/>
    <cellStyle name="Normal 3 5 6 2 5 5" xfId="11592"/>
    <cellStyle name="Normal 3 5 6 2 5 5 2" xfId="11593"/>
    <cellStyle name="Normal 3 5 6 2 5 6" xfId="11594"/>
    <cellStyle name="Normal 3 5 6 2 5 6 2" xfId="11595"/>
    <cellStyle name="Normal 3 5 6 2 5 7" xfId="11596"/>
    <cellStyle name="Normal 3 5 6 2 5 7 2" xfId="11597"/>
    <cellStyle name="Normal 3 5 6 2 5 8" xfId="11598"/>
    <cellStyle name="Normal 3 5 6 2 6" xfId="11599"/>
    <cellStyle name="Normal 3 5 6 2 6 2" xfId="11600"/>
    <cellStyle name="Normal 3 5 6 2 6 2 2" xfId="11601"/>
    <cellStyle name="Normal 3 5 6 2 6 2 2 2" xfId="11602"/>
    <cellStyle name="Normal 3 5 6 2 6 2 2 2 2" xfId="11603"/>
    <cellStyle name="Normal 3 5 6 2 6 2 2 3" xfId="11604"/>
    <cellStyle name="Normal 3 5 6 2 6 2 2 3 2" xfId="11605"/>
    <cellStyle name="Normal 3 5 6 2 6 2 2 4" xfId="11606"/>
    <cellStyle name="Normal 3 5 6 2 6 2 2 4 2" xfId="11607"/>
    <cellStyle name="Normal 3 5 6 2 6 2 2 5" xfId="11608"/>
    <cellStyle name="Normal 3 5 6 2 6 2 3" xfId="11609"/>
    <cellStyle name="Normal 3 5 6 2 6 2 3 2" xfId="11610"/>
    <cellStyle name="Normal 3 5 6 2 6 2 3 2 2" xfId="11611"/>
    <cellStyle name="Normal 3 5 6 2 6 2 3 3" xfId="11612"/>
    <cellStyle name="Normal 3 5 6 2 6 2 3 3 2" xfId="11613"/>
    <cellStyle name="Normal 3 5 6 2 6 2 3 4" xfId="11614"/>
    <cellStyle name="Normal 3 5 6 2 6 2 3 4 2" xfId="11615"/>
    <cellStyle name="Normal 3 5 6 2 6 2 3 5" xfId="11616"/>
    <cellStyle name="Normal 3 5 6 2 6 2 4" xfId="11617"/>
    <cellStyle name="Normal 3 5 6 2 6 2 4 2" xfId="11618"/>
    <cellStyle name="Normal 3 5 6 2 6 2 5" xfId="11619"/>
    <cellStyle name="Normal 3 5 6 2 6 2 5 2" xfId="11620"/>
    <cellStyle name="Normal 3 5 6 2 6 2 6" xfId="11621"/>
    <cellStyle name="Normal 3 5 6 2 6 2 6 2" xfId="11622"/>
    <cellStyle name="Normal 3 5 6 2 6 2 7" xfId="11623"/>
    <cellStyle name="Normal 3 5 6 2 6 3" xfId="11624"/>
    <cellStyle name="Normal 3 5 6 2 6 3 2" xfId="11625"/>
    <cellStyle name="Normal 3 5 6 2 6 3 2 2" xfId="11626"/>
    <cellStyle name="Normal 3 5 6 2 6 3 3" xfId="11627"/>
    <cellStyle name="Normal 3 5 6 2 6 3 3 2" xfId="11628"/>
    <cellStyle name="Normal 3 5 6 2 6 3 4" xfId="11629"/>
    <cellStyle name="Normal 3 5 6 2 6 3 4 2" xfId="11630"/>
    <cellStyle name="Normal 3 5 6 2 6 3 5" xfId="11631"/>
    <cellStyle name="Normal 3 5 6 2 6 4" xfId="11632"/>
    <cellStyle name="Normal 3 5 6 2 6 4 2" xfId="11633"/>
    <cellStyle name="Normal 3 5 6 2 6 4 2 2" xfId="11634"/>
    <cellStyle name="Normal 3 5 6 2 6 4 3" xfId="11635"/>
    <cellStyle name="Normal 3 5 6 2 6 4 3 2" xfId="11636"/>
    <cellStyle name="Normal 3 5 6 2 6 4 4" xfId="11637"/>
    <cellStyle name="Normal 3 5 6 2 6 4 4 2" xfId="11638"/>
    <cellStyle name="Normal 3 5 6 2 6 4 5" xfId="11639"/>
    <cellStyle name="Normal 3 5 6 2 6 5" xfId="11640"/>
    <cellStyle name="Normal 3 5 6 2 6 5 2" xfId="11641"/>
    <cellStyle name="Normal 3 5 6 2 6 6" xfId="11642"/>
    <cellStyle name="Normal 3 5 6 2 6 6 2" xfId="11643"/>
    <cellStyle name="Normal 3 5 6 2 6 7" xfId="11644"/>
    <cellStyle name="Normal 3 5 6 2 6 7 2" xfId="11645"/>
    <cellStyle name="Normal 3 5 6 2 6 8" xfId="11646"/>
    <cellStyle name="Normal 3 5 6 2 7" xfId="11647"/>
    <cellStyle name="Normal 3 5 6 2 7 2" xfId="11648"/>
    <cellStyle name="Normal 3 5 6 2 7 2 2" xfId="11649"/>
    <cellStyle name="Normal 3 5 6 2 7 2 2 2" xfId="11650"/>
    <cellStyle name="Normal 3 5 6 2 7 2 3" xfId="11651"/>
    <cellStyle name="Normal 3 5 6 2 7 2 3 2" xfId="11652"/>
    <cellStyle name="Normal 3 5 6 2 7 2 4" xfId="11653"/>
    <cellStyle name="Normal 3 5 6 2 7 2 4 2" xfId="11654"/>
    <cellStyle name="Normal 3 5 6 2 7 2 5" xfId="11655"/>
    <cellStyle name="Normal 3 5 6 2 7 3" xfId="11656"/>
    <cellStyle name="Normal 3 5 6 2 7 3 2" xfId="11657"/>
    <cellStyle name="Normal 3 5 6 2 7 3 2 2" xfId="11658"/>
    <cellStyle name="Normal 3 5 6 2 7 3 3" xfId="11659"/>
    <cellStyle name="Normal 3 5 6 2 7 3 3 2" xfId="11660"/>
    <cellStyle name="Normal 3 5 6 2 7 3 4" xfId="11661"/>
    <cellStyle name="Normal 3 5 6 2 7 3 4 2" xfId="11662"/>
    <cellStyle name="Normal 3 5 6 2 7 3 5" xfId="11663"/>
    <cellStyle name="Normal 3 5 6 2 7 4" xfId="11664"/>
    <cellStyle name="Normal 3 5 6 2 7 4 2" xfId="11665"/>
    <cellStyle name="Normal 3 5 6 2 7 5" xfId="11666"/>
    <cellStyle name="Normal 3 5 6 2 7 5 2" xfId="11667"/>
    <cellStyle name="Normal 3 5 6 2 7 6" xfId="11668"/>
    <cellStyle name="Normal 3 5 6 2 7 6 2" xfId="11669"/>
    <cellStyle name="Normal 3 5 6 2 7 7" xfId="11670"/>
    <cellStyle name="Normal 3 5 6 2 8" xfId="11671"/>
    <cellStyle name="Normal 3 5 6 2 8 2" xfId="11672"/>
    <cellStyle name="Normal 3 5 6 2 8 2 2" xfId="11673"/>
    <cellStyle name="Normal 3 5 6 2 8 3" xfId="11674"/>
    <cellStyle name="Normal 3 5 6 2 8 3 2" xfId="11675"/>
    <cellStyle name="Normal 3 5 6 2 8 4" xfId="11676"/>
    <cellStyle name="Normal 3 5 6 2 8 4 2" xfId="11677"/>
    <cellStyle name="Normal 3 5 6 2 8 5" xfId="11678"/>
    <cellStyle name="Normal 3 5 6 2 9" xfId="11679"/>
    <cellStyle name="Normal 3 5 6 2 9 2" xfId="11680"/>
    <cellStyle name="Normal 3 5 6 2 9 2 2" xfId="11681"/>
    <cellStyle name="Normal 3 5 6 2 9 3" xfId="11682"/>
    <cellStyle name="Normal 3 5 6 2 9 3 2" xfId="11683"/>
    <cellStyle name="Normal 3 5 6 2 9 4" xfId="11684"/>
    <cellStyle name="Normal 3 5 6 2 9 4 2" xfId="11685"/>
    <cellStyle name="Normal 3 5 6 2 9 5" xfId="11686"/>
    <cellStyle name="Normal 3 5 6 3" xfId="11687"/>
    <cellStyle name="Normal 3 5 6 3 2" xfId="11688"/>
    <cellStyle name="Normal 3 5 6 3 2 2" xfId="11689"/>
    <cellStyle name="Normal 3 5 6 3 2 2 2" xfId="11690"/>
    <cellStyle name="Normal 3 5 6 3 2 2 2 2" xfId="11691"/>
    <cellStyle name="Normal 3 5 6 3 2 2 3" xfId="11692"/>
    <cellStyle name="Normal 3 5 6 3 2 2 3 2" xfId="11693"/>
    <cellStyle name="Normal 3 5 6 3 2 2 4" xfId="11694"/>
    <cellStyle name="Normal 3 5 6 3 2 2 4 2" xfId="11695"/>
    <cellStyle name="Normal 3 5 6 3 2 2 5" xfId="11696"/>
    <cellStyle name="Normal 3 5 6 3 2 3" xfId="11697"/>
    <cellStyle name="Normal 3 5 6 3 2 3 2" xfId="11698"/>
    <cellStyle name="Normal 3 5 6 3 2 3 2 2" xfId="11699"/>
    <cellStyle name="Normal 3 5 6 3 2 3 3" xfId="11700"/>
    <cellStyle name="Normal 3 5 6 3 2 3 3 2" xfId="11701"/>
    <cellStyle name="Normal 3 5 6 3 2 3 4" xfId="11702"/>
    <cellStyle name="Normal 3 5 6 3 2 3 4 2" xfId="11703"/>
    <cellStyle name="Normal 3 5 6 3 2 3 5" xfId="11704"/>
    <cellStyle name="Normal 3 5 6 3 2 4" xfId="11705"/>
    <cellStyle name="Normal 3 5 6 3 2 4 2" xfId="11706"/>
    <cellStyle name="Normal 3 5 6 3 2 5" xfId="11707"/>
    <cellStyle name="Normal 3 5 6 3 2 5 2" xfId="11708"/>
    <cellStyle name="Normal 3 5 6 3 2 6" xfId="11709"/>
    <cellStyle name="Normal 3 5 6 3 2 6 2" xfId="11710"/>
    <cellStyle name="Normal 3 5 6 3 2 7" xfId="11711"/>
    <cellStyle name="Normal 3 5 6 3 3" xfId="11712"/>
    <cellStyle name="Normal 3 5 6 3 3 2" xfId="11713"/>
    <cellStyle name="Normal 3 5 6 3 3 2 2" xfId="11714"/>
    <cellStyle name="Normal 3 5 6 3 3 3" xfId="11715"/>
    <cellStyle name="Normal 3 5 6 3 3 3 2" xfId="11716"/>
    <cellStyle name="Normal 3 5 6 3 3 4" xfId="11717"/>
    <cellStyle name="Normal 3 5 6 3 3 4 2" xfId="11718"/>
    <cellStyle name="Normal 3 5 6 3 3 5" xfId="11719"/>
    <cellStyle name="Normal 3 5 6 3 4" xfId="11720"/>
    <cellStyle name="Normal 3 5 6 3 4 2" xfId="11721"/>
    <cellStyle name="Normal 3 5 6 3 4 2 2" xfId="11722"/>
    <cellStyle name="Normal 3 5 6 3 4 3" xfId="11723"/>
    <cellStyle name="Normal 3 5 6 3 4 3 2" xfId="11724"/>
    <cellStyle name="Normal 3 5 6 3 4 4" xfId="11725"/>
    <cellStyle name="Normal 3 5 6 3 4 4 2" xfId="11726"/>
    <cellStyle name="Normal 3 5 6 3 4 5" xfId="11727"/>
    <cellStyle name="Normal 3 5 6 3 5" xfId="11728"/>
    <cellStyle name="Normal 3 5 6 3 5 2" xfId="11729"/>
    <cellStyle name="Normal 3 5 6 3 6" xfId="11730"/>
    <cellStyle name="Normal 3 5 6 3 6 2" xfId="11731"/>
    <cellStyle name="Normal 3 5 6 3 7" xfId="11732"/>
    <cellStyle name="Normal 3 5 6 3 7 2" xfId="11733"/>
    <cellStyle name="Normal 3 5 6 3 8" xfId="11734"/>
    <cellStyle name="Normal 3 5 6 4" xfId="11735"/>
    <cellStyle name="Normal 3 5 6 4 2" xfId="11736"/>
    <cellStyle name="Normal 3 5 6 4 2 2" xfId="11737"/>
    <cellStyle name="Normal 3 5 6 4 2 2 2" xfId="11738"/>
    <cellStyle name="Normal 3 5 6 4 2 2 2 2" xfId="11739"/>
    <cellStyle name="Normal 3 5 6 4 2 2 3" xfId="11740"/>
    <cellStyle name="Normal 3 5 6 4 2 2 3 2" xfId="11741"/>
    <cellStyle name="Normal 3 5 6 4 2 2 4" xfId="11742"/>
    <cellStyle name="Normal 3 5 6 4 2 2 4 2" xfId="11743"/>
    <cellStyle name="Normal 3 5 6 4 2 2 5" xfId="11744"/>
    <cellStyle name="Normal 3 5 6 4 2 3" xfId="11745"/>
    <cellStyle name="Normal 3 5 6 4 2 3 2" xfId="11746"/>
    <cellStyle name="Normal 3 5 6 4 2 3 2 2" xfId="11747"/>
    <cellStyle name="Normal 3 5 6 4 2 3 3" xfId="11748"/>
    <cellStyle name="Normal 3 5 6 4 2 3 3 2" xfId="11749"/>
    <cellStyle name="Normal 3 5 6 4 2 3 4" xfId="11750"/>
    <cellStyle name="Normal 3 5 6 4 2 3 4 2" xfId="11751"/>
    <cellStyle name="Normal 3 5 6 4 2 3 5" xfId="11752"/>
    <cellStyle name="Normal 3 5 6 4 2 4" xfId="11753"/>
    <cellStyle name="Normal 3 5 6 4 2 4 2" xfId="11754"/>
    <cellStyle name="Normal 3 5 6 4 2 5" xfId="11755"/>
    <cellStyle name="Normal 3 5 6 4 2 5 2" xfId="11756"/>
    <cellStyle name="Normal 3 5 6 4 2 6" xfId="11757"/>
    <cellStyle name="Normal 3 5 6 4 2 6 2" xfId="11758"/>
    <cellStyle name="Normal 3 5 6 4 2 7" xfId="11759"/>
    <cellStyle name="Normal 3 5 6 4 3" xfId="11760"/>
    <cellStyle name="Normal 3 5 6 4 3 2" xfId="11761"/>
    <cellStyle name="Normal 3 5 6 4 3 2 2" xfId="11762"/>
    <cellStyle name="Normal 3 5 6 4 3 3" xfId="11763"/>
    <cellStyle name="Normal 3 5 6 4 3 3 2" xfId="11764"/>
    <cellStyle name="Normal 3 5 6 4 3 4" xfId="11765"/>
    <cellStyle name="Normal 3 5 6 4 3 4 2" xfId="11766"/>
    <cellStyle name="Normal 3 5 6 4 3 5" xfId="11767"/>
    <cellStyle name="Normal 3 5 6 4 4" xfId="11768"/>
    <cellStyle name="Normal 3 5 6 4 4 2" xfId="11769"/>
    <cellStyle name="Normal 3 5 6 4 4 2 2" xfId="11770"/>
    <cellStyle name="Normal 3 5 6 4 4 3" xfId="11771"/>
    <cellStyle name="Normal 3 5 6 4 4 3 2" xfId="11772"/>
    <cellStyle name="Normal 3 5 6 4 4 4" xfId="11773"/>
    <cellStyle name="Normal 3 5 6 4 4 4 2" xfId="11774"/>
    <cellStyle name="Normal 3 5 6 4 4 5" xfId="11775"/>
    <cellStyle name="Normal 3 5 6 4 5" xfId="11776"/>
    <cellStyle name="Normal 3 5 6 4 5 2" xfId="11777"/>
    <cellStyle name="Normal 3 5 6 4 6" xfId="11778"/>
    <cellStyle name="Normal 3 5 6 4 6 2" xfId="11779"/>
    <cellStyle name="Normal 3 5 6 4 7" xfId="11780"/>
    <cellStyle name="Normal 3 5 6 4 7 2" xfId="11781"/>
    <cellStyle name="Normal 3 5 6 4 8" xfId="11782"/>
    <cellStyle name="Normal 3 5 6 5" xfId="11783"/>
    <cellStyle name="Normal 3 5 6 5 2" xfId="11784"/>
    <cellStyle name="Normal 3 5 6 5 2 2" xfId="11785"/>
    <cellStyle name="Normal 3 5 6 5 2 2 2" xfId="11786"/>
    <cellStyle name="Normal 3 5 6 5 2 2 2 2" xfId="11787"/>
    <cellStyle name="Normal 3 5 6 5 2 2 3" xfId="11788"/>
    <cellStyle name="Normal 3 5 6 5 2 2 3 2" xfId="11789"/>
    <cellStyle name="Normal 3 5 6 5 2 2 4" xfId="11790"/>
    <cellStyle name="Normal 3 5 6 5 2 2 4 2" xfId="11791"/>
    <cellStyle name="Normal 3 5 6 5 2 2 5" xfId="11792"/>
    <cellStyle name="Normal 3 5 6 5 2 3" xfId="11793"/>
    <cellStyle name="Normal 3 5 6 5 2 3 2" xfId="11794"/>
    <cellStyle name="Normal 3 5 6 5 2 3 2 2" xfId="11795"/>
    <cellStyle name="Normal 3 5 6 5 2 3 3" xfId="11796"/>
    <cellStyle name="Normal 3 5 6 5 2 3 3 2" xfId="11797"/>
    <cellStyle name="Normal 3 5 6 5 2 3 4" xfId="11798"/>
    <cellStyle name="Normal 3 5 6 5 2 3 4 2" xfId="11799"/>
    <cellStyle name="Normal 3 5 6 5 2 3 5" xfId="11800"/>
    <cellStyle name="Normal 3 5 6 5 2 4" xfId="11801"/>
    <cellStyle name="Normal 3 5 6 5 2 4 2" xfId="11802"/>
    <cellStyle name="Normal 3 5 6 5 2 5" xfId="11803"/>
    <cellStyle name="Normal 3 5 6 5 2 5 2" xfId="11804"/>
    <cellStyle name="Normal 3 5 6 5 2 6" xfId="11805"/>
    <cellStyle name="Normal 3 5 6 5 2 6 2" xfId="11806"/>
    <cellStyle name="Normal 3 5 6 5 2 7" xfId="11807"/>
    <cellStyle name="Normal 3 5 6 5 3" xfId="11808"/>
    <cellStyle name="Normal 3 5 6 5 3 2" xfId="11809"/>
    <cellStyle name="Normal 3 5 6 5 3 2 2" xfId="11810"/>
    <cellStyle name="Normal 3 5 6 5 3 3" xfId="11811"/>
    <cellStyle name="Normal 3 5 6 5 3 3 2" xfId="11812"/>
    <cellStyle name="Normal 3 5 6 5 3 4" xfId="11813"/>
    <cellStyle name="Normal 3 5 6 5 3 4 2" xfId="11814"/>
    <cellStyle name="Normal 3 5 6 5 3 5" xfId="11815"/>
    <cellStyle name="Normal 3 5 6 5 4" xfId="11816"/>
    <cellStyle name="Normal 3 5 6 5 4 2" xfId="11817"/>
    <cellStyle name="Normal 3 5 6 5 4 2 2" xfId="11818"/>
    <cellStyle name="Normal 3 5 6 5 4 3" xfId="11819"/>
    <cellStyle name="Normal 3 5 6 5 4 3 2" xfId="11820"/>
    <cellStyle name="Normal 3 5 6 5 4 4" xfId="11821"/>
    <cellStyle name="Normal 3 5 6 5 4 4 2" xfId="11822"/>
    <cellStyle name="Normal 3 5 6 5 4 5" xfId="11823"/>
    <cellStyle name="Normal 3 5 6 5 5" xfId="11824"/>
    <cellStyle name="Normal 3 5 6 5 5 2" xfId="11825"/>
    <cellStyle name="Normal 3 5 6 5 6" xfId="11826"/>
    <cellStyle name="Normal 3 5 6 5 6 2" xfId="11827"/>
    <cellStyle name="Normal 3 5 6 5 7" xfId="11828"/>
    <cellStyle name="Normal 3 5 6 5 7 2" xfId="11829"/>
    <cellStyle name="Normal 3 5 6 5 8" xfId="11830"/>
    <cellStyle name="Normal 3 5 6 6" xfId="11831"/>
    <cellStyle name="Normal 3 5 6 6 2" xfId="11832"/>
    <cellStyle name="Normal 3 5 6 6 2 2" xfId="11833"/>
    <cellStyle name="Normal 3 5 6 6 2 2 2" xfId="11834"/>
    <cellStyle name="Normal 3 5 6 6 2 2 2 2" xfId="11835"/>
    <cellStyle name="Normal 3 5 6 6 2 2 3" xfId="11836"/>
    <cellStyle name="Normal 3 5 6 6 2 2 3 2" xfId="11837"/>
    <cellStyle name="Normal 3 5 6 6 2 2 4" xfId="11838"/>
    <cellStyle name="Normal 3 5 6 6 2 2 4 2" xfId="11839"/>
    <cellStyle name="Normal 3 5 6 6 2 2 5" xfId="11840"/>
    <cellStyle name="Normal 3 5 6 6 2 3" xfId="11841"/>
    <cellStyle name="Normal 3 5 6 6 2 3 2" xfId="11842"/>
    <cellStyle name="Normal 3 5 6 6 2 3 2 2" xfId="11843"/>
    <cellStyle name="Normal 3 5 6 6 2 3 3" xfId="11844"/>
    <cellStyle name="Normal 3 5 6 6 2 3 3 2" xfId="11845"/>
    <cellStyle name="Normal 3 5 6 6 2 3 4" xfId="11846"/>
    <cellStyle name="Normal 3 5 6 6 2 3 4 2" xfId="11847"/>
    <cellStyle name="Normal 3 5 6 6 2 3 5" xfId="11848"/>
    <cellStyle name="Normal 3 5 6 6 2 4" xfId="11849"/>
    <cellStyle name="Normal 3 5 6 6 2 4 2" xfId="11850"/>
    <cellStyle name="Normal 3 5 6 6 2 5" xfId="11851"/>
    <cellStyle name="Normal 3 5 6 6 2 5 2" xfId="11852"/>
    <cellStyle name="Normal 3 5 6 6 2 6" xfId="11853"/>
    <cellStyle name="Normal 3 5 6 6 2 6 2" xfId="11854"/>
    <cellStyle name="Normal 3 5 6 6 2 7" xfId="11855"/>
    <cellStyle name="Normal 3 5 6 6 3" xfId="11856"/>
    <cellStyle name="Normal 3 5 6 6 3 2" xfId="11857"/>
    <cellStyle name="Normal 3 5 6 6 3 2 2" xfId="11858"/>
    <cellStyle name="Normal 3 5 6 6 3 3" xfId="11859"/>
    <cellStyle name="Normal 3 5 6 6 3 3 2" xfId="11860"/>
    <cellStyle name="Normal 3 5 6 6 3 4" xfId="11861"/>
    <cellStyle name="Normal 3 5 6 6 3 4 2" xfId="11862"/>
    <cellStyle name="Normal 3 5 6 6 3 5" xfId="11863"/>
    <cellStyle name="Normal 3 5 6 6 4" xfId="11864"/>
    <cellStyle name="Normal 3 5 6 6 4 2" xfId="11865"/>
    <cellStyle name="Normal 3 5 6 6 4 2 2" xfId="11866"/>
    <cellStyle name="Normal 3 5 6 6 4 3" xfId="11867"/>
    <cellStyle name="Normal 3 5 6 6 4 3 2" xfId="11868"/>
    <cellStyle name="Normal 3 5 6 6 4 4" xfId="11869"/>
    <cellStyle name="Normal 3 5 6 6 4 4 2" xfId="11870"/>
    <cellStyle name="Normal 3 5 6 6 4 5" xfId="11871"/>
    <cellStyle name="Normal 3 5 6 6 5" xfId="11872"/>
    <cellStyle name="Normal 3 5 6 6 5 2" xfId="11873"/>
    <cellStyle name="Normal 3 5 6 6 6" xfId="11874"/>
    <cellStyle name="Normal 3 5 6 6 6 2" xfId="11875"/>
    <cellStyle name="Normal 3 5 6 6 7" xfId="11876"/>
    <cellStyle name="Normal 3 5 6 6 7 2" xfId="11877"/>
    <cellStyle name="Normal 3 5 6 6 8" xfId="11878"/>
    <cellStyle name="Normal 3 5 6 7" xfId="11879"/>
    <cellStyle name="Normal 3 5 6 7 2" xfId="11880"/>
    <cellStyle name="Normal 3 5 6 7 2 2" xfId="11881"/>
    <cellStyle name="Normal 3 5 6 7 2 2 2" xfId="11882"/>
    <cellStyle name="Normal 3 5 6 7 2 2 2 2" xfId="11883"/>
    <cellStyle name="Normal 3 5 6 7 2 2 3" xfId="11884"/>
    <cellStyle name="Normal 3 5 6 7 2 2 3 2" xfId="11885"/>
    <cellStyle name="Normal 3 5 6 7 2 2 4" xfId="11886"/>
    <cellStyle name="Normal 3 5 6 7 2 2 4 2" xfId="11887"/>
    <cellStyle name="Normal 3 5 6 7 2 2 5" xfId="11888"/>
    <cellStyle name="Normal 3 5 6 7 2 3" xfId="11889"/>
    <cellStyle name="Normal 3 5 6 7 2 3 2" xfId="11890"/>
    <cellStyle name="Normal 3 5 6 7 2 3 2 2" xfId="11891"/>
    <cellStyle name="Normal 3 5 6 7 2 3 3" xfId="11892"/>
    <cellStyle name="Normal 3 5 6 7 2 3 3 2" xfId="11893"/>
    <cellStyle name="Normal 3 5 6 7 2 3 4" xfId="11894"/>
    <cellStyle name="Normal 3 5 6 7 2 3 4 2" xfId="11895"/>
    <cellStyle name="Normal 3 5 6 7 2 3 5" xfId="11896"/>
    <cellStyle name="Normal 3 5 6 7 2 4" xfId="11897"/>
    <cellStyle name="Normal 3 5 6 7 2 4 2" xfId="11898"/>
    <cellStyle name="Normal 3 5 6 7 2 5" xfId="11899"/>
    <cellStyle name="Normal 3 5 6 7 2 5 2" xfId="11900"/>
    <cellStyle name="Normal 3 5 6 7 2 6" xfId="11901"/>
    <cellStyle name="Normal 3 5 6 7 2 6 2" xfId="11902"/>
    <cellStyle name="Normal 3 5 6 7 2 7" xfId="11903"/>
    <cellStyle name="Normal 3 5 6 7 3" xfId="11904"/>
    <cellStyle name="Normal 3 5 6 7 3 2" xfId="11905"/>
    <cellStyle name="Normal 3 5 6 7 3 2 2" xfId="11906"/>
    <cellStyle name="Normal 3 5 6 7 3 3" xfId="11907"/>
    <cellStyle name="Normal 3 5 6 7 3 3 2" xfId="11908"/>
    <cellStyle name="Normal 3 5 6 7 3 4" xfId="11909"/>
    <cellStyle name="Normal 3 5 6 7 3 4 2" xfId="11910"/>
    <cellStyle name="Normal 3 5 6 7 3 5" xfId="11911"/>
    <cellStyle name="Normal 3 5 6 7 4" xfId="11912"/>
    <cellStyle name="Normal 3 5 6 7 4 2" xfId="11913"/>
    <cellStyle name="Normal 3 5 6 7 4 2 2" xfId="11914"/>
    <cellStyle name="Normal 3 5 6 7 4 3" xfId="11915"/>
    <cellStyle name="Normal 3 5 6 7 4 3 2" xfId="11916"/>
    <cellStyle name="Normal 3 5 6 7 4 4" xfId="11917"/>
    <cellStyle name="Normal 3 5 6 7 4 4 2" xfId="11918"/>
    <cellStyle name="Normal 3 5 6 7 4 5" xfId="11919"/>
    <cellStyle name="Normal 3 5 6 7 5" xfId="11920"/>
    <cellStyle name="Normal 3 5 6 7 5 2" xfId="11921"/>
    <cellStyle name="Normal 3 5 6 7 6" xfId="11922"/>
    <cellStyle name="Normal 3 5 6 7 6 2" xfId="11923"/>
    <cellStyle name="Normal 3 5 6 7 7" xfId="11924"/>
    <cellStyle name="Normal 3 5 6 7 7 2" xfId="11925"/>
    <cellStyle name="Normal 3 5 6 7 8" xfId="11926"/>
    <cellStyle name="Normal 3 5 6 8" xfId="11927"/>
    <cellStyle name="Normal 3 5 6 8 2" xfId="11928"/>
    <cellStyle name="Normal 3 5 6 8 2 2" xfId="11929"/>
    <cellStyle name="Normal 3 5 6 8 2 2 2" xfId="11930"/>
    <cellStyle name="Normal 3 5 6 8 2 3" xfId="11931"/>
    <cellStyle name="Normal 3 5 6 8 2 3 2" xfId="11932"/>
    <cellStyle name="Normal 3 5 6 8 2 4" xfId="11933"/>
    <cellStyle name="Normal 3 5 6 8 2 4 2" xfId="11934"/>
    <cellStyle name="Normal 3 5 6 8 2 5" xfId="11935"/>
    <cellStyle name="Normal 3 5 6 8 3" xfId="11936"/>
    <cellStyle name="Normal 3 5 6 8 3 2" xfId="11937"/>
    <cellStyle name="Normal 3 5 6 8 3 2 2" xfId="11938"/>
    <cellStyle name="Normal 3 5 6 8 3 3" xfId="11939"/>
    <cellStyle name="Normal 3 5 6 8 3 3 2" xfId="11940"/>
    <cellStyle name="Normal 3 5 6 8 3 4" xfId="11941"/>
    <cellStyle name="Normal 3 5 6 8 3 4 2" xfId="11942"/>
    <cellStyle name="Normal 3 5 6 8 3 5" xfId="11943"/>
    <cellStyle name="Normal 3 5 6 8 4" xfId="11944"/>
    <cellStyle name="Normal 3 5 6 8 4 2" xfId="11945"/>
    <cellStyle name="Normal 3 5 6 8 5" xfId="11946"/>
    <cellStyle name="Normal 3 5 6 8 5 2" xfId="11947"/>
    <cellStyle name="Normal 3 5 6 8 6" xfId="11948"/>
    <cellStyle name="Normal 3 5 6 8 6 2" xfId="11949"/>
    <cellStyle name="Normal 3 5 6 8 7" xfId="11950"/>
    <cellStyle name="Normal 3 5 6 9" xfId="11951"/>
    <cellStyle name="Normal 3 5 6 9 2" xfId="11952"/>
    <cellStyle name="Normal 3 5 6 9 2 2" xfId="11953"/>
    <cellStyle name="Normal 3 5 6 9 3" xfId="11954"/>
    <cellStyle name="Normal 3 5 6 9 3 2" xfId="11955"/>
    <cellStyle name="Normal 3 5 6 9 4" xfId="11956"/>
    <cellStyle name="Normal 3 5 6 9 4 2" xfId="11957"/>
    <cellStyle name="Normal 3 5 6 9 5" xfId="11958"/>
    <cellStyle name="Normal 3 5 7" xfId="11959"/>
    <cellStyle name="Normal 3 5 7 10" xfId="11960"/>
    <cellStyle name="Normal 3 5 7 10 2" xfId="11961"/>
    <cellStyle name="Normal 3 5 7 11" xfId="11962"/>
    <cellStyle name="Normal 3 5 7 11 2" xfId="11963"/>
    <cellStyle name="Normal 3 5 7 12" xfId="11964"/>
    <cellStyle name="Normal 3 5 7 12 2" xfId="11965"/>
    <cellStyle name="Normal 3 5 7 13" xfId="11966"/>
    <cellStyle name="Normal 3 5 7 2" xfId="11967"/>
    <cellStyle name="Normal 3 5 7 2 2" xfId="11968"/>
    <cellStyle name="Normal 3 5 7 2 2 2" xfId="11969"/>
    <cellStyle name="Normal 3 5 7 2 2 2 2" xfId="11970"/>
    <cellStyle name="Normal 3 5 7 2 2 2 2 2" xfId="11971"/>
    <cellStyle name="Normal 3 5 7 2 2 2 3" xfId="11972"/>
    <cellStyle name="Normal 3 5 7 2 2 2 3 2" xfId="11973"/>
    <cellStyle name="Normal 3 5 7 2 2 2 4" xfId="11974"/>
    <cellStyle name="Normal 3 5 7 2 2 2 4 2" xfId="11975"/>
    <cellStyle name="Normal 3 5 7 2 2 2 5" xfId="11976"/>
    <cellStyle name="Normal 3 5 7 2 2 3" xfId="11977"/>
    <cellStyle name="Normal 3 5 7 2 2 3 2" xfId="11978"/>
    <cellStyle name="Normal 3 5 7 2 2 3 2 2" xfId="11979"/>
    <cellStyle name="Normal 3 5 7 2 2 3 3" xfId="11980"/>
    <cellStyle name="Normal 3 5 7 2 2 3 3 2" xfId="11981"/>
    <cellStyle name="Normal 3 5 7 2 2 3 4" xfId="11982"/>
    <cellStyle name="Normal 3 5 7 2 2 3 4 2" xfId="11983"/>
    <cellStyle name="Normal 3 5 7 2 2 3 5" xfId="11984"/>
    <cellStyle name="Normal 3 5 7 2 2 4" xfId="11985"/>
    <cellStyle name="Normal 3 5 7 2 2 4 2" xfId="11986"/>
    <cellStyle name="Normal 3 5 7 2 2 5" xfId="11987"/>
    <cellStyle name="Normal 3 5 7 2 2 5 2" xfId="11988"/>
    <cellStyle name="Normal 3 5 7 2 2 6" xfId="11989"/>
    <cellStyle name="Normal 3 5 7 2 2 6 2" xfId="11990"/>
    <cellStyle name="Normal 3 5 7 2 2 7" xfId="11991"/>
    <cellStyle name="Normal 3 5 7 2 3" xfId="11992"/>
    <cellStyle name="Normal 3 5 7 2 3 2" xfId="11993"/>
    <cellStyle name="Normal 3 5 7 2 3 2 2" xfId="11994"/>
    <cellStyle name="Normal 3 5 7 2 3 3" xfId="11995"/>
    <cellStyle name="Normal 3 5 7 2 3 3 2" xfId="11996"/>
    <cellStyle name="Normal 3 5 7 2 3 4" xfId="11997"/>
    <cellStyle name="Normal 3 5 7 2 3 4 2" xfId="11998"/>
    <cellStyle name="Normal 3 5 7 2 3 5" xfId="11999"/>
    <cellStyle name="Normal 3 5 7 2 4" xfId="12000"/>
    <cellStyle name="Normal 3 5 7 2 4 2" xfId="12001"/>
    <cellStyle name="Normal 3 5 7 2 4 2 2" xfId="12002"/>
    <cellStyle name="Normal 3 5 7 2 4 3" xfId="12003"/>
    <cellStyle name="Normal 3 5 7 2 4 3 2" xfId="12004"/>
    <cellStyle name="Normal 3 5 7 2 4 4" xfId="12005"/>
    <cellStyle name="Normal 3 5 7 2 4 4 2" xfId="12006"/>
    <cellStyle name="Normal 3 5 7 2 4 5" xfId="12007"/>
    <cellStyle name="Normal 3 5 7 2 5" xfId="12008"/>
    <cellStyle name="Normal 3 5 7 2 5 2" xfId="12009"/>
    <cellStyle name="Normal 3 5 7 2 6" xfId="12010"/>
    <cellStyle name="Normal 3 5 7 2 6 2" xfId="12011"/>
    <cellStyle name="Normal 3 5 7 2 7" xfId="12012"/>
    <cellStyle name="Normal 3 5 7 2 7 2" xfId="12013"/>
    <cellStyle name="Normal 3 5 7 2 8" xfId="12014"/>
    <cellStyle name="Normal 3 5 7 3" xfId="12015"/>
    <cellStyle name="Normal 3 5 7 3 2" xfId="12016"/>
    <cellStyle name="Normal 3 5 7 3 2 2" xfId="12017"/>
    <cellStyle name="Normal 3 5 7 3 2 2 2" xfId="12018"/>
    <cellStyle name="Normal 3 5 7 3 2 2 2 2" xfId="12019"/>
    <cellStyle name="Normal 3 5 7 3 2 2 3" xfId="12020"/>
    <cellStyle name="Normal 3 5 7 3 2 2 3 2" xfId="12021"/>
    <cellStyle name="Normal 3 5 7 3 2 2 4" xfId="12022"/>
    <cellStyle name="Normal 3 5 7 3 2 2 4 2" xfId="12023"/>
    <cellStyle name="Normal 3 5 7 3 2 2 5" xfId="12024"/>
    <cellStyle name="Normal 3 5 7 3 2 3" xfId="12025"/>
    <cellStyle name="Normal 3 5 7 3 2 3 2" xfId="12026"/>
    <cellStyle name="Normal 3 5 7 3 2 3 2 2" xfId="12027"/>
    <cellStyle name="Normal 3 5 7 3 2 3 3" xfId="12028"/>
    <cellStyle name="Normal 3 5 7 3 2 3 3 2" xfId="12029"/>
    <cellStyle name="Normal 3 5 7 3 2 3 4" xfId="12030"/>
    <cellStyle name="Normal 3 5 7 3 2 3 4 2" xfId="12031"/>
    <cellStyle name="Normal 3 5 7 3 2 3 5" xfId="12032"/>
    <cellStyle name="Normal 3 5 7 3 2 4" xfId="12033"/>
    <cellStyle name="Normal 3 5 7 3 2 4 2" xfId="12034"/>
    <cellStyle name="Normal 3 5 7 3 2 5" xfId="12035"/>
    <cellStyle name="Normal 3 5 7 3 2 5 2" xfId="12036"/>
    <cellStyle name="Normal 3 5 7 3 2 6" xfId="12037"/>
    <cellStyle name="Normal 3 5 7 3 2 6 2" xfId="12038"/>
    <cellStyle name="Normal 3 5 7 3 2 7" xfId="12039"/>
    <cellStyle name="Normal 3 5 7 3 3" xfId="12040"/>
    <cellStyle name="Normal 3 5 7 3 3 2" xfId="12041"/>
    <cellStyle name="Normal 3 5 7 3 3 2 2" xfId="12042"/>
    <cellStyle name="Normal 3 5 7 3 3 3" xfId="12043"/>
    <cellStyle name="Normal 3 5 7 3 3 3 2" xfId="12044"/>
    <cellStyle name="Normal 3 5 7 3 3 4" xfId="12045"/>
    <cellStyle name="Normal 3 5 7 3 3 4 2" xfId="12046"/>
    <cellStyle name="Normal 3 5 7 3 3 5" xfId="12047"/>
    <cellStyle name="Normal 3 5 7 3 4" xfId="12048"/>
    <cellStyle name="Normal 3 5 7 3 4 2" xfId="12049"/>
    <cellStyle name="Normal 3 5 7 3 4 2 2" xfId="12050"/>
    <cellStyle name="Normal 3 5 7 3 4 3" xfId="12051"/>
    <cellStyle name="Normal 3 5 7 3 4 3 2" xfId="12052"/>
    <cellStyle name="Normal 3 5 7 3 4 4" xfId="12053"/>
    <cellStyle name="Normal 3 5 7 3 4 4 2" xfId="12054"/>
    <cellStyle name="Normal 3 5 7 3 4 5" xfId="12055"/>
    <cellStyle name="Normal 3 5 7 3 5" xfId="12056"/>
    <cellStyle name="Normal 3 5 7 3 5 2" xfId="12057"/>
    <cellStyle name="Normal 3 5 7 3 6" xfId="12058"/>
    <cellStyle name="Normal 3 5 7 3 6 2" xfId="12059"/>
    <cellStyle name="Normal 3 5 7 3 7" xfId="12060"/>
    <cellStyle name="Normal 3 5 7 3 7 2" xfId="12061"/>
    <cellStyle name="Normal 3 5 7 3 8" xfId="12062"/>
    <cellStyle name="Normal 3 5 7 4" xfId="12063"/>
    <cellStyle name="Normal 3 5 7 4 2" xfId="12064"/>
    <cellStyle name="Normal 3 5 7 4 2 2" xfId="12065"/>
    <cellStyle name="Normal 3 5 7 4 2 2 2" xfId="12066"/>
    <cellStyle name="Normal 3 5 7 4 2 2 2 2" xfId="12067"/>
    <cellStyle name="Normal 3 5 7 4 2 2 3" xfId="12068"/>
    <cellStyle name="Normal 3 5 7 4 2 2 3 2" xfId="12069"/>
    <cellStyle name="Normal 3 5 7 4 2 2 4" xfId="12070"/>
    <cellStyle name="Normal 3 5 7 4 2 2 4 2" xfId="12071"/>
    <cellStyle name="Normal 3 5 7 4 2 2 5" xfId="12072"/>
    <cellStyle name="Normal 3 5 7 4 2 3" xfId="12073"/>
    <cellStyle name="Normal 3 5 7 4 2 3 2" xfId="12074"/>
    <cellStyle name="Normal 3 5 7 4 2 3 2 2" xfId="12075"/>
    <cellStyle name="Normal 3 5 7 4 2 3 3" xfId="12076"/>
    <cellStyle name="Normal 3 5 7 4 2 3 3 2" xfId="12077"/>
    <cellStyle name="Normal 3 5 7 4 2 3 4" xfId="12078"/>
    <cellStyle name="Normal 3 5 7 4 2 3 4 2" xfId="12079"/>
    <cellStyle name="Normal 3 5 7 4 2 3 5" xfId="12080"/>
    <cellStyle name="Normal 3 5 7 4 2 4" xfId="12081"/>
    <cellStyle name="Normal 3 5 7 4 2 4 2" xfId="12082"/>
    <cellStyle name="Normal 3 5 7 4 2 5" xfId="12083"/>
    <cellStyle name="Normal 3 5 7 4 2 5 2" xfId="12084"/>
    <cellStyle name="Normal 3 5 7 4 2 6" xfId="12085"/>
    <cellStyle name="Normal 3 5 7 4 2 6 2" xfId="12086"/>
    <cellStyle name="Normal 3 5 7 4 2 7" xfId="12087"/>
    <cellStyle name="Normal 3 5 7 4 3" xfId="12088"/>
    <cellStyle name="Normal 3 5 7 4 3 2" xfId="12089"/>
    <cellStyle name="Normal 3 5 7 4 3 2 2" xfId="12090"/>
    <cellStyle name="Normal 3 5 7 4 3 3" xfId="12091"/>
    <cellStyle name="Normal 3 5 7 4 3 3 2" xfId="12092"/>
    <cellStyle name="Normal 3 5 7 4 3 4" xfId="12093"/>
    <cellStyle name="Normal 3 5 7 4 3 4 2" xfId="12094"/>
    <cellStyle name="Normal 3 5 7 4 3 5" xfId="12095"/>
    <cellStyle name="Normal 3 5 7 4 4" xfId="12096"/>
    <cellStyle name="Normal 3 5 7 4 4 2" xfId="12097"/>
    <cellStyle name="Normal 3 5 7 4 4 2 2" xfId="12098"/>
    <cellStyle name="Normal 3 5 7 4 4 3" xfId="12099"/>
    <cellStyle name="Normal 3 5 7 4 4 3 2" xfId="12100"/>
    <cellStyle name="Normal 3 5 7 4 4 4" xfId="12101"/>
    <cellStyle name="Normal 3 5 7 4 4 4 2" xfId="12102"/>
    <cellStyle name="Normal 3 5 7 4 4 5" xfId="12103"/>
    <cellStyle name="Normal 3 5 7 4 5" xfId="12104"/>
    <cellStyle name="Normal 3 5 7 4 5 2" xfId="12105"/>
    <cellStyle name="Normal 3 5 7 4 6" xfId="12106"/>
    <cellStyle name="Normal 3 5 7 4 6 2" xfId="12107"/>
    <cellStyle name="Normal 3 5 7 4 7" xfId="12108"/>
    <cellStyle name="Normal 3 5 7 4 7 2" xfId="12109"/>
    <cellStyle name="Normal 3 5 7 4 8" xfId="12110"/>
    <cellStyle name="Normal 3 5 7 5" xfId="12111"/>
    <cellStyle name="Normal 3 5 7 5 2" xfId="12112"/>
    <cellStyle name="Normal 3 5 7 5 2 2" xfId="12113"/>
    <cellStyle name="Normal 3 5 7 5 2 2 2" xfId="12114"/>
    <cellStyle name="Normal 3 5 7 5 2 2 2 2" xfId="12115"/>
    <cellStyle name="Normal 3 5 7 5 2 2 3" xfId="12116"/>
    <cellStyle name="Normal 3 5 7 5 2 2 3 2" xfId="12117"/>
    <cellStyle name="Normal 3 5 7 5 2 2 4" xfId="12118"/>
    <cellStyle name="Normal 3 5 7 5 2 2 4 2" xfId="12119"/>
    <cellStyle name="Normal 3 5 7 5 2 2 5" xfId="12120"/>
    <cellStyle name="Normal 3 5 7 5 2 3" xfId="12121"/>
    <cellStyle name="Normal 3 5 7 5 2 3 2" xfId="12122"/>
    <cellStyle name="Normal 3 5 7 5 2 3 2 2" xfId="12123"/>
    <cellStyle name="Normal 3 5 7 5 2 3 3" xfId="12124"/>
    <cellStyle name="Normal 3 5 7 5 2 3 3 2" xfId="12125"/>
    <cellStyle name="Normal 3 5 7 5 2 3 4" xfId="12126"/>
    <cellStyle name="Normal 3 5 7 5 2 3 4 2" xfId="12127"/>
    <cellStyle name="Normal 3 5 7 5 2 3 5" xfId="12128"/>
    <cellStyle name="Normal 3 5 7 5 2 4" xfId="12129"/>
    <cellStyle name="Normal 3 5 7 5 2 4 2" xfId="12130"/>
    <cellStyle name="Normal 3 5 7 5 2 5" xfId="12131"/>
    <cellStyle name="Normal 3 5 7 5 2 5 2" xfId="12132"/>
    <cellStyle name="Normal 3 5 7 5 2 6" xfId="12133"/>
    <cellStyle name="Normal 3 5 7 5 2 6 2" xfId="12134"/>
    <cellStyle name="Normal 3 5 7 5 2 7" xfId="12135"/>
    <cellStyle name="Normal 3 5 7 5 3" xfId="12136"/>
    <cellStyle name="Normal 3 5 7 5 3 2" xfId="12137"/>
    <cellStyle name="Normal 3 5 7 5 3 2 2" xfId="12138"/>
    <cellStyle name="Normal 3 5 7 5 3 3" xfId="12139"/>
    <cellStyle name="Normal 3 5 7 5 3 3 2" xfId="12140"/>
    <cellStyle name="Normal 3 5 7 5 3 4" xfId="12141"/>
    <cellStyle name="Normal 3 5 7 5 3 4 2" xfId="12142"/>
    <cellStyle name="Normal 3 5 7 5 3 5" xfId="12143"/>
    <cellStyle name="Normal 3 5 7 5 4" xfId="12144"/>
    <cellStyle name="Normal 3 5 7 5 4 2" xfId="12145"/>
    <cellStyle name="Normal 3 5 7 5 4 2 2" xfId="12146"/>
    <cellStyle name="Normal 3 5 7 5 4 3" xfId="12147"/>
    <cellStyle name="Normal 3 5 7 5 4 3 2" xfId="12148"/>
    <cellStyle name="Normal 3 5 7 5 4 4" xfId="12149"/>
    <cellStyle name="Normal 3 5 7 5 4 4 2" xfId="12150"/>
    <cellStyle name="Normal 3 5 7 5 4 5" xfId="12151"/>
    <cellStyle name="Normal 3 5 7 5 5" xfId="12152"/>
    <cellStyle name="Normal 3 5 7 5 5 2" xfId="12153"/>
    <cellStyle name="Normal 3 5 7 5 6" xfId="12154"/>
    <cellStyle name="Normal 3 5 7 5 6 2" xfId="12155"/>
    <cellStyle name="Normal 3 5 7 5 7" xfId="12156"/>
    <cellStyle name="Normal 3 5 7 5 7 2" xfId="12157"/>
    <cellStyle name="Normal 3 5 7 5 8" xfId="12158"/>
    <cellStyle name="Normal 3 5 7 6" xfId="12159"/>
    <cellStyle name="Normal 3 5 7 6 2" xfId="12160"/>
    <cellStyle name="Normal 3 5 7 6 2 2" xfId="12161"/>
    <cellStyle name="Normal 3 5 7 6 2 2 2" xfId="12162"/>
    <cellStyle name="Normal 3 5 7 6 2 2 2 2" xfId="12163"/>
    <cellStyle name="Normal 3 5 7 6 2 2 3" xfId="12164"/>
    <cellStyle name="Normal 3 5 7 6 2 2 3 2" xfId="12165"/>
    <cellStyle name="Normal 3 5 7 6 2 2 4" xfId="12166"/>
    <cellStyle name="Normal 3 5 7 6 2 2 4 2" xfId="12167"/>
    <cellStyle name="Normal 3 5 7 6 2 2 5" xfId="12168"/>
    <cellStyle name="Normal 3 5 7 6 2 3" xfId="12169"/>
    <cellStyle name="Normal 3 5 7 6 2 3 2" xfId="12170"/>
    <cellStyle name="Normal 3 5 7 6 2 3 2 2" xfId="12171"/>
    <cellStyle name="Normal 3 5 7 6 2 3 3" xfId="12172"/>
    <cellStyle name="Normal 3 5 7 6 2 3 3 2" xfId="12173"/>
    <cellStyle name="Normal 3 5 7 6 2 3 4" xfId="12174"/>
    <cellStyle name="Normal 3 5 7 6 2 3 4 2" xfId="12175"/>
    <cellStyle name="Normal 3 5 7 6 2 3 5" xfId="12176"/>
    <cellStyle name="Normal 3 5 7 6 2 4" xfId="12177"/>
    <cellStyle name="Normal 3 5 7 6 2 4 2" xfId="12178"/>
    <cellStyle name="Normal 3 5 7 6 2 5" xfId="12179"/>
    <cellStyle name="Normal 3 5 7 6 2 5 2" xfId="12180"/>
    <cellStyle name="Normal 3 5 7 6 2 6" xfId="12181"/>
    <cellStyle name="Normal 3 5 7 6 2 6 2" xfId="12182"/>
    <cellStyle name="Normal 3 5 7 6 2 7" xfId="12183"/>
    <cellStyle name="Normal 3 5 7 6 3" xfId="12184"/>
    <cellStyle name="Normal 3 5 7 6 3 2" xfId="12185"/>
    <cellStyle name="Normal 3 5 7 6 3 2 2" xfId="12186"/>
    <cellStyle name="Normal 3 5 7 6 3 3" xfId="12187"/>
    <cellStyle name="Normal 3 5 7 6 3 3 2" xfId="12188"/>
    <cellStyle name="Normal 3 5 7 6 3 4" xfId="12189"/>
    <cellStyle name="Normal 3 5 7 6 3 4 2" xfId="12190"/>
    <cellStyle name="Normal 3 5 7 6 3 5" xfId="12191"/>
    <cellStyle name="Normal 3 5 7 6 4" xfId="12192"/>
    <cellStyle name="Normal 3 5 7 6 4 2" xfId="12193"/>
    <cellStyle name="Normal 3 5 7 6 4 2 2" xfId="12194"/>
    <cellStyle name="Normal 3 5 7 6 4 3" xfId="12195"/>
    <cellStyle name="Normal 3 5 7 6 4 3 2" xfId="12196"/>
    <cellStyle name="Normal 3 5 7 6 4 4" xfId="12197"/>
    <cellStyle name="Normal 3 5 7 6 4 4 2" xfId="12198"/>
    <cellStyle name="Normal 3 5 7 6 4 5" xfId="12199"/>
    <cellStyle name="Normal 3 5 7 6 5" xfId="12200"/>
    <cellStyle name="Normal 3 5 7 6 5 2" xfId="12201"/>
    <cellStyle name="Normal 3 5 7 6 6" xfId="12202"/>
    <cellStyle name="Normal 3 5 7 6 6 2" xfId="12203"/>
    <cellStyle name="Normal 3 5 7 6 7" xfId="12204"/>
    <cellStyle name="Normal 3 5 7 6 7 2" xfId="12205"/>
    <cellStyle name="Normal 3 5 7 6 8" xfId="12206"/>
    <cellStyle name="Normal 3 5 7 7" xfId="12207"/>
    <cellStyle name="Normal 3 5 7 7 2" xfId="12208"/>
    <cellStyle name="Normal 3 5 7 7 2 2" xfId="12209"/>
    <cellStyle name="Normal 3 5 7 7 2 2 2" xfId="12210"/>
    <cellStyle name="Normal 3 5 7 7 2 3" xfId="12211"/>
    <cellStyle name="Normal 3 5 7 7 2 3 2" xfId="12212"/>
    <cellStyle name="Normal 3 5 7 7 2 4" xfId="12213"/>
    <cellStyle name="Normal 3 5 7 7 2 4 2" xfId="12214"/>
    <cellStyle name="Normal 3 5 7 7 2 5" xfId="12215"/>
    <cellStyle name="Normal 3 5 7 7 3" xfId="12216"/>
    <cellStyle name="Normal 3 5 7 7 3 2" xfId="12217"/>
    <cellStyle name="Normal 3 5 7 7 3 2 2" xfId="12218"/>
    <cellStyle name="Normal 3 5 7 7 3 3" xfId="12219"/>
    <cellStyle name="Normal 3 5 7 7 3 3 2" xfId="12220"/>
    <cellStyle name="Normal 3 5 7 7 3 4" xfId="12221"/>
    <cellStyle name="Normal 3 5 7 7 3 4 2" xfId="12222"/>
    <cellStyle name="Normal 3 5 7 7 3 5" xfId="12223"/>
    <cellStyle name="Normal 3 5 7 7 4" xfId="12224"/>
    <cellStyle name="Normal 3 5 7 7 4 2" xfId="12225"/>
    <cellStyle name="Normal 3 5 7 7 5" xfId="12226"/>
    <cellStyle name="Normal 3 5 7 7 5 2" xfId="12227"/>
    <cellStyle name="Normal 3 5 7 7 6" xfId="12228"/>
    <cellStyle name="Normal 3 5 7 7 6 2" xfId="12229"/>
    <cellStyle name="Normal 3 5 7 7 7" xfId="12230"/>
    <cellStyle name="Normal 3 5 7 8" xfId="12231"/>
    <cellStyle name="Normal 3 5 7 8 2" xfId="12232"/>
    <cellStyle name="Normal 3 5 7 8 2 2" xfId="12233"/>
    <cellStyle name="Normal 3 5 7 8 3" xfId="12234"/>
    <cellStyle name="Normal 3 5 7 8 3 2" xfId="12235"/>
    <cellStyle name="Normal 3 5 7 8 4" xfId="12236"/>
    <cellStyle name="Normal 3 5 7 8 4 2" xfId="12237"/>
    <cellStyle name="Normal 3 5 7 8 5" xfId="12238"/>
    <cellStyle name="Normal 3 5 7 9" xfId="12239"/>
    <cellStyle name="Normal 3 5 7 9 2" xfId="12240"/>
    <cellStyle name="Normal 3 5 7 9 2 2" xfId="12241"/>
    <cellStyle name="Normal 3 5 7 9 3" xfId="12242"/>
    <cellStyle name="Normal 3 5 7 9 3 2" xfId="12243"/>
    <cellStyle name="Normal 3 5 7 9 4" xfId="12244"/>
    <cellStyle name="Normal 3 5 7 9 4 2" xfId="12245"/>
    <cellStyle name="Normal 3 5 7 9 5" xfId="12246"/>
    <cellStyle name="Normal 3 5 8" xfId="12247"/>
    <cellStyle name="Normal 3 5 8 2" xfId="12248"/>
    <cellStyle name="Normal 3 5 8 2 2" xfId="12249"/>
    <cellStyle name="Normal 3 5 8 2 2 2" xfId="12250"/>
    <cellStyle name="Normal 3 5 8 2 2 2 2" xfId="12251"/>
    <cellStyle name="Normal 3 5 8 2 2 3" xfId="12252"/>
    <cellStyle name="Normal 3 5 8 2 2 3 2" xfId="12253"/>
    <cellStyle name="Normal 3 5 8 2 2 4" xfId="12254"/>
    <cellStyle name="Normal 3 5 8 2 2 4 2" xfId="12255"/>
    <cellStyle name="Normal 3 5 8 2 2 5" xfId="12256"/>
    <cellStyle name="Normal 3 5 8 2 3" xfId="12257"/>
    <cellStyle name="Normal 3 5 8 2 3 2" xfId="12258"/>
    <cellStyle name="Normal 3 5 8 2 3 2 2" xfId="12259"/>
    <cellStyle name="Normal 3 5 8 2 3 3" xfId="12260"/>
    <cellStyle name="Normal 3 5 8 2 3 3 2" xfId="12261"/>
    <cellStyle name="Normal 3 5 8 2 3 4" xfId="12262"/>
    <cellStyle name="Normal 3 5 8 2 3 4 2" xfId="12263"/>
    <cellStyle name="Normal 3 5 8 2 3 5" xfId="12264"/>
    <cellStyle name="Normal 3 5 8 2 4" xfId="12265"/>
    <cellStyle name="Normal 3 5 8 2 4 2" xfId="12266"/>
    <cellStyle name="Normal 3 5 8 2 5" xfId="12267"/>
    <cellStyle name="Normal 3 5 8 2 5 2" xfId="12268"/>
    <cellStyle name="Normal 3 5 8 2 6" xfId="12269"/>
    <cellStyle name="Normal 3 5 8 2 6 2" xfId="12270"/>
    <cellStyle name="Normal 3 5 8 2 7" xfId="12271"/>
    <cellStyle name="Normal 3 5 8 3" xfId="12272"/>
    <cellStyle name="Normal 3 5 8 3 2" xfId="12273"/>
    <cellStyle name="Normal 3 5 8 3 2 2" xfId="12274"/>
    <cellStyle name="Normal 3 5 8 3 3" xfId="12275"/>
    <cellStyle name="Normal 3 5 8 3 3 2" xfId="12276"/>
    <cellStyle name="Normal 3 5 8 3 4" xfId="12277"/>
    <cellStyle name="Normal 3 5 8 3 4 2" xfId="12278"/>
    <cellStyle name="Normal 3 5 8 3 5" xfId="12279"/>
    <cellStyle name="Normal 3 5 8 4" xfId="12280"/>
    <cellStyle name="Normal 3 5 8 4 2" xfId="12281"/>
    <cellStyle name="Normal 3 5 8 4 2 2" xfId="12282"/>
    <cellStyle name="Normal 3 5 8 4 3" xfId="12283"/>
    <cellStyle name="Normal 3 5 8 4 3 2" xfId="12284"/>
    <cellStyle name="Normal 3 5 8 4 4" xfId="12285"/>
    <cellStyle name="Normal 3 5 8 4 4 2" xfId="12286"/>
    <cellStyle name="Normal 3 5 8 4 5" xfId="12287"/>
    <cellStyle name="Normal 3 5 8 5" xfId="12288"/>
    <cellStyle name="Normal 3 5 8 5 2" xfId="12289"/>
    <cellStyle name="Normal 3 5 8 6" xfId="12290"/>
    <cellStyle name="Normal 3 5 8 6 2" xfId="12291"/>
    <cellStyle name="Normal 3 5 8 7" xfId="12292"/>
    <cellStyle name="Normal 3 5 8 7 2" xfId="12293"/>
    <cellStyle name="Normal 3 5 8 8" xfId="12294"/>
    <cellStyle name="Normal 3 5 9" xfId="12295"/>
    <cellStyle name="Normal 3 5 9 2" xfId="12296"/>
    <cellStyle name="Normal 3 5 9 2 2" xfId="12297"/>
    <cellStyle name="Normal 3 5 9 2 2 2" xfId="12298"/>
    <cellStyle name="Normal 3 5 9 2 2 2 2" xfId="12299"/>
    <cellStyle name="Normal 3 5 9 2 2 3" xfId="12300"/>
    <cellStyle name="Normal 3 5 9 2 2 3 2" xfId="12301"/>
    <cellStyle name="Normal 3 5 9 2 2 4" xfId="12302"/>
    <cellStyle name="Normal 3 5 9 2 2 4 2" xfId="12303"/>
    <cellStyle name="Normal 3 5 9 2 2 5" xfId="12304"/>
    <cellStyle name="Normal 3 5 9 2 3" xfId="12305"/>
    <cellStyle name="Normal 3 5 9 2 3 2" xfId="12306"/>
    <cellStyle name="Normal 3 5 9 2 3 2 2" xfId="12307"/>
    <cellStyle name="Normal 3 5 9 2 3 3" xfId="12308"/>
    <cellStyle name="Normal 3 5 9 2 3 3 2" xfId="12309"/>
    <cellStyle name="Normal 3 5 9 2 3 4" xfId="12310"/>
    <cellStyle name="Normal 3 5 9 2 3 4 2" xfId="12311"/>
    <cellStyle name="Normal 3 5 9 2 3 5" xfId="12312"/>
    <cellStyle name="Normal 3 5 9 2 4" xfId="12313"/>
    <cellStyle name="Normal 3 5 9 2 4 2" xfId="12314"/>
    <cellStyle name="Normal 3 5 9 2 5" xfId="12315"/>
    <cellStyle name="Normal 3 5 9 2 5 2" xfId="12316"/>
    <cellStyle name="Normal 3 5 9 2 6" xfId="12317"/>
    <cellStyle name="Normal 3 5 9 2 6 2" xfId="12318"/>
    <cellStyle name="Normal 3 5 9 2 7" xfId="12319"/>
    <cellStyle name="Normal 3 5 9 3" xfId="12320"/>
    <cellStyle name="Normal 3 5 9 3 2" xfId="12321"/>
    <cellStyle name="Normal 3 5 9 3 2 2" xfId="12322"/>
    <cellStyle name="Normal 3 5 9 3 3" xfId="12323"/>
    <cellStyle name="Normal 3 5 9 3 3 2" xfId="12324"/>
    <cellStyle name="Normal 3 5 9 3 4" xfId="12325"/>
    <cellStyle name="Normal 3 5 9 3 4 2" xfId="12326"/>
    <cellStyle name="Normal 3 5 9 3 5" xfId="12327"/>
    <cellStyle name="Normal 3 5 9 4" xfId="12328"/>
    <cellStyle name="Normal 3 5 9 4 2" xfId="12329"/>
    <cellStyle name="Normal 3 5 9 4 2 2" xfId="12330"/>
    <cellStyle name="Normal 3 5 9 4 3" xfId="12331"/>
    <cellStyle name="Normal 3 5 9 4 3 2" xfId="12332"/>
    <cellStyle name="Normal 3 5 9 4 4" xfId="12333"/>
    <cellStyle name="Normal 3 5 9 4 4 2" xfId="12334"/>
    <cellStyle name="Normal 3 5 9 4 5" xfId="12335"/>
    <cellStyle name="Normal 3 5 9 5" xfId="12336"/>
    <cellStyle name="Normal 3 5 9 5 2" xfId="12337"/>
    <cellStyle name="Normal 3 5 9 6" xfId="12338"/>
    <cellStyle name="Normal 3 5 9 6 2" xfId="12339"/>
    <cellStyle name="Normal 3 5 9 7" xfId="12340"/>
    <cellStyle name="Normal 3 5 9 7 2" xfId="12341"/>
    <cellStyle name="Normal 3 5 9 8" xfId="12342"/>
    <cellStyle name="Normal 3 5_Input" xfId="1486"/>
    <cellStyle name="Normal 3 6" xfId="830"/>
    <cellStyle name="Normal 3 6 10" xfId="12343"/>
    <cellStyle name="Normal 3 6 10 2" xfId="12344"/>
    <cellStyle name="Normal 3 6 10 2 2" xfId="12345"/>
    <cellStyle name="Normal 3 6 10 2 2 2" xfId="12346"/>
    <cellStyle name="Normal 3 6 10 2 2 2 2" xfId="12347"/>
    <cellStyle name="Normal 3 6 10 2 2 3" xfId="12348"/>
    <cellStyle name="Normal 3 6 10 2 2 3 2" xfId="12349"/>
    <cellStyle name="Normal 3 6 10 2 2 4" xfId="12350"/>
    <cellStyle name="Normal 3 6 10 2 2 4 2" xfId="12351"/>
    <cellStyle name="Normal 3 6 10 2 2 5" xfId="12352"/>
    <cellStyle name="Normal 3 6 10 2 3" xfId="12353"/>
    <cellStyle name="Normal 3 6 10 2 3 2" xfId="12354"/>
    <cellStyle name="Normal 3 6 10 2 3 2 2" xfId="12355"/>
    <cellStyle name="Normal 3 6 10 2 3 3" xfId="12356"/>
    <cellStyle name="Normal 3 6 10 2 3 3 2" xfId="12357"/>
    <cellStyle name="Normal 3 6 10 2 3 4" xfId="12358"/>
    <cellStyle name="Normal 3 6 10 2 3 4 2" xfId="12359"/>
    <cellStyle name="Normal 3 6 10 2 3 5" xfId="12360"/>
    <cellStyle name="Normal 3 6 10 2 4" xfId="12361"/>
    <cellStyle name="Normal 3 6 10 2 4 2" xfId="12362"/>
    <cellStyle name="Normal 3 6 10 2 5" xfId="12363"/>
    <cellStyle name="Normal 3 6 10 2 5 2" xfId="12364"/>
    <cellStyle name="Normal 3 6 10 2 6" xfId="12365"/>
    <cellStyle name="Normal 3 6 10 2 6 2" xfId="12366"/>
    <cellStyle name="Normal 3 6 10 2 7" xfId="12367"/>
    <cellStyle name="Normal 3 6 10 3" xfId="12368"/>
    <cellStyle name="Normal 3 6 10 3 2" xfId="12369"/>
    <cellStyle name="Normal 3 6 10 3 2 2" xfId="12370"/>
    <cellStyle name="Normal 3 6 10 3 3" xfId="12371"/>
    <cellStyle name="Normal 3 6 10 3 3 2" xfId="12372"/>
    <cellStyle name="Normal 3 6 10 3 4" xfId="12373"/>
    <cellStyle name="Normal 3 6 10 3 4 2" xfId="12374"/>
    <cellStyle name="Normal 3 6 10 3 5" xfId="12375"/>
    <cellStyle name="Normal 3 6 10 4" xfId="12376"/>
    <cellStyle name="Normal 3 6 10 4 2" xfId="12377"/>
    <cellStyle name="Normal 3 6 10 4 2 2" xfId="12378"/>
    <cellStyle name="Normal 3 6 10 4 3" xfId="12379"/>
    <cellStyle name="Normal 3 6 10 4 3 2" xfId="12380"/>
    <cellStyle name="Normal 3 6 10 4 4" xfId="12381"/>
    <cellStyle name="Normal 3 6 10 4 4 2" xfId="12382"/>
    <cellStyle name="Normal 3 6 10 4 5" xfId="12383"/>
    <cellStyle name="Normal 3 6 10 5" xfId="12384"/>
    <cellStyle name="Normal 3 6 10 5 2" xfId="12385"/>
    <cellStyle name="Normal 3 6 10 6" xfId="12386"/>
    <cellStyle name="Normal 3 6 10 6 2" xfId="12387"/>
    <cellStyle name="Normal 3 6 10 7" xfId="12388"/>
    <cellStyle name="Normal 3 6 10 7 2" xfId="12389"/>
    <cellStyle name="Normal 3 6 10 8" xfId="12390"/>
    <cellStyle name="Normal 3 6 11" xfId="12391"/>
    <cellStyle name="Normal 3 6 11 2" xfId="12392"/>
    <cellStyle name="Normal 3 6 11 2 2" xfId="12393"/>
    <cellStyle name="Normal 3 6 11 2 2 2" xfId="12394"/>
    <cellStyle name="Normal 3 6 11 2 2 2 2" xfId="12395"/>
    <cellStyle name="Normal 3 6 11 2 2 3" xfId="12396"/>
    <cellStyle name="Normal 3 6 11 2 2 3 2" xfId="12397"/>
    <cellStyle name="Normal 3 6 11 2 2 4" xfId="12398"/>
    <cellStyle name="Normal 3 6 11 2 2 4 2" xfId="12399"/>
    <cellStyle name="Normal 3 6 11 2 2 5" xfId="12400"/>
    <cellStyle name="Normal 3 6 11 2 3" xfId="12401"/>
    <cellStyle name="Normal 3 6 11 2 3 2" xfId="12402"/>
    <cellStyle name="Normal 3 6 11 2 3 2 2" xfId="12403"/>
    <cellStyle name="Normal 3 6 11 2 3 3" xfId="12404"/>
    <cellStyle name="Normal 3 6 11 2 3 3 2" xfId="12405"/>
    <cellStyle name="Normal 3 6 11 2 3 4" xfId="12406"/>
    <cellStyle name="Normal 3 6 11 2 3 4 2" xfId="12407"/>
    <cellStyle name="Normal 3 6 11 2 3 5" xfId="12408"/>
    <cellStyle name="Normal 3 6 11 2 4" xfId="12409"/>
    <cellStyle name="Normal 3 6 11 2 4 2" xfId="12410"/>
    <cellStyle name="Normal 3 6 11 2 5" xfId="12411"/>
    <cellStyle name="Normal 3 6 11 2 5 2" xfId="12412"/>
    <cellStyle name="Normal 3 6 11 2 6" xfId="12413"/>
    <cellStyle name="Normal 3 6 11 2 6 2" xfId="12414"/>
    <cellStyle name="Normal 3 6 11 2 7" xfId="12415"/>
    <cellStyle name="Normal 3 6 11 3" xfId="12416"/>
    <cellStyle name="Normal 3 6 11 3 2" xfId="12417"/>
    <cellStyle name="Normal 3 6 11 3 2 2" xfId="12418"/>
    <cellStyle name="Normal 3 6 11 3 3" xfId="12419"/>
    <cellStyle name="Normal 3 6 11 3 3 2" xfId="12420"/>
    <cellStyle name="Normal 3 6 11 3 4" xfId="12421"/>
    <cellStyle name="Normal 3 6 11 3 4 2" xfId="12422"/>
    <cellStyle name="Normal 3 6 11 3 5" xfId="12423"/>
    <cellStyle name="Normal 3 6 11 4" xfId="12424"/>
    <cellStyle name="Normal 3 6 11 4 2" xfId="12425"/>
    <cellStyle name="Normal 3 6 11 4 2 2" xfId="12426"/>
    <cellStyle name="Normal 3 6 11 4 3" xfId="12427"/>
    <cellStyle name="Normal 3 6 11 4 3 2" xfId="12428"/>
    <cellStyle name="Normal 3 6 11 4 4" xfId="12429"/>
    <cellStyle name="Normal 3 6 11 4 4 2" xfId="12430"/>
    <cellStyle name="Normal 3 6 11 4 5" xfId="12431"/>
    <cellStyle name="Normal 3 6 11 5" xfId="12432"/>
    <cellStyle name="Normal 3 6 11 5 2" xfId="12433"/>
    <cellStyle name="Normal 3 6 11 6" xfId="12434"/>
    <cellStyle name="Normal 3 6 11 6 2" xfId="12435"/>
    <cellStyle name="Normal 3 6 11 7" xfId="12436"/>
    <cellStyle name="Normal 3 6 11 7 2" xfId="12437"/>
    <cellStyle name="Normal 3 6 11 8" xfId="12438"/>
    <cellStyle name="Normal 3 6 12" xfId="12439"/>
    <cellStyle name="Normal 3 6 12 2" xfId="12440"/>
    <cellStyle name="Normal 3 6 12 2 2" xfId="12441"/>
    <cellStyle name="Normal 3 6 12 2 2 2" xfId="12442"/>
    <cellStyle name="Normal 3 6 12 2 2 2 2" xfId="12443"/>
    <cellStyle name="Normal 3 6 12 2 2 3" xfId="12444"/>
    <cellStyle name="Normal 3 6 12 2 2 3 2" xfId="12445"/>
    <cellStyle name="Normal 3 6 12 2 2 4" xfId="12446"/>
    <cellStyle name="Normal 3 6 12 2 2 4 2" xfId="12447"/>
    <cellStyle name="Normal 3 6 12 2 2 5" xfId="12448"/>
    <cellStyle name="Normal 3 6 12 2 3" xfId="12449"/>
    <cellStyle name="Normal 3 6 12 2 3 2" xfId="12450"/>
    <cellStyle name="Normal 3 6 12 2 3 2 2" xfId="12451"/>
    <cellStyle name="Normal 3 6 12 2 3 3" xfId="12452"/>
    <cellStyle name="Normal 3 6 12 2 3 3 2" xfId="12453"/>
    <cellStyle name="Normal 3 6 12 2 3 4" xfId="12454"/>
    <cellStyle name="Normal 3 6 12 2 3 4 2" xfId="12455"/>
    <cellStyle name="Normal 3 6 12 2 3 5" xfId="12456"/>
    <cellStyle name="Normal 3 6 12 2 4" xfId="12457"/>
    <cellStyle name="Normal 3 6 12 2 4 2" xfId="12458"/>
    <cellStyle name="Normal 3 6 12 2 5" xfId="12459"/>
    <cellStyle name="Normal 3 6 12 2 5 2" xfId="12460"/>
    <cellStyle name="Normal 3 6 12 2 6" xfId="12461"/>
    <cellStyle name="Normal 3 6 12 2 6 2" xfId="12462"/>
    <cellStyle name="Normal 3 6 12 2 7" xfId="12463"/>
    <cellStyle name="Normal 3 6 12 3" xfId="12464"/>
    <cellStyle name="Normal 3 6 12 3 2" xfId="12465"/>
    <cellStyle name="Normal 3 6 12 3 2 2" xfId="12466"/>
    <cellStyle name="Normal 3 6 12 3 3" xfId="12467"/>
    <cellStyle name="Normal 3 6 12 3 3 2" xfId="12468"/>
    <cellStyle name="Normal 3 6 12 3 4" xfId="12469"/>
    <cellStyle name="Normal 3 6 12 3 4 2" xfId="12470"/>
    <cellStyle name="Normal 3 6 12 3 5" xfId="12471"/>
    <cellStyle name="Normal 3 6 12 4" xfId="12472"/>
    <cellStyle name="Normal 3 6 12 4 2" xfId="12473"/>
    <cellStyle name="Normal 3 6 12 4 2 2" xfId="12474"/>
    <cellStyle name="Normal 3 6 12 4 3" xfId="12475"/>
    <cellStyle name="Normal 3 6 12 4 3 2" xfId="12476"/>
    <cellStyle name="Normal 3 6 12 4 4" xfId="12477"/>
    <cellStyle name="Normal 3 6 12 4 4 2" xfId="12478"/>
    <cellStyle name="Normal 3 6 12 4 5" xfId="12479"/>
    <cellStyle name="Normal 3 6 12 5" xfId="12480"/>
    <cellStyle name="Normal 3 6 12 5 2" xfId="12481"/>
    <cellStyle name="Normal 3 6 12 6" xfId="12482"/>
    <cellStyle name="Normal 3 6 12 6 2" xfId="12483"/>
    <cellStyle name="Normal 3 6 12 7" xfId="12484"/>
    <cellStyle name="Normal 3 6 12 7 2" xfId="12485"/>
    <cellStyle name="Normal 3 6 12 8" xfId="12486"/>
    <cellStyle name="Normal 3 6 13" xfId="12487"/>
    <cellStyle name="Normal 3 6 13 2" xfId="12488"/>
    <cellStyle name="Normal 3 6 13 2 2" xfId="12489"/>
    <cellStyle name="Normal 3 6 13 2 2 2" xfId="12490"/>
    <cellStyle name="Normal 3 6 13 2 3" xfId="12491"/>
    <cellStyle name="Normal 3 6 13 2 3 2" xfId="12492"/>
    <cellStyle name="Normal 3 6 13 2 4" xfId="12493"/>
    <cellStyle name="Normal 3 6 13 2 4 2" xfId="12494"/>
    <cellStyle name="Normal 3 6 13 2 5" xfId="12495"/>
    <cellStyle name="Normal 3 6 13 3" xfId="12496"/>
    <cellStyle name="Normal 3 6 13 3 2" xfId="12497"/>
    <cellStyle name="Normal 3 6 13 3 2 2" xfId="12498"/>
    <cellStyle name="Normal 3 6 13 3 3" xfId="12499"/>
    <cellStyle name="Normal 3 6 13 3 3 2" xfId="12500"/>
    <cellStyle name="Normal 3 6 13 3 4" xfId="12501"/>
    <cellStyle name="Normal 3 6 13 3 4 2" xfId="12502"/>
    <cellStyle name="Normal 3 6 13 3 5" xfId="12503"/>
    <cellStyle name="Normal 3 6 13 4" xfId="12504"/>
    <cellStyle name="Normal 3 6 13 4 2" xfId="12505"/>
    <cellStyle name="Normal 3 6 13 5" xfId="12506"/>
    <cellStyle name="Normal 3 6 13 5 2" xfId="12507"/>
    <cellStyle name="Normal 3 6 13 6" xfId="12508"/>
    <cellStyle name="Normal 3 6 13 6 2" xfId="12509"/>
    <cellStyle name="Normal 3 6 13 7" xfId="12510"/>
    <cellStyle name="Normal 3 6 14" xfId="12511"/>
    <cellStyle name="Normal 3 6 14 2" xfId="12512"/>
    <cellStyle name="Normal 3 6 14 2 2" xfId="12513"/>
    <cellStyle name="Normal 3 6 14 3" xfId="12514"/>
    <cellStyle name="Normal 3 6 14 3 2" xfId="12515"/>
    <cellStyle name="Normal 3 6 14 4" xfId="12516"/>
    <cellStyle name="Normal 3 6 14 4 2" xfId="12517"/>
    <cellStyle name="Normal 3 6 14 5" xfId="12518"/>
    <cellStyle name="Normal 3 6 15" xfId="12519"/>
    <cellStyle name="Normal 3 6 15 2" xfId="12520"/>
    <cellStyle name="Normal 3 6 15 2 2" xfId="12521"/>
    <cellStyle name="Normal 3 6 15 3" xfId="12522"/>
    <cellStyle name="Normal 3 6 15 3 2" xfId="12523"/>
    <cellStyle name="Normal 3 6 15 4" xfId="12524"/>
    <cellStyle name="Normal 3 6 15 4 2" xfId="12525"/>
    <cellStyle name="Normal 3 6 15 5" xfId="12526"/>
    <cellStyle name="Normal 3 6 16" xfId="12527"/>
    <cellStyle name="Normal 3 6 16 2" xfId="12528"/>
    <cellStyle name="Normal 3 6 17" xfId="12529"/>
    <cellStyle name="Normal 3 6 17 2" xfId="12530"/>
    <cellStyle name="Normal 3 6 18" xfId="12531"/>
    <cellStyle name="Normal 3 6 18 2" xfId="12532"/>
    <cellStyle name="Normal 3 6 19" xfId="12533"/>
    <cellStyle name="Normal 3 6 2" xfId="1399"/>
    <cellStyle name="Normal 3 6 2 10" xfId="12534"/>
    <cellStyle name="Normal 3 6 2 10 2" xfId="12535"/>
    <cellStyle name="Normal 3 6 2 10 2 2" xfId="12536"/>
    <cellStyle name="Normal 3 6 2 10 2 2 2" xfId="12537"/>
    <cellStyle name="Normal 3 6 2 10 2 2 2 2" xfId="12538"/>
    <cellStyle name="Normal 3 6 2 10 2 2 3" xfId="12539"/>
    <cellStyle name="Normal 3 6 2 10 2 2 3 2" xfId="12540"/>
    <cellStyle name="Normal 3 6 2 10 2 2 4" xfId="12541"/>
    <cellStyle name="Normal 3 6 2 10 2 2 4 2" xfId="12542"/>
    <cellStyle name="Normal 3 6 2 10 2 2 5" xfId="12543"/>
    <cellStyle name="Normal 3 6 2 10 2 3" xfId="12544"/>
    <cellStyle name="Normal 3 6 2 10 2 3 2" xfId="12545"/>
    <cellStyle name="Normal 3 6 2 10 2 3 2 2" xfId="12546"/>
    <cellStyle name="Normal 3 6 2 10 2 3 3" xfId="12547"/>
    <cellStyle name="Normal 3 6 2 10 2 3 3 2" xfId="12548"/>
    <cellStyle name="Normal 3 6 2 10 2 3 4" xfId="12549"/>
    <cellStyle name="Normal 3 6 2 10 2 3 4 2" xfId="12550"/>
    <cellStyle name="Normal 3 6 2 10 2 3 5" xfId="12551"/>
    <cellStyle name="Normal 3 6 2 10 2 4" xfId="12552"/>
    <cellStyle name="Normal 3 6 2 10 2 4 2" xfId="12553"/>
    <cellStyle name="Normal 3 6 2 10 2 5" xfId="12554"/>
    <cellStyle name="Normal 3 6 2 10 2 5 2" xfId="12555"/>
    <cellStyle name="Normal 3 6 2 10 2 6" xfId="12556"/>
    <cellStyle name="Normal 3 6 2 10 2 6 2" xfId="12557"/>
    <cellStyle name="Normal 3 6 2 10 2 7" xfId="12558"/>
    <cellStyle name="Normal 3 6 2 10 3" xfId="12559"/>
    <cellStyle name="Normal 3 6 2 10 3 2" xfId="12560"/>
    <cellStyle name="Normal 3 6 2 10 3 2 2" xfId="12561"/>
    <cellStyle name="Normal 3 6 2 10 3 3" xfId="12562"/>
    <cellStyle name="Normal 3 6 2 10 3 3 2" xfId="12563"/>
    <cellStyle name="Normal 3 6 2 10 3 4" xfId="12564"/>
    <cellStyle name="Normal 3 6 2 10 3 4 2" xfId="12565"/>
    <cellStyle name="Normal 3 6 2 10 3 5" xfId="12566"/>
    <cellStyle name="Normal 3 6 2 10 4" xfId="12567"/>
    <cellStyle name="Normal 3 6 2 10 4 2" xfId="12568"/>
    <cellStyle name="Normal 3 6 2 10 4 2 2" xfId="12569"/>
    <cellStyle name="Normal 3 6 2 10 4 3" xfId="12570"/>
    <cellStyle name="Normal 3 6 2 10 4 3 2" xfId="12571"/>
    <cellStyle name="Normal 3 6 2 10 4 4" xfId="12572"/>
    <cellStyle name="Normal 3 6 2 10 4 4 2" xfId="12573"/>
    <cellStyle name="Normal 3 6 2 10 4 5" xfId="12574"/>
    <cellStyle name="Normal 3 6 2 10 5" xfId="12575"/>
    <cellStyle name="Normal 3 6 2 10 5 2" xfId="12576"/>
    <cellStyle name="Normal 3 6 2 10 6" xfId="12577"/>
    <cellStyle name="Normal 3 6 2 10 6 2" xfId="12578"/>
    <cellStyle name="Normal 3 6 2 10 7" xfId="12579"/>
    <cellStyle name="Normal 3 6 2 10 7 2" xfId="12580"/>
    <cellStyle name="Normal 3 6 2 10 8" xfId="12581"/>
    <cellStyle name="Normal 3 6 2 11" xfId="12582"/>
    <cellStyle name="Normal 3 6 2 11 2" xfId="12583"/>
    <cellStyle name="Normal 3 6 2 11 2 2" xfId="12584"/>
    <cellStyle name="Normal 3 6 2 11 2 2 2" xfId="12585"/>
    <cellStyle name="Normal 3 6 2 11 2 2 2 2" xfId="12586"/>
    <cellStyle name="Normal 3 6 2 11 2 2 3" xfId="12587"/>
    <cellStyle name="Normal 3 6 2 11 2 2 3 2" xfId="12588"/>
    <cellStyle name="Normal 3 6 2 11 2 2 4" xfId="12589"/>
    <cellStyle name="Normal 3 6 2 11 2 2 4 2" xfId="12590"/>
    <cellStyle name="Normal 3 6 2 11 2 2 5" xfId="12591"/>
    <cellStyle name="Normal 3 6 2 11 2 3" xfId="12592"/>
    <cellStyle name="Normal 3 6 2 11 2 3 2" xfId="12593"/>
    <cellStyle name="Normal 3 6 2 11 2 3 2 2" xfId="12594"/>
    <cellStyle name="Normal 3 6 2 11 2 3 3" xfId="12595"/>
    <cellStyle name="Normal 3 6 2 11 2 3 3 2" xfId="12596"/>
    <cellStyle name="Normal 3 6 2 11 2 3 4" xfId="12597"/>
    <cellStyle name="Normal 3 6 2 11 2 3 4 2" xfId="12598"/>
    <cellStyle name="Normal 3 6 2 11 2 3 5" xfId="12599"/>
    <cellStyle name="Normal 3 6 2 11 2 4" xfId="12600"/>
    <cellStyle name="Normal 3 6 2 11 2 4 2" xfId="12601"/>
    <cellStyle name="Normal 3 6 2 11 2 5" xfId="12602"/>
    <cellStyle name="Normal 3 6 2 11 2 5 2" xfId="12603"/>
    <cellStyle name="Normal 3 6 2 11 2 6" xfId="12604"/>
    <cellStyle name="Normal 3 6 2 11 2 6 2" xfId="12605"/>
    <cellStyle name="Normal 3 6 2 11 2 7" xfId="12606"/>
    <cellStyle name="Normal 3 6 2 11 3" xfId="12607"/>
    <cellStyle name="Normal 3 6 2 11 3 2" xfId="12608"/>
    <cellStyle name="Normal 3 6 2 11 3 2 2" xfId="12609"/>
    <cellStyle name="Normal 3 6 2 11 3 3" xfId="12610"/>
    <cellStyle name="Normal 3 6 2 11 3 3 2" xfId="12611"/>
    <cellStyle name="Normal 3 6 2 11 3 4" xfId="12612"/>
    <cellStyle name="Normal 3 6 2 11 3 4 2" xfId="12613"/>
    <cellStyle name="Normal 3 6 2 11 3 5" xfId="12614"/>
    <cellStyle name="Normal 3 6 2 11 4" xfId="12615"/>
    <cellStyle name="Normal 3 6 2 11 4 2" xfId="12616"/>
    <cellStyle name="Normal 3 6 2 11 4 2 2" xfId="12617"/>
    <cellStyle name="Normal 3 6 2 11 4 3" xfId="12618"/>
    <cellStyle name="Normal 3 6 2 11 4 3 2" xfId="12619"/>
    <cellStyle name="Normal 3 6 2 11 4 4" xfId="12620"/>
    <cellStyle name="Normal 3 6 2 11 4 4 2" xfId="12621"/>
    <cellStyle name="Normal 3 6 2 11 4 5" xfId="12622"/>
    <cellStyle name="Normal 3 6 2 11 5" xfId="12623"/>
    <cellStyle name="Normal 3 6 2 11 5 2" xfId="12624"/>
    <cellStyle name="Normal 3 6 2 11 6" xfId="12625"/>
    <cellStyle name="Normal 3 6 2 11 6 2" xfId="12626"/>
    <cellStyle name="Normal 3 6 2 11 7" xfId="12627"/>
    <cellStyle name="Normal 3 6 2 11 7 2" xfId="12628"/>
    <cellStyle name="Normal 3 6 2 11 8" xfId="12629"/>
    <cellStyle name="Normal 3 6 2 12" xfId="12630"/>
    <cellStyle name="Normal 3 6 2 12 2" xfId="12631"/>
    <cellStyle name="Normal 3 6 2 12 2 2" xfId="12632"/>
    <cellStyle name="Normal 3 6 2 12 2 2 2" xfId="12633"/>
    <cellStyle name="Normal 3 6 2 12 2 3" xfId="12634"/>
    <cellStyle name="Normal 3 6 2 12 2 3 2" xfId="12635"/>
    <cellStyle name="Normal 3 6 2 12 2 4" xfId="12636"/>
    <cellStyle name="Normal 3 6 2 12 2 4 2" xfId="12637"/>
    <cellStyle name="Normal 3 6 2 12 2 5" xfId="12638"/>
    <cellStyle name="Normal 3 6 2 12 3" xfId="12639"/>
    <cellStyle name="Normal 3 6 2 12 3 2" xfId="12640"/>
    <cellStyle name="Normal 3 6 2 12 3 2 2" xfId="12641"/>
    <cellStyle name="Normal 3 6 2 12 3 3" xfId="12642"/>
    <cellStyle name="Normal 3 6 2 12 3 3 2" xfId="12643"/>
    <cellStyle name="Normal 3 6 2 12 3 4" xfId="12644"/>
    <cellStyle name="Normal 3 6 2 12 3 4 2" xfId="12645"/>
    <cellStyle name="Normal 3 6 2 12 3 5" xfId="12646"/>
    <cellStyle name="Normal 3 6 2 12 4" xfId="12647"/>
    <cellStyle name="Normal 3 6 2 12 4 2" xfId="12648"/>
    <cellStyle name="Normal 3 6 2 12 5" xfId="12649"/>
    <cellStyle name="Normal 3 6 2 12 5 2" xfId="12650"/>
    <cellStyle name="Normal 3 6 2 12 6" xfId="12651"/>
    <cellStyle name="Normal 3 6 2 12 6 2" xfId="12652"/>
    <cellStyle name="Normal 3 6 2 12 7" xfId="12653"/>
    <cellStyle name="Normal 3 6 2 13" xfId="12654"/>
    <cellStyle name="Normal 3 6 2 13 2" xfId="12655"/>
    <cellStyle name="Normal 3 6 2 13 2 2" xfId="12656"/>
    <cellStyle name="Normal 3 6 2 13 3" xfId="12657"/>
    <cellStyle name="Normal 3 6 2 13 3 2" xfId="12658"/>
    <cellStyle name="Normal 3 6 2 13 4" xfId="12659"/>
    <cellStyle name="Normal 3 6 2 13 4 2" xfId="12660"/>
    <cellStyle name="Normal 3 6 2 13 5" xfId="12661"/>
    <cellStyle name="Normal 3 6 2 14" xfId="12662"/>
    <cellStyle name="Normal 3 6 2 14 2" xfId="12663"/>
    <cellStyle name="Normal 3 6 2 14 2 2" xfId="12664"/>
    <cellStyle name="Normal 3 6 2 14 3" xfId="12665"/>
    <cellStyle name="Normal 3 6 2 14 3 2" xfId="12666"/>
    <cellStyle name="Normal 3 6 2 14 4" xfId="12667"/>
    <cellStyle name="Normal 3 6 2 14 4 2" xfId="12668"/>
    <cellStyle name="Normal 3 6 2 14 5" xfId="12669"/>
    <cellStyle name="Normal 3 6 2 15" xfId="12670"/>
    <cellStyle name="Normal 3 6 2 15 2" xfId="12671"/>
    <cellStyle name="Normal 3 6 2 16" xfId="12672"/>
    <cellStyle name="Normal 3 6 2 16 2" xfId="12673"/>
    <cellStyle name="Normal 3 6 2 17" xfId="12674"/>
    <cellStyle name="Normal 3 6 2 17 2" xfId="12675"/>
    <cellStyle name="Normal 3 6 2 18" xfId="12676"/>
    <cellStyle name="Normal 3 6 2 2" xfId="2005"/>
    <cellStyle name="Normal 3 6 2 2 10" xfId="12677"/>
    <cellStyle name="Normal 3 6 2 2 10 2" xfId="12678"/>
    <cellStyle name="Normal 3 6 2 2 10 2 2" xfId="12679"/>
    <cellStyle name="Normal 3 6 2 2 10 3" xfId="12680"/>
    <cellStyle name="Normal 3 6 2 2 10 3 2" xfId="12681"/>
    <cellStyle name="Normal 3 6 2 2 10 4" xfId="12682"/>
    <cellStyle name="Normal 3 6 2 2 10 4 2" xfId="12683"/>
    <cellStyle name="Normal 3 6 2 2 10 5" xfId="12684"/>
    <cellStyle name="Normal 3 6 2 2 11" xfId="12685"/>
    <cellStyle name="Normal 3 6 2 2 11 2" xfId="12686"/>
    <cellStyle name="Normal 3 6 2 2 12" xfId="12687"/>
    <cellStyle name="Normal 3 6 2 2 12 2" xfId="12688"/>
    <cellStyle name="Normal 3 6 2 2 13" xfId="12689"/>
    <cellStyle name="Normal 3 6 2 2 13 2" xfId="12690"/>
    <cellStyle name="Normal 3 6 2 2 14" xfId="12691"/>
    <cellStyle name="Normal 3 6 2 2 2" xfId="12692"/>
    <cellStyle name="Normal 3 6 2 2 2 10" xfId="12693"/>
    <cellStyle name="Normal 3 6 2 2 2 10 2" xfId="12694"/>
    <cellStyle name="Normal 3 6 2 2 2 11" xfId="12695"/>
    <cellStyle name="Normal 3 6 2 2 2 11 2" xfId="12696"/>
    <cellStyle name="Normal 3 6 2 2 2 12" xfId="12697"/>
    <cellStyle name="Normal 3 6 2 2 2 12 2" xfId="12698"/>
    <cellStyle name="Normal 3 6 2 2 2 13" xfId="12699"/>
    <cellStyle name="Normal 3 6 2 2 2 2" xfId="12700"/>
    <cellStyle name="Normal 3 6 2 2 2 2 2" xfId="12701"/>
    <cellStyle name="Normal 3 6 2 2 2 2 2 2" xfId="12702"/>
    <cellStyle name="Normal 3 6 2 2 2 2 2 2 2" xfId="12703"/>
    <cellStyle name="Normal 3 6 2 2 2 2 2 2 2 2" xfId="12704"/>
    <cellStyle name="Normal 3 6 2 2 2 2 2 2 3" xfId="12705"/>
    <cellStyle name="Normal 3 6 2 2 2 2 2 2 3 2" xfId="12706"/>
    <cellStyle name="Normal 3 6 2 2 2 2 2 2 4" xfId="12707"/>
    <cellStyle name="Normal 3 6 2 2 2 2 2 2 4 2" xfId="12708"/>
    <cellStyle name="Normal 3 6 2 2 2 2 2 2 5" xfId="12709"/>
    <cellStyle name="Normal 3 6 2 2 2 2 2 3" xfId="12710"/>
    <cellStyle name="Normal 3 6 2 2 2 2 2 3 2" xfId="12711"/>
    <cellStyle name="Normal 3 6 2 2 2 2 2 3 2 2" xfId="12712"/>
    <cellStyle name="Normal 3 6 2 2 2 2 2 3 3" xfId="12713"/>
    <cellStyle name="Normal 3 6 2 2 2 2 2 3 3 2" xfId="12714"/>
    <cellStyle name="Normal 3 6 2 2 2 2 2 3 4" xfId="12715"/>
    <cellStyle name="Normal 3 6 2 2 2 2 2 3 4 2" xfId="12716"/>
    <cellStyle name="Normal 3 6 2 2 2 2 2 3 5" xfId="12717"/>
    <cellStyle name="Normal 3 6 2 2 2 2 2 4" xfId="12718"/>
    <cellStyle name="Normal 3 6 2 2 2 2 2 4 2" xfId="12719"/>
    <cellStyle name="Normal 3 6 2 2 2 2 2 5" xfId="12720"/>
    <cellStyle name="Normal 3 6 2 2 2 2 2 5 2" xfId="12721"/>
    <cellStyle name="Normal 3 6 2 2 2 2 2 6" xfId="12722"/>
    <cellStyle name="Normal 3 6 2 2 2 2 2 6 2" xfId="12723"/>
    <cellStyle name="Normal 3 6 2 2 2 2 2 7" xfId="12724"/>
    <cellStyle name="Normal 3 6 2 2 2 2 3" xfId="12725"/>
    <cellStyle name="Normal 3 6 2 2 2 2 3 2" xfId="12726"/>
    <cellStyle name="Normal 3 6 2 2 2 2 3 2 2" xfId="12727"/>
    <cellStyle name="Normal 3 6 2 2 2 2 3 3" xfId="12728"/>
    <cellStyle name="Normal 3 6 2 2 2 2 3 3 2" xfId="12729"/>
    <cellStyle name="Normal 3 6 2 2 2 2 3 4" xfId="12730"/>
    <cellStyle name="Normal 3 6 2 2 2 2 3 4 2" xfId="12731"/>
    <cellStyle name="Normal 3 6 2 2 2 2 3 5" xfId="12732"/>
    <cellStyle name="Normal 3 6 2 2 2 2 4" xfId="12733"/>
    <cellStyle name="Normal 3 6 2 2 2 2 4 2" xfId="12734"/>
    <cellStyle name="Normal 3 6 2 2 2 2 4 2 2" xfId="12735"/>
    <cellStyle name="Normal 3 6 2 2 2 2 4 3" xfId="12736"/>
    <cellStyle name="Normal 3 6 2 2 2 2 4 3 2" xfId="12737"/>
    <cellStyle name="Normal 3 6 2 2 2 2 4 4" xfId="12738"/>
    <cellStyle name="Normal 3 6 2 2 2 2 4 4 2" xfId="12739"/>
    <cellStyle name="Normal 3 6 2 2 2 2 4 5" xfId="12740"/>
    <cellStyle name="Normal 3 6 2 2 2 2 5" xfId="12741"/>
    <cellStyle name="Normal 3 6 2 2 2 2 5 2" xfId="12742"/>
    <cellStyle name="Normal 3 6 2 2 2 2 6" xfId="12743"/>
    <cellStyle name="Normal 3 6 2 2 2 2 6 2" xfId="12744"/>
    <cellStyle name="Normal 3 6 2 2 2 2 7" xfId="12745"/>
    <cellStyle name="Normal 3 6 2 2 2 2 7 2" xfId="12746"/>
    <cellStyle name="Normal 3 6 2 2 2 2 8" xfId="12747"/>
    <cellStyle name="Normal 3 6 2 2 2 3" xfId="12748"/>
    <cellStyle name="Normal 3 6 2 2 2 3 2" xfId="12749"/>
    <cellStyle name="Normal 3 6 2 2 2 3 2 2" xfId="12750"/>
    <cellStyle name="Normal 3 6 2 2 2 3 2 2 2" xfId="12751"/>
    <cellStyle name="Normal 3 6 2 2 2 3 2 2 2 2" xfId="12752"/>
    <cellStyle name="Normal 3 6 2 2 2 3 2 2 3" xfId="12753"/>
    <cellStyle name="Normal 3 6 2 2 2 3 2 2 3 2" xfId="12754"/>
    <cellStyle name="Normal 3 6 2 2 2 3 2 2 4" xfId="12755"/>
    <cellStyle name="Normal 3 6 2 2 2 3 2 2 4 2" xfId="12756"/>
    <cellStyle name="Normal 3 6 2 2 2 3 2 2 5" xfId="12757"/>
    <cellStyle name="Normal 3 6 2 2 2 3 2 3" xfId="12758"/>
    <cellStyle name="Normal 3 6 2 2 2 3 2 3 2" xfId="12759"/>
    <cellStyle name="Normal 3 6 2 2 2 3 2 3 2 2" xfId="12760"/>
    <cellStyle name="Normal 3 6 2 2 2 3 2 3 3" xfId="12761"/>
    <cellStyle name="Normal 3 6 2 2 2 3 2 3 3 2" xfId="12762"/>
    <cellStyle name="Normal 3 6 2 2 2 3 2 3 4" xfId="12763"/>
    <cellStyle name="Normal 3 6 2 2 2 3 2 3 4 2" xfId="12764"/>
    <cellStyle name="Normal 3 6 2 2 2 3 2 3 5" xfId="12765"/>
    <cellStyle name="Normal 3 6 2 2 2 3 2 4" xfId="12766"/>
    <cellStyle name="Normal 3 6 2 2 2 3 2 4 2" xfId="12767"/>
    <cellStyle name="Normal 3 6 2 2 2 3 2 5" xfId="12768"/>
    <cellStyle name="Normal 3 6 2 2 2 3 2 5 2" xfId="12769"/>
    <cellStyle name="Normal 3 6 2 2 2 3 2 6" xfId="12770"/>
    <cellStyle name="Normal 3 6 2 2 2 3 2 6 2" xfId="12771"/>
    <cellStyle name="Normal 3 6 2 2 2 3 2 7" xfId="12772"/>
    <cellStyle name="Normal 3 6 2 2 2 3 3" xfId="12773"/>
    <cellStyle name="Normal 3 6 2 2 2 3 3 2" xfId="12774"/>
    <cellStyle name="Normal 3 6 2 2 2 3 3 2 2" xfId="12775"/>
    <cellStyle name="Normal 3 6 2 2 2 3 3 3" xfId="12776"/>
    <cellStyle name="Normal 3 6 2 2 2 3 3 3 2" xfId="12777"/>
    <cellStyle name="Normal 3 6 2 2 2 3 3 4" xfId="12778"/>
    <cellStyle name="Normal 3 6 2 2 2 3 3 4 2" xfId="12779"/>
    <cellStyle name="Normal 3 6 2 2 2 3 3 5" xfId="12780"/>
    <cellStyle name="Normal 3 6 2 2 2 3 4" xfId="12781"/>
    <cellStyle name="Normal 3 6 2 2 2 3 4 2" xfId="12782"/>
    <cellStyle name="Normal 3 6 2 2 2 3 4 2 2" xfId="12783"/>
    <cellStyle name="Normal 3 6 2 2 2 3 4 3" xfId="12784"/>
    <cellStyle name="Normal 3 6 2 2 2 3 4 3 2" xfId="12785"/>
    <cellStyle name="Normal 3 6 2 2 2 3 4 4" xfId="12786"/>
    <cellStyle name="Normal 3 6 2 2 2 3 4 4 2" xfId="12787"/>
    <cellStyle name="Normal 3 6 2 2 2 3 4 5" xfId="12788"/>
    <cellStyle name="Normal 3 6 2 2 2 3 5" xfId="12789"/>
    <cellStyle name="Normal 3 6 2 2 2 3 5 2" xfId="12790"/>
    <cellStyle name="Normal 3 6 2 2 2 3 6" xfId="12791"/>
    <cellStyle name="Normal 3 6 2 2 2 3 6 2" xfId="12792"/>
    <cellStyle name="Normal 3 6 2 2 2 3 7" xfId="12793"/>
    <cellStyle name="Normal 3 6 2 2 2 3 7 2" xfId="12794"/>
    <cellStyle name="Normal 3 6 2 2 2 3 8" xfId="12795"/>
    <cellStyle name="Normal 3 6 2 2 2 4" xfId="12796"/>
    <cellStyle name="Normal 3 6 2 2 2 4 2" xfId="12797"/>
    <cellStyle name="Normal 3 6 2 2 2 4 2 2" xfId="12798"/>
    <cellStyle name="Normal 3 6 2 2 2 4 2 2 2" xfId="12799"/>
    <cellStyle name="Normal 3 6 2 2 2 4 2 2 2 2" xfId="12800"/>
    <cellStyle name="Normal 3 6 2 2 2 4 2 2 3" xfId="12801"/>
    <cellStyle name="Normal 3 6 2 2 2 4 2 2 3 2" xfId="12802"/>
    <cellStyle name="Normal 3 6 2 2 2 4 2 2 4" xfId="12803"/>
    <cellStyle name="Normal 3 6 2 2 2 4 2 2 4 2" xfId="12804"/>
    <cellStyle name="Normal 3 6 2 2 2 4 2 2 5" xfId="12805"/>
    <cellStyle name="Normal 3 6 2 2 2 4 2 3" xfId="12806"/>
    <cellStyle name="Normal 3 6 2 2 2 4 2 3 2" xfId="12807"/>
    <cellStyle name="Normal 3 6 2 2 2 4 2 3 2 2" xfId="12808"/>
    <cellStyle name="Normal 3 6 2 2 2 4 2 3 3" xfId="12809"/>
    <cellStyle name="Normal 3 6 2 2 2 4 2 3 3 2" xfId="12810"/>
    <cellStyle name="Normal 3 6 2 2 2 4 2 3 4" xfId="12811"/>
    <cellStyle name="Normal 3 6 2 2 2 4 2 3 4 2" xfId="12812"/>
    <cellStyle name="Normal 3 6 2 2 2 4 2 3 5" xfId="12813"/>
    <cellStyle name="Normal 3 6 2 2 2 4 2 4" xfId="12814"/>
    <cellStyle name="Normal 3 6 2 2 2 4 2 4 2" xfId="12815"/>
    <cellStyle name="Normal 3 6 2 2 2 4 2 5" xfId="12816"/>
    <cellStyle name="Normal 3 6 2 2 2 4 2 5 2" xfId="12817"/>
    <cellStyle name="Normal 3 6 2 2 2 4 2 6" xfId="12818"/>
    <cellStyle name="Normal 3 6 2 2 2 4 2 6 2" xfId="12819"/>
    <cellStyle name="Normal 3 6 2 2 2 4 2 7" xfId="12820"/>
    <cellStyle name="Normal 3 6 2 2 2 4 3" xfId="12821"/>
    <cellStyle name="Normal 3 6 2 2 2 4 3 2" xfId="12822"/>
    <cellStyle name="Normal 3 6 2 2 2 4 3 2 2" xfId="12823"/>
    <cellStyle name="Normal 3 6 2 2 2 4 3 3" xfId="12824"/>
    <cellStyle name="Normal 3 6 2 2 2 4 3 3 2" xfId="12825"/>
    <cellStyle name="Normal 3 6 2 2 2 4 3 4" xfId="12826"/>
    <cellStyle name="Normal 3 6 2 2 2 4 3 4 2" xfId="12827"/>
    <cellStyle name="Normal 3 6 2 2 2 4 3 5" xfId="12828"/>
    <cellStyle name="Normal 3 6 2 2 2 4 4" xfId="12829"/>
    <cellStyle name="Normal 3 6 2 2 2 4 4 2" xfId="12830"/>
    <cellStyle name="Normal 3 6 2 2 2 4 4 2 2" xfId="12831"/>
    <cellStyle name="Normal 3 6 2 2 2 4 4 3" xfId="12832"/>
    <cellStyle name="Normal 3 6 2 2 2 4 4 3 2" xfId="12833"/>
    <cellStyle name="Normal 3 6 2 2 2 4 4 4" xfId="12834"/>
    <cellStyle name="Normal 3 6 2 2 2 4 4 4 2" xfId="12835"/>
    <cellStyle name="Normal 3 6 2 2 2 4 4 5" xfId="12836"/>
    <cellStyle name="Normal 3 6 2 2 2 4 5" xfId="12837"/>
    <cellStyle name="Normal 3 6 2 2 2 4 5 2" xfId="12838"/>
    <cellStyle name="Normal 3 6 2 2 2 4 6" xfId="12839"/>
    <cellStyle name="Normal 3 6 2 2 2 4 6 2" xfId="12840"/>
    <cellStyle name="Normal 3 6 2 2 2 4 7" xfId="12841"/>
    <cellStyle name="Normal 3 6 2 2 2 4 7 2" xfId="12842"/>
    <cellStyle name="Normal 3 6 2 2 2 4 8" xfId="12843"/>
    <cellStyle name="Normal 3 6 2 2 2 5" xfId="12844"/>
    <cellStyle name="Normal 3 6 2 2 2 5 2" xfId="12845"/>
    <cellStyle name="Normal 3 6 2 2 2 5 2 2" xfId="12846"/>
    <cellStyle name="Normal 3 6 2 2 2 5 2 2 2" xfId="12847"/>
    <cellStyle name="Normal 3 6 2 2 2 5 2 2 2 2" xfId="12848"/>
    <cellStyle name="Normal 3 6 2 2 2 5 2 2 3" xfId="12849"/>
    <cellStyle name="Normal 3 6 2 2 2 5 2 2 3 2" xfId="12850"/>
    <cellStyle name="Normal 3 6 2 2 2 5 2 2 4" xfId="12851"/>
    <cellStyle name="Normal 3 6 2 2 2 5 2 2 4 2" xfId="12852"/>
    <cellStyle name="Normal 3 6 2 2 2 5 2 2 5" xfId="12853"/>
    <cellStyle name="Normal 3 6 2 2 2 5 2 3" xfId="12854"/>
    <cellStyle name="Normal 3 6 2 2 2 5 2 3 2" xfId="12855"/>
    <cellStyle name="Normal 3 6 2 2 2 5 2 3 2 2" xfId="12856"/>
    <cellStyle name="Normal 3 6 2 2 2 5 2 3 3" xfId="12857"/>
    <cellStyle name="Normal 3 6 2 2 2 5 2 3 3 2" xfId="12858"/>
    <cellStyle name="Normal 3 6 2 2 2 5 2 3 4" xfId="12859"/>
    <cellStyle name="Normal 3 6 2 2 2 5 2 3 4 2" xfId="12860"/>
    <cellStyle name="Normal 3 6 2 2 2 5 2 3 5" xfId="12861"/>
    <cellStyle name="Normal 3 6 2 2 2 5 2 4" xfId="12862"/>
    <cellStyle name="Normal 3 6 2 2 2 5 2 4 2" xfId="12863"/>
    <cellStyle name="Normal 3 6 2 2 2 5 2 5" xfId="12864"/>
    <cellStyle name="Normal 3 6 2 2 2 5 2 5 2" xfId="12865"/>
    <cellStyle name="Normal 3 6 2 2 2 5 2 6" xfId="12866"/>
    <cellStyle name="Normal 3 6 2 2 2 5 2 6 2" xfId="12867"/>
    <cellStyle name="Normal 3 6 2 2 2 5 2 7" xfId="12868"/>
    <cellStyle name="Normal 3 6 2 2 2 5 3" xfId="12869"/>
    <cellStyle name="Normal 3 6 2 2 2 5 3 2" xfId="12870"/>
    <cellStyle name="Normal 3 6 2 2 2 5 3 2 2" xfId="12871"/>
    <cellStyle name="Normal 3 6 2 2 2 5 3 3" xfId="12872"/>
    <cellStyle name="Normal 3 6 2 2 2 5 3 3 2" xfId="12873"/>
    <cellStyle name="Normal 3 6 2 2 2 5 3 4" xfId="12874"/>
    <cellStyle name="Normal 3 6 2 2 2 5 3 4 2" xfId="12875"/>
    <cellStyle name="Normal 3 6 2 2 2 5 3 5" xfId="12876"/>
    <cellStyle name="Normal 3 6 2 2 2 5 4" xfId="12877"/>
    <cellStyle name="Normal 3 6 2 2 2 5 4 2" xfId="12878"/>
    <cellStyle name="Normal 3 6 2 2 2 5 4 2 2" xfId="12879"/>
    <cellStyle name="Normal 3 6 2 2 2 5 4 3" xfId="12880"/>
    <cellStyle name="Normal 3 6 2 2 2 5 4 3 2" xfId="12881"/>
    <cellStyle name="Normal 3 6 2 2 2 5 4 4" xfId="12882"/>
    <cellStyle name="Normal 3 6 2 2 2 5 4 4 2" xfId="12883"/>
    <cellStyle name="Normal 3 6 2 2 2 5 4 5" xfId="12884"/>
    <cellStyle name="Normal 3 6 2 2 2 5 5" xfId="12885"/>
    <cellStyle name="Normal 3 6 2 2 2 5 5 2" xfId="12886"/>
    <cellStyle name="Normal 3 6 2 2 2 5 6" xfId="12887"/>
    <cellStyle name="Normal 3 6 2 2 2 5 6 2" xfId="12888"/>
    <cellStyle name="Normal 3 6 2 2 2 5 7" xfId="12889"/>
    <cellStyle name="Normal 3 6 2 2 2 5 7 2" xfId="12890"/>
    <cellStyle name="Normal 3 6 2 2 2 5 8" xfId="12891"/>
    <cellStyle name="Normal 3 6 2 2 2 6" xfId="12892"/>
    <cellStyle name="Normal 3 6 2 2 2 6 2" xfId="12893"/>
    <cellStyle name="Normal 3 6 2 2 2 6 2 2" xfId="12894"/>
    <cellStyle name="Normal 3 6 2 2 2 6 2 2 2" xfId="12895"/>
    <cellStyle name="Normal 3 6 2 2 2 6 2 2 2 2" xfId="12896"/>
    <cellStyle name="Normal 3 6 2 2 2 6 2 2 3" xfId="12897"/>
    <cellStyle name="Normal 3 6 2 2 2 6 2 2 3 2" xfId="12898"/>
    <cellStyle name="Normal 3 6 2 2 2 6 2 2 4" xfId="12899"/>
    <cellStyle name="Normal 3 6 2 2 2 6 2 2 4 2" xfId="12900"/>
    <cellStyle name="Normal 3 6 2 2 2 6 2 2 5" xfId="12901"/>
    <cellStyle name="Normal 3 6 2 2 2 6 2 3" xfId="12902"/>
    <cellStyle name="Normal 3 6 2 2 2 6 2 3 2" xfId="12903"/>
    <cellStyle name="Normal 3 6 2 2 2 6 2 3 2 2" xfId="12904"/>
    <cellStyle name="Normal 3 6 2 2 2 6 2 3 3" xfId="12905"/>
    <cellStyle name="Normal 3 6 2 2 2 6 2 3 3 2" xfId="12906"/>
    <cellStyle name="Normal 3 6 2 2 2 6 2 3 4" xfId="12907"/>
    <cellStyle name="Normal 3 6 2 2 2 6 2 3 4 2" xfId="12908"/>
    <cellStyle name="Normal 3 6 2 2 2 6 2 3 5" xfId="12909"/>
    <cellStyle name="Normal 3 6 2 2 2 6 2 4" xfId="12910"/>
    <cellStyle name="Normal 3 6 2 2 2 6 2 4 2" xfId="12911"/>
    <cellStyle name="Normal 3 6 2 2 2 6 2 5" xfId="12912"/>
    <cellStyle name="Normal 3 6 2 2 2 6 2 5 2" xfId="12913"/>
    <cellStyle name="Normal 3 6 2 2 2 6 2 6" xfId="12914"/>
    <cellStyle name="Normal 3 6 2 2 2 6 2 6 2" xfId="12915"/>
    <cellStyle name="Normal 3 6 2 2 2 6 2 7" xfId="12916"/>
    <cellStyle name="Normal 3 6 2 2 2 6 3" xfId="12917"/>
    <cellStyle name="Normal 3 6 2 2 2 6 3 2" xfId="12918"/>
    <cellStyle name="Normal 3 6 2 2 2 6 3 2 2" xfId="12919"/>
    <cellStyle name="Normal 3 6 2 2 2 6 3 3" xfId="12920"/>
    <cellStyle name="Normal 3 6 2 2 2 6 3 3 2" xfId="12921"/>
    <cellStyle name="Normal 3 6 2 2 2 6 3 4" xfId="12922"/>
    <cellStyle name="Normal 3 6 2 2 2 6 3 4 2" xfId="12923"/>
    <cellStyle name="Normal 3 6 2 2 2 6 3 5" xfId="12924"/>
    <cellStyle name="Normal 3 6 2 2 2 6 4" xfId="12925"/>
    <cellStyle name="Normal 3 6 2 2 2 6 4 2" xfId="12926"/>
    <cellStyle name="Normal 3 6 2 2 2 6 4 2 2" xfId="12927"/>
    <cellStyle name="Normal 3 6 2 2 2 6 4 3" xfId="12928"/>
    <cellStyle name="Normal 3 6 2 2 2 6 4 3 2" xfId="12929"/>
    <cellStyle name="Normal 3 6 2 2 2 6 4 4" xfId="12930"/>
    <cellStyle name="Normal 3 6 2 2 2 6 4 4 2" xfId="12931"/>
    <cellStyle name="Normal 3 6 2 2 2 6 4 5" xfId="12932"/>
    <cellStyle name="Normal 3 6 2 2 2 6 5" xfId="12933"/>
    <cellStyle name="Normal 3 6 2 2 2 6 5 2" xfId="12934"/>
    <cellStyle name="Normal 3 6 2 2 2 6 6" xfId="12935"/>
    <cellStyle name="Normal 3 6 2 2 2 6 6 2" xfId="12936"/>
    <cellStyle name="Normal 3 6 2 2 2 6 7" xfId="12937"/>
    <cellStyle name="Normal 3 6 2 2 2 6 7 2" xfId="12938"/>
    <cellStyle name="Normal 3 6 2 2 2 6 8" xfId="12939"/>
    <cellStyle name="Normal 3 6 2 2 2 7" xfId="12940"/>
    <cellStyle name="Normal 3 6 2 2 2 7 2" xfId="12941"/>
    <cellStyle name="Normal 3 6 2 2 2 7 2 2" xfId="12942"/>
    <cellStyle name="Normal 3 6 2 2 2 7 2 2 2" xfId="12943"/>
    <cellStyle name="Normal 3 6 2 2 2 7 2 3" xfId="12944"/>
    <cellStyle name="Normal 3 6 2 2 2 7 2 3 2" xfId="12945"/>
    <cellStyle name="Normal 3 6 2 2 2 7 2 4" xfId="12946"/>
    <cellStyle name="Normal 3 6 2 2 2 7 2 4 2" xfId="12947"/>
    <cellStyle name="Normal 3 6 2 2 2 7 2 5" xfId="12948"/>
    <cellStyle name="Normal 3 6 2 2 2 7 3" xfId="12949"/>
    <cellStyle name="Normal 3 6 2 2 2 7 3 2" xfId="12950"/>
    <cellStyle name="Normal 3 6 2 2 2 7 3 2 2" xfId="12951"/>
    <cellStyle name="Normal 3 6 2 2 2 7 3 3" xfId="12952"/>
    <cellStyle name="Normal 3 6 2 2 2 7 3 3 2" xfId="12953"/>
    <cellStyle name="Normal 3 6 2 2 2 7 3 4" xfId="12954"/>
    <cellStyle name="Normal 3 6 2 2 2 7 3 4 2" xfId="12955"/>
    <cellStyle name="Normal 3 6 2 2 2 7 3 5" xfId="12956"/>
    <cellStyle name="Normal 3 6 2 2 2 7 4" xfId="12957"/>
    <cellStyle name="Normal 3 6 2 2 2 7 4 2" xfId="12958"/>
    <cellStyle name="Normal 3 6 2 2 2 7 5" xfId="12959"/>
    <cellStyle name="Normal 3 6 2 2 2 7 5 2" xfId="12960"/>
    <cellStyle name="Normal 3 6 2 2 2 7 6" xfId="12961"/>
    <cellStyle name="Normal 3 6 2 2 2 7 6 2" xfId="12962"/>
    <cellStyle name="Normal 3 6 2 2 2 7 7" xfId="12963"/>
    <cellStyle name="Normal 3 6 2 2 2 8" xfId="12964"/>
    <cellStyle name="Normal 3 6 2 2 2 8 2" xfId="12965"/>
    <cellStyle name="Normal 3 6 2 2 2 8 2 2" xfId="12966"/>
    <cellStyle name="Normal 3 6 2 2 2 8 3" xfId="12967"/>
    <cellStyle name="Normal 3 6 2 2 2 8 3 2" xfId="12968"/>
    <cellStyle name="Normal 3 6 2 2 2 8 4" xfId="12969"/>
    <cellStyle name="Normal 3 6 2 2 2 8 4 2" xfId="12970"/>
    <cellStyle name="Normal 3 6 2 2 2 8 5" xfId="12971"/>
    <cellStyle name="Normal 3 6 2 2 2 9" xfId="12972"/>
    <cellStyle name="Normal 3 6 2 2 2 9 2" xfId="12973"/>
    <cellStyle name="Normal 3 6 2 2 2 9 2 2" xfId="12974"/>
    <cellStyle name="Normal 3 6 2 2 2 9 3" xfId="12975"/>
    <cellStyle name="Normal 3 6 2 2 2 9 3 2" xfId="12976"/>
    <cellStyle name="Normal 3 6 2 2 2 9 4" xfId="12977"/>
    <cellStyle name="Normal 3 6 2 2 2 9 4 2" xfId="12978"/>
    <cellStyle name="Normal 3 6 2 2 2 9 5" xfId="12979"/>
    <cellStyle name="Normal 3 6 2 2 3" xfId="12980"/>
    <cellStyle name="Normal 3 6 2 2 3 2" xfId="12981"/>
    <cellStyle name="Normal 3 6 2 2 3 2 2" xfId="12982"/>
    <cellStyle name="Normal 3 6 2 2 3 2 2 2" xfId="12983"/>
    <cellStyle name="Normal 3 6 2 2 3 2 2 2 2" xfId="12984"/>
    <cellStyle name="Normal 3 6 2 2 3 2 2 3" xfId="12985"/>
    <cellStyle name="Normal 3 6 2 2 3 2 2 3 2" xfId="12986"/>
    <cellStyle name="Normal 3 6 2 2 3 2 2 4" xfId="12987"/>
    <cellStyle name="Normal 3 6 2 2 3 2 2 4 2" xfId="12988"/>
    <cellStyle name="Normal 3 6 2 2 3 2 2 5" xfId="12989"/>
    <cellStyle name="Normal 3 6 2 2 3 2 3" xfId="12990"/>
    <cellStyle name="Normal 3 6 2 2 3 2 3 2" xfId="12991"/>
    <cellStyle name="Normal 3 6 2 2 3 2 3 2 2" xfId="12992"/>
    <cellStyle name="Normal 3 6 2 2 3 2 3 3" xfId="12993"/>
    <cellStyle name="Normal 3 6 2 2 3 2 3 3 2" xfId="12994"/>
    <cellStyle name="Normal 3 6 2 2 3 2 3 4" xfId="12995"/>
    <cellStyle name="Normal 3 6 2 2 3 2 3 4 2" xfId="12996"/>
    <cellStyle name="Normal 3 6 2 2 3 2 3 5" xfId="12997"/>
    <cellStyle name="Normal 3 6 2 2 3 2 4" xfId="12998"/>
    <cellStyle name="Normal 3 6 2 2 3 2 4 2" xfId="12999"/>
    <cellStyle name="Normal 3 6 2 2 3 2 5" xfId="13000"/>
    <cellStyle name="Normal 3 6 2 2 3 2 5 2" xfId="13001"/>
    <cellStyle name="Normal 3 6 2 2 3 2 6" xfId="13002"/>
    <cellStyle name="Normal 3 6 2 2 3 2 6 2" xfId="13003"/>
    <cellStyle name="Normal 3 6 2 2 3 2 7" xfId="13004"/>
    <cellStyle name="Normal 3 6 2 2 3 3" xfId="13005"/>
    <cellStyle name="Normal 3 6 2 2 3 3 2" xfId="13006"/>
    <cellStyle name="Normal 3 6 2 2 3 3 2 2" xfId="13007"/>
    <cellStyle name="Normal 3 6 2 2 3 3 3" xfId="13008"/>
    <cellStyle name="Normal 3 6 2 2 3 3 3 2" xfId="13009"/>
    <cellStyle name="Normal 3 6 2 2 3 3 4" xfId="13010"/>
    <cellStyle name="Normal 3 6 2 2 3 3 4 2" xfId="13011"/>
    <cellStyle name="Normal 3 6 2 2 3 3 5" xfId="13012"/>
    <cellStyle name="Normal 3 6 2 2 3 4" xfId="13013"/>
    <cellStyle name="Normal 3 6 2 2 3 4 2" xfId="13014"/>
    <cellStyle name="Normal 3 6 2 2 3 4 2 2" xfId="13015"/>
    <cellStyle name="Normal 3 6 2 2 3 4 3" xfId="13016"/>
    <cellStyle name="Normal 3 6 2 2 3 4 3 2" xfId="13017"/>
    <cellStyle name="Normal 3 6 2 2 3 4 4" xfId="13018"/>
    <cellStyle name="Normal 3 6 2 2 3 4 4 2" xfId="13019"/>
    <cellStyle name="Normal 3 6 2 2 3 4 5" xfId="13020"/>
    <cellStyle name="Normal 3 6 2 2 3 5" xfId="13021"/>
    <cellStyle name="Normal 3 6 2 2 3 5 2" xfId="13022"/>
    <cellStyle name="Normal 3 6 2 2 3 6" xfId="13023"/>
    <cellStyle name="Normal 3 6 2 2 3 6 2" xfId="13024"/>
    <cellStyle name="Normal 3 6 2 2 3 7" xfId="13025"/>
    <cellStyle name="Normal 3 6 2 2 3 7 2" xfId="13026"/>
    <cellStyle name="Normal 3 6 2 2 3 8" xfId="13027"/>
    <cellStyle name="Normal 3 6 2 2 4" xfId="13028"/>
    <cellStyle name="Normal 3 6 2 2 4 2" xfId="13029"/>
    <cellStyle name="Normal 3 6 2 2 4 2 2" xfId="13030"/>
    <cellStyle name="Normal 3 6 2 2 4 2 2 2" xfId="13031"/>
    <cellStyle name="Normal 3 6 2 2 4 2 2 2 2" xfId="13032"/>
    <cellStyle name="Normal 3 6 2 2 4 2 2 3" xfId="13033"/>
    <cellStyle name="Normal 3 6 2 2 4 2 2 3 2" xfId="13034"/>
    <cellStyle name="Normal 3 6 2 2 4 2 2 4" xfId="13035"/>
    <cellStyle name="Normal 3 6 2 2 4 2 2 4 2" xfId="13036"/>
    <cellStyle name="Normal 3 6 2 2 4 2 2 5" xfId="13037"/>
    <cellStyle name="Normal 3 6 2 2 4 2 3" xfId="13038"/>
    <cellStyle name="Normal 3 6 2 2 4 2 3 2" xfId="13039"/>
    <cellStyle name="Normal 3 6 2 2 4 2 3 2 2" xfId="13040"/>
    <cellStyle name="Normal 3 6 2 2 4 2 3 3" xfId="13041"/>
    <cellStyle name="Normal 3 6 2 2 4 2 3 3 2" xfId="13042"/>
    <cellStyle name="Normal 3 6 2 2 4 2 3 4" xfId="13043"/>
    <cellStyle name="Normal 3 6 2 2 4 2 3 4 2" xfId="13044"/>
    <cellStyle name="Normal 3 6 2 2 4 2 3 5" xfId="13045"/>
    <cellStyle name="Normal 3 6 2 2 4 2 4" xfId="13046"/>
    <cellStyle name="Normal 3 6 2 2 4 2 4 2" xfId="13047"/>
    <cellStyle name="Normal 3 6 2 2 4 2 5" xfId="13048"/>
    <cellStyle name="Normal 3 6 2 2 4 2 5 2" xfId="13049"/>
    <cellStyle name="Normal 3 6 2 2 4 2 6" xfId="13050"/>
    <cellStyle name="Normal 3 6 2 2 4 2 6 2" xfId="13051"/>
    <cellStyle name="Normal 3 6 2 2 4 2 7" xfId="13052"/>
    <cellStyle name="Normal 3 6 2 2 4 3" xfId="13053"/>
    <cellStyle name="Normal 3 6 2 2 4 3 2" xfId="13054"/>
    <cellStyle name="Normal 3 6 2 2 4 3 2 2" xfId="13055"/>
    <cellStyle name="Normal 3 6 2 2 4 3 3" xfId="13056"/>
    <cellStyle name="Normal 3 6 2 2 4 3 3 2" xfId="13057"/>
    <cellStyle name="Normal 3 6 2 2 4 3 4" xfId="13058"/>
    <cellStyle name="Normal 3 6 2 2 4 3 4 2" xfId="13059"/>
    <cellStyle name="Normal 3 6 2 2 4 3 5" xfId="13060"/>
    <cellStyle name="Normal 3 6 2 2 4 4" xfId="13061"/>
    <cellStyle name="Normal 3 6 2 2 4 4 2" xfId="13062"/>
    <cellStyle name="Normal 3 6 2 2 4 4 2 2" xfId="13063"/>
    <cellStyle name="Normal 3 6 2 2 4 4 3" xfId="13064"/>
    <cellStyle name="Normal 3 6 2 2 4 4 3 2" xfId="13065"/>
    <cellStyle name="Normal 3 6 2 2 4 4 4" xfId="13066"/>
    <cellStyle name="Normal 3 6 2 2 4 4 4 2" xfId="13067"/>
    <cellStyle name="Normal 3 6 2 2 4 4 5" xfId="13068"/>
    <cellStyle name="Normal 3 6 2 2 4 5" xfId="13069"/>
    <cellStyle name="Normal 3 6 2 2 4 5 2" xfId="13070"/>
    <cellStyle name="Normal 3 6 2 2 4 6" xfId="13071"/>
    <cellStyle name="Normal 3 6 2 2 4 6 2" xfId="13072"/>
    <cellStyle name="Normal 3 6 2 2 4 7" xfId="13073"/>
    <cellStyle name="Normal 3 6 2 2 4 7 2" xfId="13074"/>
    <cellStyle name="Normal 3 6 2 2 4 8" xfId="13075"/>
    <cellStyle name="Normal 3 6 2 2 5" xfId="13076"/>
    <cellStyle name="Normal 3 6 2 2 5 2" xfId="13077"/>
    <cellStyle name="Normal 3 6 2 2 5 2 2" xfId="13078"/>
    <cellStyle name="Normal 3 6 2 2 5 2 2 2" xfId="13079"/>
    <cellStyle name="Normal 3 6 2 2 5 2 2 2 2" xfId="13080"/>
    <cellStyle name="Normal 3 6 2 2 5 2 2 3" xfId="13081"/>
    <cellStyle name="Normal 3 6 2 2 5 2 2 3 2" xfId="13082"/>
    <cellStyle name="Normal 3 6 2 2 5 2 2 4" xfId="13083"/>
    <cellStyle name="Normal 3 6 2 2 5 2 2 4 2" xfId="13084"/>
    <cellStyle name="Normal 3 6 2 2 5 2 2 5" xfId="13085"/>
    <cellStyle name="Normal 3 6 2 2 5 2 3" xfId="13086"/>
    <cellStyle name="Normal 3 6 2 2 5 2 3 2" xfId="13087"/>
    <cellStyle name="Normal 3 6 2 2 5 2 3 2 2" xfId="13088"/>
    <cellStyle name="Normal 3 6 2 2 5 2 3 3" xfId="13089"/>
    <cellStyle name="Normal 3 6 2 2 5 2 3 3 2" xfId="13090"/>
    <cellStyle name="Normal 3 6 2 2 5 2 3 4" xfId="13091"/>
    <cellStyle name="Normal 3 6 2 2 5 2 3 4 2" xfId="13092"/>
    <cellStyle name="Normal 3 6 2 2 5 2 3 5" xfId="13093"/>
    <cellStyle name="Normal 3 6 2 2 5 2 4" xfId="13094"/>
    <cellStyle name="Normal 3 6 2 2 5 2 4 2" xfId="13095"/>
    <cellStyle name="Normal 3 6 2 2 5 2 5" xfId="13096"/>
    <cellStyle name="Normal 3 6 2 2 5 2 5 2" xfId="13097"/>
    <cellStyle name="Normal 3 6 2 2 5 2 6" xfId="13098"/>
    <cellStyle name="Normal 3 6 2 2 5 2 6 2" xfId="13099"/>
    <cellStyle name="Normal 3 6 2 2 5 2 7" xfId="13100"/>
    <cellStyle name="Normal 3 6 2 2 5 3" xfId="13101"/>
    <cellStyle name="Normal 3 6 2 2 5 3 2" xfId="13102"/>
    <cellStyle name="Normal 3 6 2 2 5 3 2 2" xfId="13103"/>
    <cellStyle name="Normal 3 6 2 2 5 3 3" xfId="13104"/>
    <cellStyle name="Normal 3 6 2 2 5 3 3 2" xfId="13105"/>
    <cellStyle name="Normal 3 6 2 2 5 3 4" xfId="13106"/>
    <cellStyle name="Normal 3 6 2 2 5 3 4 2" xfId="13107"/>
    <cellStyle name="Normal 3 6 2 2 5 3 5" xfId="13108"/>
    <cellStyle name="Normal 3 6 2 2 5 4" xfId="13109"/>
    <cellStyle name="Normal 3 6 2 2 5 4 2" xfId="13110"/>
    <cellStyle name="Normal 3 6 2 2 5 4 2 2" xfId="13111"/>
    <cellStyle name="Normal 3 6 2 2 5 4 3" xfId="13112"/>
    <cellStyle name="Normal 3 6 2 2 5 4 3 2" xfId="13113"/>
    <cellStyle name="Normal 3 6 2 2 5 4 4" xfId="13114"/>
    <cellStyle name="Normal 3 6 2 2 5 4 4 2" xfId="13115"/>
    <cellStyle name="Normal 3 6 2 2 5 4 5" xfId="13116"/>
    <cellStyle name="Normal 3 6 2 2 5 5" xfId="13117"/>
    <cellStyle name="Normal 3 6 2 2 5 5 2" xfId="13118"/>
    <cellStyle name="Normal 3 6 2 2 5 6" xfId="13119"/>
    <cellStyle name="Normal 3 6 2 2 5 6 2" xfId="13120"/>
    <cellStyle name="Normal 3 6 2 2 5 7" xfId="13121"/>
    <cellStyle name="Normal 3 6 2 2 5 7 2" xfId="13122"/>
    <cellStyle name="Normal 3 6 2 2 5 8" xfId="13123"/>
    <cellStyle name="Normal 3 6 2 2 6" xfId="13124"/>
    <cellStyle name="Normal 3 6 2 2 6 2" xfId="13125"/>
    <cellStyle name="Normal 3 6 2 2 6 2 2" xfId="13126"/>
    <cellStyle name="Normal 3 6 2 2 6 2 2 2" xfId="13127"/>
    <cellStyle name="Normal 3 6 2 2 6 2 2 2 2" xfId="13128"/>
    <cellStyle name="Normal 3 6 2 2 6 2 2 3" xfId="13129"/>
    <cellStyle name="Normal 3 6 2 2 6 2 2 3 2" xfId="13130"/>
    <cellStyle name="Normal 3 6 2 2 6 2 2 4" xfId="13131"/>
    <cellStyle name="Normal 3 6 2 2 6 2 2 4 2" xfId="13132"/>
    <cellStyle name="Normal 3 6 2 2 6 2 2 5" xfId="13133"/>
    <cellStyle name="Normal 3 6 2 2 6 2 3" xfId="13134"/>
    <cellStyle name="Normal 3 6 2 2 6 2 3 2" xfId="13135"/>
    <cellStyle name="Normal 3 6 2 2 6 2 3 2 2" xfId="13136"/>
    <cellStyle name="Normal 3 6 2 2 6 2 3 3" xfId="13137"/>
    <cellStyle name="Normal 3 6 2 2 6 2 3 3 2" xfId="13138"/>
    <cellStyle name="Normal 3 6 2 2 6 2 3 4" xfId="13139"/>
    <cellStyle name="Normal 3 6 2 2 6 2 3 4 2" xfId="13140"/>
    <cellStyle name="Normal 3 6 2 2 6 2 3 5" xfId="13141"/>
    <cellStyle name="Normal 3 6 2 2 6 2 4" xfId="13142"/>
    <cellStyle name="Normal 3 6 2 2 6 2 4 2" xfId="13143"/>
    <cellStyle name="Normal 3 6 2 2 6 2 5" xfId="13144"/>
    <cellStyle name="Normal 3 6 2 2 6 2 5 2" xfId="13145"/>
    <cellStyle name="Normal 3 6 2 2 6 2 6" xfId="13146"/>
    <cellStyle name="Normal 3 6 2 2 6 2 6 2" xfId="13147"/>
    <cellStyle name="Normal 3 6 2 2 6 2 7" xfId="13148"/>
    <cellStyle name="Normal 3 6 2 2 6 3" xfId="13149"/>
    <cellStyle name="Normal 3 6 2 2 6 3 2" xfId="13150"/>
    <cellStyle name="Normal 3 6 2 2 6 3 2 2" xfId="13151"/>
    <cellStyle name="Normal 3 6 2 2 6 3 3" xfId="13152"/>
    <cellStyle name="Normal 3 6 2 2 6 3 3 2" xfId="13153"/>
    <cellStyle name="Normal 3 6 2 2 6 3 4" xfId="13154"/>
    <cellStyle name="Normal 3 6 2 2 6 3 4 2" xfId="13155"/>
    <cellStyle name="Normal 3 6 2 2 6 3 5" xfId="13156"/>
    <cellStyle name="Normal 3 6 2 2 6 4" xfId="13157"/>
    <cellStyle name="Normal 3 6 2 2 6 4 2" xfId="13158"/>
    <cellStyle name="Normal 3 6 2 2 6 4 2 2" xfId="13159"/>
    <cellStyle name="Normal 3 6 2 2 6 4 3" xfId="13160"/>
    <cellStyle name="Normal 3 6 2 2 6 4 3 2" xfId="13161"/>
    <cellStyle name="Normal 3 6 2 2 6 4 4" xfId="13162"/>
    <cellStyle name="Normal 3 6 2 2 6 4 4 2" xfId="13163"/>
    <cellStyle name="Normal 3 6 2 2 6 4 5" xfId="13164"/>
    <cellStyle name="Normal 3 6 2 2 6 5" xfId="13165"/>
    <cellStyle name="Normal 3 6 2 2 6 5 2" xfId="13166"/>
    <cellStyle name="Normal 3 6 2 2 6 6" xfId="13167"/>
    <cellStyle name="Normal 3 6 2 2 6 6 2" xfId="13168"/>
    <cellStyle name="Normal 3 6 2 2 6 7" xfId="13169"/>
    <cellStyle name="Normal 3 6 2 2 6 7 2" xfId="13170"/>
    <cellStyle name="Normal 3 6 2 2 6 8" xfId="13171"/>
    <cellStyle name="Normal 3 6 2 2 7" xfId="13172"/>
    <cellStyle name="Normal 3 6 2 2 7 2" xfId="13173"/>
    <cellStyle name="Normal 3 6 2 2 7 2 2" xfId="13174"/>
    <cellStyle name="Normal 3 6 2 2 7 2 2 2" xfId="13175"/>
    <cellStyle name="Normal 3 6 2 2 7 2 2 2 2" xfId="13176"/>
    <cellStyle name="Normal 3 6 2 2 7 2 2 3" xfId="13177"/>
    <cellStyle name="Normal 3 6 2 2 7 2 2 3 2" xfId="13178"/>
    <cellStyle name="Normal 3 6 2 2 7 2 2 4" xfId="13179"/>
    <cellStyle name="Normal 3 6 2 2 7 2 2 4 2" xfId="13180"/>
    <cellStyle name="Normal 3 6 2 2 7 2 2 5" xfId="13181"/>
    <cellStyle name="Normal 3 6 2 2 7 2 3" xfId="13182"/>
    <cellStyle name="Normal 3 6 2 2 7 2 3 2" xfId="13183"/>
    <cellStyle name="Normal 3 6 2 2 7 2 3 2 2" xfId="13184"/>
    <cellStyle name="Normal 3 6 2 2 7 2 3 3" xfId="13185"/>
    <cellStyle name="Normal 3 6 2 2 7 2 3 3 2" xfId="13186"/>
    <cellStyle name="Normal 3 6 2 2 7 2 3 4" xfId="13187"/>
    <cellStyle name="Normal 3 6 2 2 7 2 3 4 2" xfId="13188"/>
    <cellStyle name="Normal 3 6 2 2 7 2 3 5" xfId="13189"/>
    <cellStyle name="Normal 3 6 2 2 7 2 4" xfId="13190"/>
    <cellStyle name="Normal 3 6 2 2 7 2 4 2" xfId="13191"/>
    <cellStyle name="Normal 3 6 2 2 7 2 5" xfId="13192"/>
    <cellStyle name="Normal 3 6 2 2 7 2 5 2" xfId="13193"/>
    <cellStyle name="Normal 3 6 2 2 7 2 6" xfId="13194"/>
    <cellStyle name="Normal 3 6 2 2 7 2 6 2" xfId="13195"/>
    <cellStyle name="Normal 3 6 2 2 7 2 7" xfId="13196"/>
    <cellStyle name="Normal 3 6 2 2 7 3" xfId="13197"/>
    <cellStyle name="Normal 3 6 2 2 7 3 2" xfId="13198"/>
    <cellStyle name="Normal 3 6 2 2 7 3 2 2" xfId="13199"/>
    <cellStyle name="Normal 3 6 2 2 7 3 3" xfId="13200"/>
    <cellStyle name="Normal 3 6 2 2 7 3 3 2" xfId="13201"/>
    <cellStyle name="Normal 3 6 2 2 7 3 4" xfId="13202"/>
    <cellStyle name="Normal 3 6 2 2 7 3 4 2" xfId="13203"/>
    <cellStyle name="Normal 3 6 2 2 7 3 5" xfId="13204"/>
    <cellStyle name="Normal 3 6 2 2 7 4" xfId="13205"/>
    <cellStyle name="Normal 3 6 2 2 7 4 2" xfId="13206"/>
    <cellStyle name="Normal 3 6 2 2 7 4 2 2" xfId="13207"/>
    <cellStyle name="Normal 3 6 2 2 7 4 3" xfId="13208"/>
    <cellStyle name="Normal 3 6 2 2 7 4 3 2" xfId="13209"/>
    <cellStyle name="Normal 3 6 2 2 7 4 4" xfId="13210"/>
    <cellStyle name="Normal 3 6 2 2 7 4 4 2" xfId="13211"/>
    <cellStyle name="Normal 3 6 2 2 7 4 5" xfId="13212"/>
    <cellStyle name="Normal 3 6 2 2 7 5" xfId="13213"/>
    <cellStyle name="Normal 3 6 2 2 7 5 2" xfId="13214"/>
    <cellStyle name="Normal 3 6 2 2 7 6" xfId="13215"/>
    <cellStyle name="Normal 3 6 2 2 7 6 2" xfId="13216"/>
    <cellStyle name="Normal 3 6 2 2 7 7" xfId="13217"/>
    <cellStyle name="Normal 3 6 2 2 7 7 2" xfId="13218"/>
    <cellStyle name="Normal 3 6 2 2 7 8" xfId="13219"/>
    <cellStyle name="Normal 3 6 2 2 8" xfId="13220"/>
    <cellStyle name="Normal 3 6 2 2 8 2" xfId="13221"/>
    <cellStyle name="Normal 3 6 2 2 8 2 2" xfId="13222"/>
    <cellStyle name="Normal 3 6 2 2 8 2 2 2" xfId="13223"/>
    <cellStyle name="Normal 3 6 2 2 8 2 3" xfId="13224"/>
    <cellStyle name="Normal 3 6 2 2 8 2 3 2" xfId="13225"/>
    <cellStyle name="Normal 3 6 2 2 8 2 4" xfId="13226"/>
    <cellStyle name="Normal 3 6 2 2 8 2 4 2" xfId="13227"/>
    <cellStyle name="Normal 3 6 2 2 8 2 5" xfId="13228"/>
    <cellStyle name="Normal 3 6 2 2 8 3" xfId="13229"/>
    <cellStyle name="Normal 3 6 2 2 8 3 2" xfId="13230"/>
    <cellStyle name="Normal 3 6 2 2 8 3 2 2" xfId="13231"/>
    <cellStyle name="Normal 3 6 2 2 8 3 3" xfId="13232"/>
    <cellStyle name="Normal 3 6 2 2 8 3 3 2" xfId="13233"/>
    <cellStyle name="Normal 3 6 2 2 8 3 4" xfId="13234"/>
    <cellStyle name="Normal 3 6 2 2 8 3 4 2" xfId="13235"/>
    <cellStyle name="Normal 3 6 2 2 8 3 5" xfId="13236"/>
    <cellStyle name="Normal 3 6 2 2 8 4" xfId="13237"/>
    <cellStyle name="Normal 3 6 2 2 8 4 2" xfId="13238"/>
    <cellStyle name="Normal 3 6 2 2 8 5" xfId="13239"/>
    <cellStyle name="Normal 3 6 2 2 8 5 2" xfId="13240"/>
    <cellStyle name="Normal 3 6 2 2 8 6" xfId="13241"/>
    <cellStyle name="Normal 3 6 2 2 8 6 2" xfId="13242"/>
    <cellStyle name="Normal 3 6 2 2 8 7" xfId="13243"/>
    <cellStyle name="Normal 3 6 2 2 9" xfId="13244"/>
    <cellStyle name="Normal 3 6 2 2 9 2" xfId="13245"/>
    <cellStyle name="Normal 3 6 2 2 9 2 2" xfId="13246"/>
    <cellStyle name="Normal 3 6 2 2 9 3" xfId="13247"/>
    <cellStyle name="Normal 3 6 2 2 9 3 2" xfId="13248"/>
    <cellStyle name="Normal 3 6 2 2 9 4" xfId="13249"/>
    <cellStyle name="Normal 3 6 2 2 9 4 2" xfId="13250"/>
    <cellStyle name="Normal 3 6 2 2 9 5" xfId="13251"/>
    <cellStyle name="Normal 3 6 2 3" xfId="13252"/>
    <cellStyle name="Normal 3 6 2 3 10" xfId="13253"/>
    <cellStyle name="Normal 3 6 2 3 10 2" xfId="13254"/>
    <cellStyle name="Normal 3 6 2 3 10 2 2" xfId="13255"/>
    <cellStyle name="Normal 3 6 2 3 10 3" xfId="13256"/>
    <cellStyle name="Normal 3 6 2 3 10 3 2" xfId="13257"/>
    <cellStyle name="Normal 3 6 2 3 10 4" xfId="13258"/>
    <cellStyle name="Normal 3 6 2 3 10 4 2" xfId="13259"/>
    <cellStyle name="Normal 3 6 2 3 10 5" xfId="13260"/>
    <cellStyle name="Normal 3 6 2 3 11" xfId="13261"/>
    <cellStyle name="Normal 3 6 2 3 11 2" xfId="13262"/>
    <cellStyle name="Normal 3 6 2 3 12" xfId="13263"/>
    <cellStyle name="Normal 3 6 2 3 12 2" xfId="13264"/>
    <cellStyle name="Normal 3 6 2 3 13" xfId="13265"/>
    <cellStyle name="Normal 3 6 2 3 13 2" xfId="13266"/>
    <cellStyle name="Normal 3 6 2 3 14" xfId="13267"/>
    <cellStyle name="Normal 3 6 2 3 2" xfId="13268"/>
    <cellStyle name="Normal 3 6 2 3 2 10" xfId="13269"/>
    <cellStyle name="Normal 3 6 2 3 2 10 2" xfId="13270"/>
    <cellStyle name="Normal 3 6 2 3 2 11" xfId="13271"/>
    <cellStyle name="Normal 3 6 2 3 2 11 2" xfId="13272"/>
    <cellStyle name="Normal 3 6 2 3 2 12" xfId="13273"/>
    <cellStyle name="Normal 3 6 2 3 2 12 2" xfId="13274"/>
    <cellStyle name="Normal 3 6 2 3 2 13" xfId="13275"/>
    <cellStyle name="Normal 3 6 2 3 2 2" xfId="13276"/>
    <cellStyle name="Normal 3 6 2 3 2 2 2" xfId="13277"/>
    <cellStyle name="Normal 3 6 2 3 2 2 2 2" xfId="13278"/>
    <cellStyle name="Normal 3 6 2 3 2 2 2 2 2" xfId="13279"/>
    <cellStyle name="Normal 3 6 2 3 2 2 2 2 2 2" xfId="13280"/>
    <cellStyle name="Normal 3 6 2 3 2 2 2 2 3" xfId="13281"/>
    <cellStyle name="Normal 3 6 2 3 2 2 2 2 3 2" xfId="13282"/>
    <cellStyle name="Normal 3 6 2 3 2 2 2 2 4" xfId="13283"/>
    <cellStyle name="Normal 3 6 2 3 2 2 2 2 4 2" xfId="13284"/>
    <cellStyle name="Normal 3 6 2 3 2 2 2 2 5" xfId="13285"/>
    <cellStyle name="Normal 3 6 2 3 2 2 2 3" xfId="13286"/>
    <cellStyle name="Normal 3 6 2 3 2 2 2 3 2" xfId="13287"/>
    <cellStyle name="Normal 3 6 2 3 2 2 2 3 2 2" xfId="13288"/>
    <cellStyle name="Normal 3 6 2 3 2 2 2 3 3" xfId="13289"/>
    <cellStyle name="Normal 3 6 2 3 2 2 2 3 3 2" xfId="13290"/>
    <cellStyle name="Normal 3 6 2 3 2 2 2 3 4" xfId="13291"/>
    <cellStyle name="Normal 3 6 2 3 2 2 2 3 4 2" xfId="13292"/>
    <cellStyle name="Normal 3 6 2 3 2 2 2 3 5" xfId="13293"/>
    <cellStyle name="Normal 3 6 2 3 2 2 2 4" xfId="13294"/>
    <cellStyle name="Normal 3 6 2 3 2 2 2 4 2" xfId="13295"/>
    <cellStyle name="Normal 3 6 2 3 2 2 2 5" xfId="13296"/>
    <cellStyle name="Normal 3 6 2 3 2 2 2 5 2" xfId="13297"/>
    <cellStyle name="Normal 3 6 2 3 2 2 2 6" xfId="13298"/>
    <cellStyle name="Normal 3 6 2 3 2 2 2 6 2" xfId="13299"/>
    <cellStyle name="Normal 3 6 2 3 2 2 2 7" xfId="13300"/>
    <cellStyle name="Normal 3 6 2 3 2 2 3" xfId="13301"/>
    <cellStyle name="Normal 3 6 2 3 2 2 3 2" xfId="13302"/>
    <cellStyle name="Normal 3 6 2 3 2 2 3 2 2" xfId="13303"/>
    <cellStyle name="Normal 3 6 2 3 2 2 3 3" xfId="13304"/>
    <cellStyle name="Normal 3 6 2 3 2 2 3 3 2" xfId="13305"/>
    <cellStyle name="Normal 3 6 2 3 2 2 3 4" xfId="13306"/>
    <cellStyle name="Normal 3 6 2 3 2 2 3 4 2" xfId="13307"/>
    <cellStyle name="Normal 3 6 2 3 2 2 3 5" xfId="13308"/>
    <cellStyle name="Normal 3 6 2 3 2 2 4" xfId="13309"/>
    <cellStyle name="Normal 3 6 2 3 2 2 4 2" xfId="13310"/>
    <cellStyle name="Normal 3 6 2 3 2 2 4 2 2" xfId="13311"/>
    <cellStyle name="Normal 3 6 2 3 2 2 4 3" xfId="13312"/>
    <cellStyle name="Normal 3 6 2 3 2 2 4 3 2" xfId="13313"/>
    <cellStyle name="Normal 3 6 2 3 2 2 4 4" xfId="13314"/>
    <cellStyle name="Normal 3 6 2 3 2 2 4 4 2" xfId="13315"/>
    <cellStyle name="Normal 3 6 2 3 2 2 4 5" xfId="13316"/>
    <cellStyle name="Normal 3 6 2 3 2 2 5" xfId="13317"/>
    <cellStyle name="Normal 3 6 2 3 2 2 5 2" xfId="13318"/>
    <cellStyle name="Normal 3 6 2 3 2 2 6" xfId="13319"/>
    <cellStyle name="Normal 3 6 2 3 2 2 6 2" xfId="13320"/>
    <cellStyle name="Normal 3 6 2 3 2 2 7" xfId="13321"/>
    <cellStyle name="Normal 3 6 2 3 2 2 7 2" xfId="13322"/>
    <cellStyle name="Normal 3 6 2 3 2 2 8" xfId="13323"/>
    <cellStyle name="Normal 3 6 2 3 2 3" xfId="13324"/>
    <cellStyle name="Normal 3 6 2 3 2 3 2" xfId="13325"/>
    <cellStyle name="Normal 3 6 2 3 2 3 2 2" xfId="13326"/>
    <cellStyle name="Normal 3 6 2 3 2 3 2 2 2" xfId="13327"/>
    <cellStyle name="Normal 3 6 2 3 2 3 2 2 2 2" xfId="13328"/>
    <cellStyle name="Normal 3 6 2 3 2 3 2 2 3" xfId="13329"/>
    <cellStyle name="Normal 3 6 2 3 2 3 2 2 3 2" xfId="13330"/>
    <cellStyle name="Normal 3 6 2 3 2 3 2 2 4" xfId="13331"/>
    <cellStyle name="Normal 3 6 2 3 2 3 2 2 4 2" xfId="13332"/>
    <cellStyle name="Normal 3 6 2 3 2 3 2 2 5" xfId="13333"/>
    <cellStyle name="Normal 3 6 2 3 2 3 2 3" xfId="13334"/>
    <cellStyle name="Normal 3 6 2 3 2 3 2 3 2" xfId="13335"/>
    <cellStyle name="Normal 3 6 2 3 2 3 2 3 2 2" xfId="13336"/>
    <cellStyle name="Normal 3 6 2 3 2 3 2 3 3" xfId="13337"/>
    <cellStyle name="Normal 3 6 2 3 2 3 2 3 3 2" xfId="13338"/>
    <cellStyle name="Normal 3 6 2 3 2 3 2 3 4" xfId="13339"/>
    <cellStyle name="Normal 3 6 2 3 2 3 2 3 4 2" xfId="13340"/>
    <cellStyle name="Normal 3 6 2 3 2 3 2 3 5" xfId="13341"/>
    <cellStyle name="Normal 3 6 2 3 2 3 2 4" xfId="13342"/>
    <cellStyle name="Normal 3 6 2 3 2 3 2 4 2" xfId="13343"/>
    <cellStyle name="Normal 3 6 2 3 2 3 2 5" xfId="13344"/>
    <cellStyle name="Normal 3 6 2 3 2 3 2 5 2" xfId="13345"/>
    <cellStyle name="Normal 3 6 2 3 2 3 2 6" xfId="13346"/>
    <cellStyle name="Normal 3 6 2 3 2 3 2 6 2" xfId="13347"/>
    <cellStyle name="Normal 3 6 2 3 2 3 2 7" xfId="13348"/>
    <cellStyle name="Normal 3 6 2 3 2 3 3" xfId="13349"/>
    <cellStyle name="Normal 3 6 2 3 2 3 3 2" xfId="13350"/>
    <cellStyle name="Normal 3 6 2 3 2 3 3 2 2" xfId="13351"/>
    <cellStyle name="Normal 3 6 2 3 2 3 3 3" xfId="13352"/>
    <cellStyle name="Normal 3 6 2 3 2 3 3 3 2" xfId="13353"/>
    <cellStyle name="Normal 3 6 2 3 2 3 3 4" xfId="13354"/>
    <cellStyle name="Normal 3 6 2 3 2 3 3 4 2" xfId="13355"/>
    <cellStyle name="Normal 3 6 2 3 2 3 3 5" xfId="13356"/>
    <cellStyle name="Normal 3 6 2 3 2 3 4" xfId="13357"/>
    <cellStyle name="Normal 3 6 2 3 2 3 4 2" xfId="13358"/>
    <cellStyle name="Normal 3 6 2 3 2 3 4 2 2" xfId="13359"/>
    <cellStyle name="Normal 3 6 2 3 2 3 4 3" xfId="13360"/>
    <cellStyle name="Normal 3 6 2 3 2 3 4 3 2" xfId="13361"/>
    <cellStyle name="Normal 3 6 2 3 2 3 4 4" xfId="13362"/>
    <cellStyle name="Normal 3 6 2 3 2 3 4 4 2" xfId="13363"/>
    <cellStyle name="Normal 3 6 2 3 2 3 4 5" xfId="13364"/>
    <cellStyle name="Normal 3 6 2 3 2 3 5" xfId="13365"/>
    <cellStyle name="Normal 3 6 2 3 2 3 5 2" xfId="13366"/>
    <cellStyle name="Normal 3 6 2 3 2 3 6" xfId="13367"/>
    <cellStyle name="Normal 3 6 2 3 2 3 6 2" xfId="13368"/>
    <cellStyle name="Normal 3 6 2 3 2 3 7" xfId="13369"/>
    <cellStyle name="Normal 3 6 2 3 2 3 7 2" xfId="13370"/>
    <cellStyle name="Normal 3 6 2 3 2 3 8" xfId="13371"/>
    <cellStyle name="Normal 3 6 2 3 2 4" xfId="13372"/>
    <cellStyle name="Normal 3 6 2 3 2 4 2" xfId="13373"/>
    <cellStyle name="Normal 3 6 2 3 2 4 2 2" xfId="13374"/>
    <cellStyle name="Normal 3 6 2 3 2 4 2 2 2" xfId="13375"/>
    <cellStyle name="Normal 3 6 2 3 2 4 2 2 2 2" xfId="13376"/>
    <cellStyle name="Normal 3 6 2 3 2 4 2 2 3" xfId="13377"/>
    <cellStyle name="Normal 3 6 2 3 2 4 2 2 3 2" xfId="13378"/>
    <cellStyle name="Normal 3 6 2 3 2 4 2 2 4" xfId="13379"/>
    <cellStyle name="Normal 3 6 2 3 2 4 2 2 4 2" xfId="13380"/>
    <cellStyle name="Normal 3 6 2 3 2 4 2 2 5" xfId="13381"/>
    <cellStyle name="Normal 3 6 2 3 2 4 2 3" xfId="13382"/>
    <cellStyle name="Normal 3 6 2 3 2 4 2 3 2" xfId="13383"/>
    <cellStyle name="Normal 3 6 2 3 2 4 2 3 2 2" xfId="13384"/>
    <cellStyle name="Normal 3 6 2 3 2 4 2 3 3" xfId="13385"/>
    <cellStyle name="Normal 3 6 2 3 2 4 2 3 3 2" xfId="13386"/>
    <cellStyle name="Normal 3 6 2 3 2 4 2 3 4" xfId="13387"/>
    <cellStyle name="Normal 3 6 2 3 2 4 2 3 4 2" xfId="13388"/>
    <cellStyle name="Normal 3 6 2 3 2 4 2 3 5" xfId="13389"/>
    <cellStyle name="Normal 3 6 2 3 2 4 2 4" xfId="13390"/>
    <cellStyle name="Normal 3 6 2 3 2 4 2 4 2" xfId="13391"/>
    <cellStyle name="Normal 3 6 2 3 2 4 2 5" xfId="13392"/>
    <cellStyle name="Normal 3 6 2 3 2 4 2 5 2" xfId="13393"/>
    <cellStyle name="Normal 3 6 2 3 2 4 2 6" xfId="13394"/>
    <cellStyle name="Normal 3 6 2 3 2 4 2 6 2" xfId="13395"/>
    <cellStyle name="Normal 3 6 2 3 2 4 2 7" xfId="13396"/>
    <cellStyle name="Normal 3 6 2 3 2 4 3" xfId="13397"/>
    <cellStyle name="Normal 3 6 2 3 2 4 3 2" xfId="13398"/>
    <cellStyle name="Normal 3 6 2 3 2 4 3 2 2" xfId="13399"/>
    <cellStyle name="Normal 3 6 2 3 2 4 3 3" xfId="13400"/>
    <cellStyle name="Normal 3 6 2 3 2 4 3 3 2" xfId="13401"/>
    <cellStyle name="Normal 3 6 2 3 2 4 3 4" xfId="13402"/>
    <cellStyle name="Normal 3 6 2 3 2 4 3 4 2" xfId="13403"/>
    <cellStyle name="Normal 3 6 2 3 2 4 3 5" xfId="13404"/>
    <cellStyle name="Normal 3 6 2 3 2 4 4" xfId="13405"/>
    <cellStyle name="Normal 3 6 2 3 2 4 4 2" xfId="13406"/>
    <cellStyle name="Normal 3 6 2 3 2 4 4 2 2" xfId="13407"/>
    <cellStyle name="Normal 3 6 2 3 2 4 4 3" xfId="13408"/>
    <cellStyle name="Normal 3 6 2 3 2 4 4 3 2" xfId="13409"/>
    <cellStyle name="Normal 3 6 2 3 2 4 4 4" xfId="13410"/>
    <cellStyle name="Normal 3 6 2 3 2 4 4 4 2" xfId="13411"/>
    <cellStyle name="Normal 3 6 2 3 2 4 4 5" xfId="13412"/>
    <cellStyle name="Normal 3 6 2 3 2 4 5" xfId="13413"/>
    <cellStyle name="Normal 3 6 2 3 2 4 5 2" xfId="13414"/>
    <cellStyle name="Normal 3 6 2 3 2 4 6" xfId="13415"/>
    <cellStyle name="Normal 3 6 2 3 2 4 6 2" xfId="13416"/>
    <cellStyle name="Normal 3 6 2 3 2 4 7" xfId="13417"/>
    <cellStyle name="Normal 3 6 2 3 2 4 7 2" xfId="13418"/>
    <cellStyle name="Normal 3 6 2 3 2 4 8" xfId="13419"/>
    <cellStyle name="Normal 3 6 2 3 2 5" xfId="13420"/>
    <cellStyle name="Normal 3 6 2 3 2 5 2" xfId="13421"/>
    <cellStyle name="Normal 3 6 2 3 2 5 2 2" xfId="13422"/>
    <cellStyle name="Normal 3 6 2 3 2 5 2 2 2" xfId="13423"/>
    <cellStyle name="Normal 3 6 2 3 2 5 2 2 2 2" xfId="13424"/>
    <cellStyle name="Normal 3 6 2 3 2 5 2 2 3" xfId="13425"/>
    <cellStyle name="Normal 3 6 2 3 2 5 2 2 3 2" xfId="13426"/>
    <cellStyle name="Normal 3 6 2 3 2 5 2 2 4" xfId="13427"/>
    <cellStyle name="Normal 3 6 2 3 2 5 2 2 4 2" xfId="13428"/>
    <cellStyle name="Normal 3 6 2 3 2 5 2 2 5" xfId="13429"/>
    <cellStyle name="Normal 3 6 2 3 2 5 2 3" xfId="13430"/>
    <cellStyle name="Normal 3 6 2 3 2 5 2 3 2" xfId="13431"/>
    <cellStyle name="Normal 3 6 2 3 2 5 2 3 2 2" xfId="13432"/>
    <cellStyle name="Normal 3 6 2 3 2 5 2 3 3" xfId="13433"/>
    <cellStyle name="Normal 3 6 2 3 2 5 2 3 3 2" xfId="13434"/>
    <cellStyle name="Normal 3 6 2 3 2 5 2 3 4" xfId="13435"/>
    <cellStyle name="Normal 3 6 2 3 2 5 2 3 4 2" xfId="13436"/>
    <cellStyle name="Normal 3 6 2 3 2 5 2 3 5" xfId="13437"/>
    <cellStyle name="Normal 3 6 2 3 2 5 2 4" xfId="13438"/>
    <cellStyle name="Normal 3 6 2 3 2 5 2 4 2" xfId="13439"/>
    <cellStyle name="Normal 3 6 2 3 2 5 2 5" xfId="13440"/>
    <cellStyle name="Normal 3 6 2 3 2 5 2 5 2" xfId="13441"/>
    <cellStyle name="Normal 3 6 2 3 2 5 2 6" xfId="13442"/>
    <cellStyle name="Normal 3 6 2 3 2 5 2 6 2" xfId="13443"/>
    <cellStyle name="Normal 3 6 2 3 2 5 2 7" xfId="13444"/>
    <cellStyle name="Normal 3 6 2 3 2 5 3" xfId="13445"/>
    <cellStyle name="Normal 3 6 2 3 2 5 3 2" xfId="13446"/>
    <cellStyle name="Normal 3 6 2 3 2 5 3 2 2" xfId="13447"/>
    <cellStyle name="Normal 3 6 2 3 2 5 3 3" xfId="13448"/>
    <cellStyle name="Normal 3 6 2 3 2 5 3 3 2" xfId="13449"/>
    <cellStyle name="Normal 3 6 2 3 2 5 3 4" xfId="13450"/>
    <cellStyle name="Normal 3 6 2 3 2 5 3 4 2" xfId="13451"/>
    <cellStyle name="Normal 3 6 2 3 2 5 3 5" xfId="13452"/>
    <cellStyle name="Normal 3 6 2 3 2 5 4" xfId="13453"/>
    <cellStyle name="Normal 3 6 2 3 2 5 4 2" xfId="13454"/>
    <cellStyle name="Normal 3 6 2 3 2 5 4 2 2" xfId="13455"/>
    <cellStyle name="Normal 3 6 2 3 2 5 4 3" xfId="13456"/>
    <cellStyle name="Normal 3 6 2 3 2 5 4 3 2" xfId="13457"/>
    <cellStyle name="Normal 3 6 2 3 2 5 4 4" xfId="13458"/>
    <cellStyle name="Normal 3 6 2 3 2 5 4 4 2" xfId="13459"/>
    <cellStyle name="Normal 3 6 2 3 2 5 4 5" xfId="13460"/>
    <cellStyle name="Normal 3 6 2 3 2 5 5" xfId="13461"/>
    <cellStyle name="Normal 3 6 2 3 2 5 5 2" xfId="13462"/>
    <cellStyle name="Normal 3 6 2 3 2 5 6" xfId="13463"/>
    <cellStyle name="Normal 3 6 2 3 2 5 6 2" xfId="13464"/>
    <cellStyle name="Normal 3 6 2 3 2 5 7" xfId="13465"/>
    <cellStyle name="Normal 3 6 2 3 2 5 7 2" xfId="13466"/>
    <cellStyle name="Normal 3 6 2 3 2 5 8" xfId="13467"/>
    <cellStyle name="Normal 3 6 2 3 2 6" xfId="13468"/>
    <cellStyle name="Normal 3 6 2 3 2 6 2" xfId="13469"/>
    <cellStyle name="Normal 3 6 2 3 2 6 2 2" xfId="13470"/>
    <cellStyle name="Normal 3 6 2 3 2 6 2 2 2" xfId="13471"/>
    <cellStyle name="Normal 3 6 2 3 2 6 2 2 2 2" xfId="13472"/>
    <cellStyle name="Normal 3 6 2 3 2 6 2 2 3" xfId="13473"/>
    <cellStyle name="Normal 3 6 2 3 2 6 2 2 3 2" xfId="13474"/>
    <cellStyle name="Normal 3 6 2 3 2 6 2 2 4" xfId="13475"/>
    <cellStyle name="Normal 3 6 2 3 2 6 2 2 4 2" xfId="13476"/>
    <cellStyle name="Normal 3 6 2 3 2 6 2 2 5" xfId="13477"/>
    <cellStyle name="Normal 3 6 2 3 2 6 2 3" xfId="13478"/>
    <cellStyle name="Normal 3 6 2 3 2 6 2 3 2" xfId="13479"/>
    <cellStyle name="Normal 3 6 2 3 2 6 2 3 2 2" xfId="13480"/>
    <cellStyle name="Normal 3 6 2 3 2 6 2 3 3" xfId="13481"/>
    <cellStyle name="Normal 3 6 2 3 2 6 2 3 3 2" xfId="13482"/>
    <cellStyle name="Normal 3 6 2 3 2 6 2 3 4" xfId="13483"/>
    <cellStyle name="Normal 3 6 2 3 2 6 2 3 4 2" xfId="13484"/>
    <cellStyle name="Normal 3 6 2 3 2 6 2 3 5" xfId="13485"/>
    <cellStyle name="Normal 3 6 2 3 2 6 2 4" xfId="13486"/>
    <cellStyle name="Normal 3 6 2 3 2 6 2 4 2" xfId="13487"/>
    <cellStyle name="Normal 3 6 2 3 2 6 2 5" xfId="13488"/>
    <cellStyle name="Normal 3 6 2 3 2 6 2 5 2" xfId="13489"/>
    <cellStyle name="Normal 3 6 2 3 2 6 2 6" xfId="13490"/>
    <cellStyle name="Normal 3 6 2 3 2 6 2 6 2" xfId="13491"/>
    <cellStyle name="Normal 3 6 2 3 2 6 2 7" xfId="13492"/>
    <cellStyle name="Normal 3 6 2 3 2 6 3" xfId="13493"/>
    <cellStyle name="Normal 3 6 2 3 2 6 3 2" xfId="13494"/>
    <cellStyle name="Normal 3 6 2 3 2 6 3 2 2" xfId="13495"/>
    <cellStyle name="Normal 3 6 2 3 2 6 3 3" xfId="13496"/>
    <cellStyle name="Normal 3 6 2 3 2 6 3 3 2" xfId="13497"/>
    <cellStyle name="Normal 3 6 2 3 2 6 3 4" xfId="13498"/>
    <cellStyle name="Normal 3 6 2 3 2 6 3 4 2" xfId="13499"/>
    <cellStyle name="Normal 3 6 2 3 2 6 3 5" xfId="13500"/>
    <cellStyle name="Normal 3 6 2 3 2 6 4" xfId="13501"/>
    <cellStyle name="Normal 3 6 2 3 2 6 4 2" xfId="13502"/>
    <cellStyle name="Normal 3 6 2 3 2 6 4 2 2" xfId="13503"/>
    <cellStyle name="Normal 3 6 2 3 2 6 4 3" xfId="13504"/>
    <cellStyle name="Normal 3 6 2 3 2 6 4 3 2" xfId="13505"/>
    <cellStyle name="Normal 3 6 2 3 2 6 4 4" xfId="13506"/>
    <cellStyle name="Normal 3 6 2 3 2 6 4 4 2" xfId="13507"/>
    <cellStyle name="Normal 3 6 2 3 2 6 4 5" xfId="13508"/>
    <cellStyle name="Normal 3 6 2 3 2 6 5" xfId="13509"/>
    <cellStyle name="Normal 3 6 2 3 2 6 5 2" xfId="13510"/>
    <cellStyle name="Normal 3 6 2 3 2 6 6" xfId="13511"/>
    <cellStyle name="Normal 3 6 2 3 2 6 6 2" xfId="13512"/>
    <cellStyle name="Normal 3 6 2 3 2 6 7" xfId="13513"/>
    <cellStyle name="Normal 3 6 2 3 2 6 7 2" xfId="13514"/>
    <cellStyle name="Normal 3 6 2 3 2 6 8" xfId="13515"/>
    <cellStyle name="Normal 3 6 2 3 2 7" xfId="13516"/>
    <cellStyle name="Normal 3 6 2 3 2 7 2" xfId="13517"/>
    <cellStyle name="Normal 3 6 2 3 2 7 2 2" xfId="13518"/>
    <cellStyle name="Normal 3 6 2 3 2 7 2 2 2" xfId="13519"/>
    <cellStyle name="Normal 3 6 2 3 2 7 2 3" xfId="13520"/>
    <cellStyle name="Normal 3 6 2 3 2 7 2 3 2" xfId="13521"/>
    <cellStyle name="Normal 3 6 2 3 2 7 2 4" xfId="13522"/>
    <cellStyle name="Normal 3 6 2 3 2 7 2 4 2" xfId="13523"/>
    <cellStyle name="Normal 3 6 2 3 2 7 2 5" xfId="13524"/>
    <cellStyle name="Normal 3 6 2 3 2 7 3" xfId="13525"/>
    <cellStyle name="Normal 3 6 2 3 2 7 3 2" xfId="13526"/>
    <cellStyle name="Normal 3 6 2 3 2 7 3 2 2" xfId="13527"/>
    <cellStyle name="Normal 3 6 2 3 2 7 3 3" xfId="13528"/>
    <cellStyle name="Normal 3 6 2 3 2 7 3 3 2" xfId="13529"/>
    <cellStyle name="Normal 3 6 2 3 2 7 3 4" xfId="13530"/>
    <cellStyle name="Normal 3 6 2 3 2 7 3 4 2" xfId="13531"/>
    <cellStyle name="Normal 3 6 2 3 2 7 3 5" xfId="13532"/>
    <cellStyle name="Normal 3 6 2 3 2 7 4" xfId="13533"/>
    <cellStyle name="Normal 3 6 2 3 2 7 4 2" xfId="13534"/>
    <cellStyle name="Normal 3 6 2 3 2 7 5" xfId="13535"/>
    <cellStyle name="Normal 3 6 2 3 2 7 5 2" xfId="13536"/>
    <cellStyle name="Normal 3 6 2 3 2 7 6" xfId="13537"/>
    <cellStyle name="Normal 3 6 2 3 2 7 6 2" xfId="13538"/>
    <cellStyle name="Normal 3 6 2 3 2 7 7" xfId="13539"/>
    <cellStyle name="Normal 3 6 2 3 2 8" xfId="13540"/>
    <cellStyle name="Normal 3 6 2 3 2 8 2" xfId="13541"/>
    <cellStyle name="Normal 3 6 2 3 2 8 2 2" xfId="13542"/>
    <cellStyle name="Normal 3 6 2 3 2 8 3" xfId="13543"/>
    <cellStyle name="Normal 3 6 2 3 2 8 3 2" xfId="13544"/>
    <cellStyle name="Normal 3 6 2 3 2 8 4" xfId="13545"/>
    <cellStyle name="Normal 3 6 2 3 2 8 4 2" xfId="13546"/>
    <cellStyle name="Normal 3 6 2 3 2 8 5" xfId="13547"/>
    <cellStyle name="Normal 3 6 2 3 2 9" xfId="13548"/>
    <cellStyle name="Normal 3 6 2 3 2 9 2" xfId="13549"/>
    <cellStyle name="Normal 3 6 2 3 2 9 2 2" xfId="13550"/>
    <cellStyle name="Normal 3 6 2 3 2 9 3" xfId="13551"/>
    <cellStyle name="Normal 3 6 2 3 2 9 3 2" xfId="13552"/>
    <cellStyle name="Normal 3 6 2 3 2 9 4" xfId="13553"/>
    <cellStyle name="Normal 3 6 2 3 2 9 4 2" xfId="13554"/>
    <cellStyle name="Normal 3 6 2 3 2 9 5" xfId="13555"/>
    <cellStyle name="Normal 3 6 2 3 3" xfId="13556"/>
    <cellStyle name="Normal 3 6 2 3 3 2" xfId="13557"/>
    <cellStyle name="Normal 3 6 2 3 3 2 2" xfId="13558"/>
    <cellStyle name="Normal 3 6 2 3 3 2 2 2" xfId="13559"/>
    <cellStyle name="Normal 3 6 2 3 3 2 2 2 2" xfId="13560"/>
    <cellStyle name="Normal 3 6 2 3 3 2 2 3" xfId="13561"/>
    <cellStyle name="Normal 3 6 2 3 3 2 2 3 2" xfId="13562"/>
    <cellStyle name="Normal 3 6 2 3 3 2 2 4" xfId="13563"/>
    <cellStyle name="Normal 3 6 2 3 3 2 2 4 2" xfId="13564"/>
    <cellStyle name="Normal 3 6 2 3 3 2 2 5" xfId="13565"/>
    <cellStyle name="Normal 3 6 2 3 3 2 3" xfId="13566"/>
    <cellStyle name="Normal 3 6 2 3 3 2 3 2" xfId="13567"/>
    <cellStyle name="Normal 3 6 2 3 3 2 3 2 2" xfId="13568"/>
    <cellStyle name="Normal 3 6 2 3 3 2 3 3" xfId="13569"/>
    <cellStyle name="Normal 3 6 2 3 3 2 3 3 2" xfId="13570"/>
    <cellStyle name="Normal 3 6 2 3 3 2 3 4" xfId="13571"/>
    <cellStyle name="Normal 3 6 2 3 3 2 3 4 2" xfId="13572"/>
    <cellStyle name="Normal 3 6 2 3 3 2 3 5" xfId="13573"/>
    <cellStyle name="Normal 3 6 2 3 3 2 4" xfId="13574"/>
    <cellStyle name="Normal 3 6 2 3 3 2 4 2" xfId="13575"/>
    <cellStyle name="Normal 3 6 2 3 3 2 5" xfId="13576"/>
    <cellStyle name="Normal 3 6 2 3 3 2 5 2" xfId="13577"/>
    <cellStyle name="Normal 3 6 2 3 3 2 6" xfId="13578"/>
    <cellStyle name="Normal 3 6 2 3 3 2 6 2" xfId="13579"/>
    <cellStyle name="Normal 3 6 2 3 3 2 7" xfId="13580"/>
    <cellStyle name="Normal 3 6 2 3 3 3" xfId="13581"/>
    <cellStyle name="Normal 3 6 2 3 3 3 2" xfId="13582"/>
    <cellStyle name="Normal 3 6 2 3 3 3 2 2" xfId="13583"/>
    <cellStyle name="Normal 3 6 2 3 3 3 3" xfId="13584"/>
    <cellStyle name="Normal 3 6 2 3 3 3 3 2" xfId="13585"/>
    <cellStyle name="Normal 3 6 2 3 3 3 4" xfId="13586"/>
    <cellStyle name="Normal 3 6 2 3 3 3 4 2" xfId="13587"/>
    <cellStyle name="Normal 3 6 2 3 3 3 5" xfId="13588"/>
    <cellStyle name="Normal 3 6 2 3 3 4" xfId="13589"/>
    <cellStyle name="Normal 3 6 2 3 3 4 2" xfId="13590"/>
    <cellStyle name="Normal 3 6 2 3 3 4 2 2" xfId="13591"/>
    <cellStyle name="Normal 3 6 2 3 3 4 3" xfId="13592"/>
    <cellStyle name="Normal 3 6 2 3 3 4 3 2" xfId="13593"/>
    <cellStyle name="Normal 3 6 2 3 3 4 4" xfId="13594"/>
    <cellStyle name="Normal 3 6 2 3 3 4 4 2" xfId="13595"/>
    <cellStyle name="Normal 3 6 2 3 3 4 5" xfId="13596"/>
    <cellStyle name="Normal 3 6 2 3 3 5" xfId="13597"/>
    <cellStyle name="Normal 3 6 2 3 3 5 2" xfId="13598"/>
    <cellStyle name="Normal 3 6 2 3 3 6" xfId="13599"/>
    <cellStyle name="Normal 3 6 2 3 3 6 2" xfId="13600"/>
    <cellStyle name="Normal 3 6 2 3 3 7" xfId="13601"/>
    <cellStyle name="Normal 3 6 2 3 3 7 2" xfId="13602"/>
    <cellStyle name="Normal 3 6 2 3 3 8" xfId="13603"/>
    <cellStyle name="Normal 3 6 2 3 4" xfId="13604"/>
    <cellStyle name="Normal 3 6 2 3 4 2" xfId="13605"/>
    <cellStyle name="Normal 3 6 2 3 4 2 2" xfId="13606"/>
    <cellStyle name="Normal 3 6 2 3 4 2 2 2" xfId="13607"/>
    <cellStyle name="Normal 3 6 2 3 4 2 2 2 2" xfId="13608"/>
    <cellStyle name="Normal 3 6 2 3 4 2 2 3" xfId="13609"/>
    <cellStyle name="Normal 3 6 2 3 4 2 2 3 2" xfId="13610"/>
    <cellStyle name="Normal 3 6 2 3 4 2 2 4" xfId="13611"/>
    <cellStyle name="Normal 3 6 2 3 4 2 2 4 2" xfId="13612"/>
    <cellStyle name="Normal 3 6 2 3 4 2 2 5" xfId="13613"/>
    <cellStyle name="Normal 3 6 2 3 4 2 3" xfId="13614"/>
    <cellStyle name="Normal 3 6 2 3 4 2 3 2" xfId="13615"/>
    <cellStyle name="Normal 3 6 2 3 4 2 3 2 2" xfId="13616"/>
    <cellStyle name="Normal 3 6 2 3 4 2 3 3" xfId="13617"/>
    <cellStyle name="Normal 3 6 2 3 4 2 3 3 2" xfId="13618"/>
    <cellStyle name="Normal 3 6 2 3 4 2 3 4" xfId="13619"/>
    <cellStyle name="Normal 3 6 2 3 4 2 3 4 2" xfId="13620"/>
    <cellStyle name="Normal 3 6 2 3 4 2 3 5" xfId="13621"/>
    <cellStyle name="Normal 3 6 2 3 4 2 4" xfId="13622"/>
    <cellStyle name="Normal 3 6 2 3 4 2 4 2" xfId="13623"/>
    <cellStyle name="Normal 3 6 2 3 4 2 5" xfId="13624"/>
    <cellStyle name="Normal 3 6 2 3 4 2 5 2" xfId="13625"/>
    <cellStyle name="Normal 3 6 2 3 4 2 6" xfId="13626"/>
    <cellStyle name="Normal 3 6 2 3 4 2 6 2" xfId="13627"/>
    <cellStyle name="Normal 3 6 2 3 4 2 7" xfId="13628"/>
    <cellStyle name="Normal 3 6 2 3 4 3" xfId="13629"/>
    <cellStyle name="Normal 3 6 2 3 4 3 2" xfId="13630"/>
    <cellStyle name="Normal 3 6 2 3 4 3 2 2" xfId="13631"/>
    <cellStyle name="Normal 3 6 2 3 4 3 3" xfId="13632"/>
    <cellStyle name="Normal 3 6 2 3 4 3 3 2" xfId="13633"/>
    <cellStyle name="Normal 3 6 2 3 4 3 4" xfId="13634"/>
    <cellStyle name="Normal 3 6 2 3 4 3 4 2" xfId="13635"/>
    <cellStyle name="Normal 3 6 2 3 4 3 5" xfId="13636"/>
    <cellStyle name="Normal 3 6 2 3 4 4" xfId="13637"/>
    <cellStyle name="Normal 3 6 2 3 4 4 2" xfId="13638"/>
    <cellStyle name="Normal 3 6 2 3 4 4 2 2" xfId="13639"/>
    <cellStyle name="Normal 3 6 2 3 4 4 3" xfId="13640"/>
    <cellStyle name="Normal 3 6 2 3 4 4 3 2" xfId="13641"/>
    <cellStyle name="Normal 3 6 2 3 4 4 4" xfId="13642"/>
    <cellStyle name="Normal 3 6 2 3 4 4 4 2" xfId="13643"/>
    <cellStyle name="Normal 3 6 2 3 4 4 5" xfId="13644"/>
    <cellStyle name="Normal 3 6 2 3 4 5" xfId="13645"/>
    <cellStyle name="Normal 3 6 2 3 4 5 2" xfId="13646"/>
    <cellStyle name="Normal 3 6 2 3 4 6" xfId="13647"/>
    <cellStyle name="Normal 3 6 2 3 4 6 2" xfId="13648"/>
    <cellStyle name="Normal 3 6 2 3 4 7" xfId="13649"/>
    <cellStyle name="Normal 3 6 2 3 4 7 2" xfId="13650"/>
    <cellStyle name="Normal 3 6 2 3 4 8" xfId="13651"/>
    <cellStyle name="Normal 3 6 2 3 5" xfId="13652"/>
    <cellStyle name="Normal 3 6 2 3 5 2" xfId="13653"/>
    <cellStyle name="Normal 3 6 2 3 5 2 2" xfId="13654"/>
    <cellStyle name="Normal 3 6 2 3 5 2 2 2" xfId="13655"/>
    <cellStyle name="Normal 3 6 2 3 5 2 2 2 2" xfId="13656"/>
    <cellStyle name="Normal 3 6 2 3 5 2 2 3" xfId="13657"/>
    <cellStyle name="Normal 3 6 2 3 5 2 2 3 2" xfId="13658"/>
    <cellStyle name="Normal 3 6 2 3 5 2 2 4" xfId="13659"/>
    <cellStyle name="Normal 3 6 2 3 5 2 2 4 2" xfId="13660"/>
    <cellStyle name="Normal 3 6 2 3 5 2 2 5" xfId="13661"/>
    <cellStyle name="Normal 3 6 2 3 5 2 3" xfId="13662"/>
    <cellStyle name="Normal 3 6 2 3 5 2 3 2" xfId="13663"/>
    <cellStyle name="Normal 3 6 2 3 5 2 3 2 2" xfId="13664"/>
    <cellStyle name="Normal 3 6 2 3 5 2 3 3" xfId="13665"/>
    <cellStyle name="Normal 3 6 2 3 5 2 3 3 2" xfId="13666"/>
    <cellStyle name="Normal 3 6 2 3 5 2 3 4" xfId="13667"/>
    <cellStyle name="Normal 3 6 2 3 5 2 3 4 2" xfId="13668"/>
    <cellStyle name="Normal 3 6 2 3 5 2 3 5" xfId="13669"/>
    <cellStyle name="Normal 3 6 2 3 5 2 4" xfId="13670"/>
    <cellStyle name="Normal 3 6 2 3 5 2 4 2" xfId="13671"/>
    <cellStyle name="Normal 3 6 2 3 5 2 5" xfId="13672"/>
    <cellStyle name="Normal 3 6 2 3 5 2 5 2" xfId="13673"/>
    <cellStyle name="Normal 3 6 2 3 5 2 6" xfId="13674"/>
    <cellStyle name="Normal 3 6 2 3 5 2 6 2" xfId="13675"/>
    <cellStyle name="Normal 3 6 2 3 5 2 7" xfId="13676"/>
    <cellStyle name="Normal 3 6 2 3 5 3" xfId="13677"/>
    <cellStyle name="Normal 3 6 2 3 5 3 2" xfId="13678"/>
    <cellStyle name="Normal 3 6 2 3 5 3 2 2" xfId="13679"/>
    <cellStyle name="Normal 3 6 2 3 5 3 3" xfId="13680"/>
    <cellStyle name="Normal 3 6 2 3 5 3 3 2" xfId="13681"/>
    <cellStyle name="Normal 3 6 2 3 5 3 4" xfId="13682"/>
    <cellStyle name="Normal 3 6 2 3 5 3 4 2" xfId="13683"/>
    <cellStyle name="Normal 3 6 2 3 5 3 5" xfId="13684"/>
    <cellStyle name="Normal 3 6 2 3 5 4" xfId="13685"/>
    <cellStyle name="Normal 3 6 2 3 5 4 2" xfId="13686"/>
    <cellStyle name="Normal 3 6 2 3 5 4 2 2" xfId="13687"/>
    <cellStyle name="Normal 3 6 2 3 5 4 3" xfId="13688"/>
    <cellStyle name="Normal 3 6 2 3 5 4 3 2" xfId="13689"/>
    <cellStyle name="Normal 3 6 2 3 5 4 4" xfId="13690"/>
    <cellStyle name="Normal 3 6 2 3 5 4 4 2" xfId="13691"/>
    <cellStyle name="Normal 3 6 2 3 5 4 5" xfId="13692"/>
    <cellStyle name="Normal 3 6 2 3 5 5" xfId="13693"/>
    <cellStyle name="Normal 3 6 2 3 5 5 2" xfId="13694"/>
    <cellStyle name="Normal 3 6 2 3 5 6" xfId="13695"/>
    <cellStyle name="Normal 3 6 2 3 5 6 2" xfId="13696"/>
    <cellStyle name="Normal 3 6 2 3 5 7" xfId="13697"/>
    <cellStyle name="Normal 3 6 2 3 5 7 2" xfId="13698"/>
    <cellStyle name="Normal 3 6 2 3 5 8" xfId="13699"/>
    <cellStyle name="Normal 3 6 2 3 6" xfId="13700"/>
    <cellStyle name="Normal 3 6 2 3 6 2" xfId="13701"/>
    <cellStyle name="Normal 3 6 2 3 6 2 2" xfId="13702"/>
    <cellStyle name="Normal 3 6 2 3 6 2 2 2" xfId="13703"/>
    <cellStyle name="Normal 3 6 2 3 6 2 2 2 2" xfId="13704"/>
    <cellStyle name="Normal 3 6 2 3 6 2 2 3" xfId="13705"/>
    <cellStyle name="Normal 3 6 2 3 6 2 2 3 2" xfId="13706"/>
    <cellStyle name="Normal 3 6 2 3 6 2 2 4" xfId="13707"/>
    <cellStyle name="Normal 3 6 2 3 6 2 2 4 2" xfId="13708"/>
    <cellStyle name="Normal 3 6 2 3 6 2 2 5" xfId="13709"/>
    <cellStyle name="Normal 3 6 2 3 6 2 3" xfId="13710"/>
    <cellStyle name="Normal 3 6 2 3 6 2 3 2" xfId="13711"/>
    <cellStyle name="Normal 3 6 2 3 6 2 3 2 2" xfId="13712"/>
    <cellStyle name="Normal 3 6 2 3 6 2 3 3" xfId="13713"/>
    <cellStyle name="Normal 3 6 2 3 6 2 3 3 2" xfId="13714"/>
    <cellStyle name="Normal 3 6 2 3 6 2 3 4" xfId="13715"/>
    <cellStyle name="Normal 3 6 2 3 6 2 3 4 2" xfId="13716"/>
    <cellStyle name="Normal 3 6 2 3 6 2 3 5" xfId="13717"/>
    <cellStyle name="Normal 3 6 2 3 6 2 4" xfId="13718"/>
    <cellStyle name="Normal 3 6 2 3 6 2 4 2" xfId="13719"/>
    <cellStyle name="Normal 3 6 2 3 6 2 5" xfId="13720"/>
    <cellStyle name="Normal 3 6 2 3 6 2 5 2" xfId="13721"/>
    <cellStyle name="Normal 3 6 2 3 6 2 6" xfId="13722"/>
    <cellStyle name="Normal 3 6 2 3 6 2 6 2" xfId="13723"/>
    <cellStyle name="Normal 3 6 2 3 6 2 7" xfId="13724"/>
    <cellStyle name="Normal 3 6 2 3 6 3" xfId="13725"/>
    <cellStyle name="Normal 3 6 2 3 6 3 2" xfId="13726"/>
    <cellStyle name="Normal 3 6 2 3 6 3 2 2" xfId="13727"/>
    <cellStyle name="Normal 3 6 2 3 6 3 3" xfId="13728"/>
    <cellStyle name="Normal 3 6 2 3 6 3 3 2" xfId="13729"/>
    <cellStyle name="Normal 3 6 2 3 6 3 4" xfId="13730"/>
    <cellStyle name="Normal 3 6 2 3 6 3 4 2" xfId="13731"/>
    <cellStyle name="Normal 3 6 2 3 6 3 5" xfId="13732"/>
    <cellStyle name="Normal 3 6 2 3 6 4" xfId="13733"/>
    <cellStyle name="Normal 3 6 2 3 6 4 2" xfId="13734"/>
    <cellStyle name="Normal 3 6 2 3 6 4 2 2" xfId="13735"/>
    <cellStyle name="Normal 3 6 2 3 6 4 3" xfId="13736"/>
    <cellStyle name="Normal 3 6 2 3 6 4 3 2" xfId="13737"/>
    <cellStyle name="Normal 3 6 2 3 6 4 4" xfId="13738"/>
    <cellStyle name="Normal 3 6 2 3 6 4 4 2" xfId="13739"/>
    <cellStyle name="Normal 3 6 2 3 6 4 5" xfId="13740"/>
    <cellStyle name="Normal 3 6 2 3 6 5" xfId="13741"/>
    <cellStyle name="Normal 3 6 2 3 6 5 2" xfId="13742"/>
    <cellStyle name="Normal 3 6 2 3 6 6" xfId="13743"/>
    <cellStyle name="Normal 3 6 2 3 6 6 2" xfId="13744"/>
    <cellStyle name="Normal 3 6 2 3 6 7" xfId="13745"/>
    <cellStyle name="Normal 3 6 2 3 6 7 2" xfId="13746"/>
    <cellStyle name="Normal 3 6 2 3 6 8" xfId="13747"/>
    <cellStyle name="Normal 3 6 2 3 7" xfId="13748"/>
    <cellStyle name="Normal 3 6 2 3 7 2" xfId="13749"/>
    <cellStyle name="Normal 3 6 2 3 7 2 2" xfId="13750"/>
    <cellStyle name="Normal 3 6 2 3 7 2 2 2" xfId="13751"/>
    <cellStyle name="Normal 3 6 2 3 7 2 2 2 2" xfId="13752"/>
    <cellStyle name="Normal 3 6 2 3 7 2 2 3" xfId="13753"/>
    <cellStyle name="Normal 3 6 2 3 7 2 2 3 2" xfId="13754"/>
    <cellStyle name="Normal 3 6 2 3 7 2 2 4" xfId="13755"/>
    <cellStyle name="Normal 3 6 2 3 7 2 2 4 2" xfId="13756"/>
    <cellStyle name="Normal 3 6 2 3 7 2 2 5" xfId="13757"/>
    <cellStyle name="Normal 3 6 2 3 7 2 3" xfId="13758"/>
    <cellStyle name="Normal 3 6 2 3 7 2 3 2" xfId="13759"/>
    <cellStyle name="Normal 3 6 2 3 7 2 3 2 2" xfId="13760"/>
    <cellStyle name="Normal 3 6 2 3 7 2 3 3" xfId="13761"/>
    <cellStyle name="Normal 3 6 2 3 7 2 3 3 2" xfId="13762"/>
    <cellStyle name="Normal 3 6 2 3 7 2 3 4" xfId="13763"/>
    <cellStyle name="Normal 3 6 2 3 7 2 3 4 2" xfId="13764"/>
    <cellStyle name="Normal 3 6 2 3 7 2 3 5" xfId="13765"/>
    <cellStyle name="Normal 3 6 2 3 7 2 4" xfId="13766"/>
    <cellStyle name="Normal 3 6 2 3 7 2 4 2" xfId="13767"/>
    <cellStyle name="Normal 3 6 2 3 7 2 5" xfId="13768"/>
    <cellStyle name="Normal 3 6 2 3 7 2 5 2" xfId="13769"/>
    <cellStyle name="Normal 3 6 2 3 7 2 6" xfId="13770"/>
    <cellStyle name="Normal 3 6 2 3 7 2 6 2" xfId="13771"/>
    <cellStyle name="Normal 3 6 2 3 7 2 7" xfId="13772"/>
    <cellStyle name="Normal 3 6 2 3 7 3" xfId="13773"/>
    <cellStyle name="Normal 3 6 2 3 7 3 2" xfId="13774"/>
    <cellStyle name="Normal 3 6 2 3 7 3 2 2" xfId="13775"/>
    <cellStyle name="Normal 3 6 2 3 7 3 3" xfId="13776"/>
    <cellStyle name="Normal 3 6 2 3 7 3 3 2" xfId="13777"/>
    <cellStyle name="Normal 3 6 2 3 7 3 4" xfId="13778"/>
    <cellStyle name="Normal 3 6 2 3 7 3 4 2" xfId="13779"/>
    <cellStyle name="Normal 3 6 2 3 7 3 5" xfId="13780"/>
    <cellStyle name="Normal 3 6 2 3 7 4" xfId="13781"/>
    <cellStyle name="Normal 3 6 2 3 7 4 2" xfId="13782"/>
    <cellStyle name="Normal 3 6 2 3 7 4 2 2" xfId="13783"/>
    <cellStyle name="Normal 3 6 2 3 7 4 3" xfId="13784"/>
    <cellStyle name="Normal 3 6 2 3 7 4 3 2" xfId="13785"/>
    <cellStyle name="Normal 3 6 2 3 7 4 4" xfId="13786"/>
    <cellStyle name="Normal 3 6 2 3 7 4 4 2" xfId="13787"/>
    <cellStyle name="Normal 3 6 2 3 7 4 5" xfId="13788"/>
    <cellStyle name="Normal 3 6 2 3 7 5" xfId="13789"/>
    <cellStyle name="Normal 3 6 2 3 7 5 2" xfId="13790"/>
    <cellStyle name="Normal 3 6 2 3 7 6" xfId="13791"/>
    <cellStyle name="Normal 3 6 2 3 7 6 2" xfId="13792"/>
    <cellStyle name="Normal 3 6 2 3 7 7" xfId="13793"/>
    <cellStyle name="Normal 3 6 2 3 7 7 2" xfId="13794"/>
    <cellStyle name="Normal 3 6 2 3 7 8" xfId="13795"/>
    <cellStyle name="Normal 3 6 2 3 8" xfId="13796"/>
    <cellStyle name="Normal 3 6 2 3 8 2" xfId="13797"/>
    <cellStyle name="Normal 3 6 2 3 8 2 2" xfId="13798"/>
    <cellStyle name="Normal 3 6 2 3 8 2 2 2" xfId="13799"/>
    <cellStyle name="Normal 3 6 2 3 8 2 3" xfId="13800"/>
    <cellStyle name="Normal 3 6 2 3 8 2 3 2" xfId="13801"/>
    <cellStyle name="Normal 3 6 2 3 8 2 4" xfId="13802"/>
    <cellStyle name="Normal 3 6 2 3 8 2 4 2" xfId="13803"/>
    <cellStyle name="Normal 3 6 2 3 8 2 5" xfId="13804"/>
    <cellStyle name="Normal 3 6 2 3 8 3" xfId="13805"/>
    <cellStyle name="Normal 3 6 2 3 8 3 2" xfId="13806"/>
    <cellStyle name="Normal 3 6 2 3 8 3 2 2" xfId="13807"/>
    <cellStyle name="Normal 3 6 2 3 8 3 3" xfId="13808"/>
    <cellStyle name="Normal 3 6 2 3 8 3 3 2" xfId="13809"/>
    <cellStyle name="Normal 3 6 2 3 8 3 4" xfId="13810"/>
    <cellStyle name="Normal 3 6 2 3 8 3 4 2" xfId="13811"/>
    <cellStyle name="Normal 3 6 2 3 8 3 5" xfId="13812"/>
    <cellStyle name="Normal 3 6 2 3 8 4" xfId="13813"/>
    <cellStyle name="Normal 3 6 2 3 8 4 2" xfId="13814"/>
    <cellStyle name="Normal 3 6 2 3 8 5" xfId="13815"/>
    <cellStyle name="Normal 3 6 2 3 8 5 2" xfId="13816"/>
    <cellStyle name="Normal 3 6 2 3 8 6" xfId="13817"/>
    <cellStyle name="Normal 3 6 2 3 8 6 2" xfId="13818"/>
    <cellStyle name="Normal 3 6 2 3 8 7" xfId="13819"/>
    <cellStyle name="Normal 3 6 2 3 9" xfId="13820"/>
    <cellStyle name="Normal 3 6 2 3 9 2" xfId="13821"/>
    <cellStyle name="Normal 3 6 2 3 9 2 2" xfId="13822"/>
    <cellStyle name="Normal 3 6 2 3 9 3" xfId="13823"/>
    <cellStyle name="Normal 3 6 2 3 9 3 2" xfId="13824"/>
    <cellStyle name="Normal 3 6 2 3 9 4" xfId="13825"/>
    <cellStyle name="Normal 3 6 2 3 9 4 2" xfId="13826"/>
    <cellStyle name="Normal 3 6 2 3 9 5" xfId="13827"/>
    <cellStyle name="Normal 3 6 2 4" xfId="13828"/>
    <cellStyle name="Normal 3 6 2 4 10" xfId="13829"/>
    <cellStyle name="Normal 3 6 2 4 10 2" xfId="13830"/>
    <cellStyle name="Normal 3 6 2 4 10 2 2" xfId="13831"/>
    <cellStyle name="Normal 3 6 2 4 10 3" xfId="13832"/>
    <cellStyle name="Normal 3 6 2 4 10 3 2" xfId="13833"/>
    <cellStyle name="Normal 3 6 2 4 10 4" xfId="13834"/>
    <cellStyle name="Normal 3 6 2 4 10 4 2" xfId="13835"/>
    <cellStyle name="Normal 3 6 2 4 10 5" xfId="13836"/>
    <cellStyle name="Normal 3 6 2 4 11" xfId="13837"/>
    <cellStyle name="Normal 3 6 2 4 11 2" xfId="13838"/>
    <cellStyle name="Normal 3 6 2 4 12" xfId="13839"/>
    <cellStyle name="Normal 3 6 2 4 12 2" xfId="13840"/>
    <cellStyle name="Normal 3 6 2 4 13" xfId="13841"/>
    <cellStyle name="Normal 3 6 2 4 13 2" xfId="13842"/>
    <cellStyle name="Normal 3 6 2 4 14" xfId="13843"/>
    <cellStyle name="Normal 3 6 2 4 2" xfId="13844"/>
    <cellStyle name="Normal 3 6 2 4 2 10" xfId="13845"/>
    <cellStyle name="Normal 3 6 2 4 2 10 2" xfId="13846"/>
    <cellStyle name="Normal 3 6 2 4 2 11" xfId="13847"/>
    <cellStyle name="Normal 3 6 2 4 2 11 2" xfId="13848"/>
    <cellStyle name="Normal 3 6 2 4 2 12" xfId="13849"/>
    <cellStyle name="Normal 3 6 2 4 2 12 2" xfId="13850"/>
    <cellStyle name="Normal 3 6 2 4 2 13" xfId="13851"/>
    <cellStyle name="Normal 3 6 2 4 2 2" xfId="13852"/>
    <cellStyle name="Normal 3 6 2 4 2 2 2" xfId="13853"/>
    <cellStyle name="Normal 3 6 2 4 2 2 2 2" xfId="13854"/>
    <cellStyle name="Normal 3 6 2 4 2 2 2 2 2" xfId="13855"/>
    <cellStyle name="Normal 3 6 2 4 2 2 2 2 2 2" xfId="13856"/>
    <cellStyle name="Normal 3 6 2 4 2 2 2 2 3" xfId="13857"/>
    <cellStyle name="Normal 3 6 2 4 2 2 2 2 3 2" xfId="13858"/>
    <cellStyle name="Normal 3 6 2 4 2 2 2 2 4" xfId="13859"/>
    <cellStyle name="Normal 3 6 2 4 2 2 2 2 4 2" xfId="13860"/>
    <cellStyle name="Normal 3 6 2 4 2 2 2 2 5" xfId="13861"/>
    <cellStyle name="Normal 3 6 2 4 2 2 2 3" xfId="13862"/>
    <cellStyle name="Normal 3 6 2 4 2 2 2 3 2" xfId="13863"/>
    <cellStyle name="Normal 3 6 2 4 2 2 2 3 2 2" xfId="13864"/>
    <cellStyle name="Normal 3 6 2 4 2 2 2 3 3" xfId="13865"/>
    <cellStyle name="Normal 3 6 2 4 2 2 2 3 3 2" xfId="13866"/>
    <cellStyle name="Normal 3 6 2 4 2 2 2 3 4" xfId="13867"/>
    <cellStyle name="Normal 3 6 2 4 2 2 2 3 4 2" xfId="13868"/>
    <cellStyle name="Normal 3 6 2 4 2 2 2 3 5" xfId="13869"/>
    <cellStyle name="Normal 3 6 2 4 2 2 2 4" xfId="13870"/>
    <cellStyle name="Normal 3 6 2 4 2 2 2 4 2" xfId="13871"/>
    <cellStyle name="Normal 3 6 2 4 2 2 2 5" xfId="13872"/>
    <cellStyle name="Normal 3 6 2 4 2 2 2 5 2" xfId="13873"/>
    <cellStyle name="Normal 3 6 2 4 2 2 2 6" xfId="13874"/>
    <cellStyle name="Normal 3 6 2 4 2 2 2 6 2" xfId="13875"/>
    <cellStyle name="Normal 3 6 2 4 2 2 2 7" xfId="13876"/>
    <cellStyle name="Normal 3 6 2 4 2 2 3" xfId="13877"/>
    <cellStyle name="Normal 3 6 2 4 2 2 3 2" xfId="13878"/>
    <cellStyle name="Normal 3 6 2 4 2 2 3 2 2" xfId="13879"/>
    <cellStyle name="Normal 3 6 2 4 2 2 3 3" xfId="13880"/>
    <cellStyle name="Normal 3 6 2 4 2 2 3 3 2" xfId="13881"/>
    <cellStyle name="Normal 3 6 2 4 2 2 3 4" xfId="13882"/>
    <cellStyle name="Normal 3 6 2 4 2 2 3 4 2" xfId="13883"/>
    <cellStyle name="Normal 3 6 2 4 2 2 3 5" xfId="13884"/>
    <cellStyle name="Normal 3 6 2 4 2 2 4" xfId="13885"/>
    <cellStyle name="Normal 3 6 2 4 2 2 4 2" xfId="13886"/>
    <cellStyle name="Normal 3 6 2 4 2 2 4 2 2" xfId="13887"/>
    <cellStyle name="Normal 3 6 2 4 2 2 4 3" xfId="13888"/>
    <cellStyle name="Normal 3 6 2 4 2 2 4 3 2" xfId="13889"/>
    <cellStyle name="Normal 3 6 2 4 2 2 4 4" xfId="13890"/>
    <cellStyle name="Normal 3 6 2 4 2 2 4 4 2" xfId="13891"/>
    <cellStyle name="Normal 3 6 2 4 2 2 4 5" xfId="13892"/>
    <cellStyle name="Normal 3 6 2 4 2 2 5" xfId="13893"/>
    <cellStyle name="Normal 3 6 2 4 2 2 5 2" xfId="13894"/>
    <cellStyle name="Normal 3 6 2 4 2 2 6" xfId="13895"/>
    <cellStyle name="Normal 3 6 2 4 2 2 6 2" xfId="13896"/>
    <cellStyle name="Normal 3 6 2 4 2 2 7" xfId="13897"/>
    <cellStyle name="Normal 3 6 2 4 2 2 7 2" xfId="13898"/>
    <cellStyle name="Normal 3 6 2 4 2 2 8" xfId="13899"/>
    <cellStyle name="Normal 3 6 2 4 2 3" xfId="13900"/>
    <cellStyle name="Normal 3 6 2 4 2 3 2" xfId="13901"/>
    <cellStyle name="Normal 3 6 2 4 2 3 2 2" xfId="13902"/>
    <cellStyle name="Normal 3 6 2 4 2 3 2 2 2" xfId="13903"/>
    <cellStyle name="Normal 3 6 2 4 2 3 2 2 2 2" xfId="13904"/>
    <cellStyle name="Normal 3 6 2 4 2 3 2 2 3" xfId="13905"/>
    <cellStyle name="Normal 3 6 2 4 2 3 2 2 3 2" xfId="13906"/>
    <cellStyle name="Normal 3 6 2 4 2 3 2 2 4" xfId="13907"/>
    <cellStyle name="Normal 3 6 2 4 2 3 2 2 4 2" xfId="13908"/>
    <cellStyle name="Normal 3 6 2 4 2 3 2 2 5" xfId="13909"/>
    <cellStyle name="Normal 3 6 2 4 2 3 2 3" xfId="13910"/>
    <cellStyle name="Normal 3 6 2 4 2 3 2 3 2" xfId="13911"/>
    <cellStyle name="Normal 3 6 2 4 2 3 2 3 2 2" xfId="13912"/>
    <cellStyle name="Normal 3 6 2 4 2 3 2 3 3" xfId="13913"/>
    <cellStyle name="Normal 3 6 2 4 2 3 2 3 3 2" xfId="13914"/>
    <cellStyle name="Normal 3 6 2 4 2 3 2 3 4" xfId="13915"/>
    <cellStyle name="Normal 3 6 2 4 2 3 2 3 4 2" xfId="13916"/>
    <cellStyle name="Normal 3 6 2 4 2 3 2 3 5" xfId="13917"/>
    <cellStyle name="Normal 3 6 2 4 2 3 2 4" xfId="13918"/>
    <cellStyle name="Normal 3 6 2 4 2 3 2 4 2" xfId="13919"/>
    <cellStyle name="Normal 3 6 2 4 2 3 2 5" xfId="13920"/>
    <cellStyle name="Normal 3 6 2 4 2 3 2 5 2" xfId="13921"/>
    <cellStyle name="Normal 3 6 2 4 2 3 2 6" xfId="13922"/>
    <cellStyle name="Normal 3 6 2 4 2 3 2 6 2" xfId="13923"/>
    <cellStyle name="Normal 3 6 2 4 2 3 2 7" xfId="13924"/>
    <cellStyle name="Normal 3 6 2 4 2 3 3" xfId="13925"/>
    <cellStyle name="Normal 3 6 2 4 2 3 3 2" xfId="13926"/>
    <cellStyle name="Normal 3 6 2 4 2 3 3 2 2" xfId="13927"/>
    <cellStyle name="Normal 3 6 2 4 2 3 3 3" xfId="13928"/>
    <cellStyle name="Normal 3 6 2 4 2 3 3 3 2" xfId="13929"/>
    <cellStyle name="Normal 3 6 2 4 2 3 3 4" xfId="13930"/>
    <cellStyle name="Normal 3 6 2 4 2 3 3 4 2" xfId="13931"/>
    <cellStyle name="Normal 3 6 2 4 2 3 3 5" xfId="13932"/>
    <cellStyle name="Normal 3 6 2 4 2 3 4" xfId="13933"/>
    <cellStyle name="Normal 3 6 2 4 2 3 4 2" xfId="13934"/>
    <cellStyle name="Normal 3 6 2 4 2 3 4 2 2" xfId="13935"/>
    <cellStyle name="Normal 3 6 2 4 2 3 4 3" xfId="13936"/>
    <cellStyle name="Normal 3 6 2 4 2 3 4 3 2" xfId="13937"/>
    <cellStyle name="Normal 3 6 2 4 2 3 4 4" xfId="13938"/>
    <cellStyle name="Normal 3 6 2 4 2 3 4 4 2" xfId="13939"/>
    <cellStyle name="Normal 3 6 2 4 2 3 4 5" xfId="13940"/>
    <cellStyle name="Normal 3 6 2 4 2 3 5" xfId="13941"/>
    <cellStyle name="Normal 3 6 2 4 2 3 5 2" xfId="13942"/>
    <cellStyle name="Normal 3 6 2 4 2 3 6" xfId="13943"/>
    <cellStyle name="Normal 3 6 2 4 2 3 6 2" xfId="13944"/>
    <cellStyle name="Normal 3 6 2 4 2 3 7" xfId="13945"/>
    <cellStyle name="Normal 3 6 2 4 2 3 7 2" xfId="13946"/>
    <cellStyle name="Normal 3 6 2 4 2 3 8" xfId="13947"/>
    <cellStyle name="Normal 3 6 2 4 2 4" xfId="13948"/>
    <cellStyle name="Normal 3 6 2 4 2 4 2" xfId="13949"/>
    <cellStyle name="Normal 3 6 2 4 2 4 2 2" xfId="13950"/>
    <cellStyle name="Normal 3 6 2 4 2 4 2 2 2" xfId="13951"/>
    <cellStyle name="Normal 3 6 2 4 2 4 2 2 2 2" xfId="13952"/>
    <cellStyle name="Normal 3 6 2 4 2 4 2 2 3" xfId="13953"/>
    <cellStyle name="Normal 3 6 2 4 2 4 2 2 3 2" xfId="13954"/>
    <cellStyle name="Normal 3 6 2 4 2 4 2 2 4" xfId="13955"/>
    <cellStyle name="Normal 3 6 2 4 2 4 2 2 4 2" xfId="13956"/>
    <cellStyle name="Normal 3 6 2 4 2 4 2 2 5" xfId="13957"/>
    <cellStyle name="Normal 3 6 2 4 2 4 2 3" xfId="13958"/>
    <cellStyle name="Normal 3 6 2 4 2 4 2 3 2" xfId="13959"/>
    <cellStyle name="Normal 3 6 2 4 2 4 2 3 2 2" xfId="13960"/>
    <cellStyle name="Normal 3 6 2 4 2 4 2 3 3" xfId="13961"/>
    <cellStyle name="Normal 3 6 2 4 2 4 2 3 3 2" xfId="13962"/>
    <cellStyle name="Normal 3 6 2 4 2 4 2 3 4" xfId="13963"/>
    <cellStyle name="Normal 3 6 2 4 2 4 2 3 4 2" xfId="13964"/>
    <cellStyle name="Normal 3 6 2 4 2 4 2 3 5" xfId="13965"/>
    <cellStyle name="Normal 3 6 2 4 2 4 2 4" xfId="13966"/>
    <cellStyle name="Normal 3 6 2 4 2 4 2 4 2" xfId="13967"/>
    <cellStyle name="Normal 3 6 2 4 2 4 2 5" xfId="13968"/>
    <cellStyle name="Normal 3 6 2 4 2 4 2 5 2" xfId="13969"/>
    <cellStyle name="Normal 3 6 2 4 2 4 2 6" xfId="13970"/>
    <cellStyle name="Normal 3 6 2 4 2 4 2 6 2" xfId="13971"/>
    <cellStyle name="Normal 3 6 2 4 2 4 2 7" xfId="13972"/>
    <cellStyle name="Normal 3 6 2 4 2 4 3" xfId="13973"/>
    <cellStyle name="Normal 3 6 2 4 2 4 3 2" xfId="13974"/>
    <cellStyle name="Normal 3 6 2 4 2 4 3 2 2" xfId="13975"/>
    <cellStyle name="Normal 3 6 2 4 2 4 3 3" xfId="13976"/>
    <cellStyle name="Normal 3 6 2 4 2 4 3 3 2" xfId="13977"/>
    <cellStyle name="Normal 3 6 2 4 2 4 3 4" xfId="13978"/>
    <cellStyle name="Normal 3 6 2 4 2 4 3 4 2" xfId="13979"/>
    <cellStyle name="Normal 3 6 2 4 2 4 3 5" xfId="13980"/>
    <cellStyle name="Normal 3 6 2 4 2 4 4" xfId="13981"/>
    <cellStyle name="Normal 3 6 2 4 2 4 4 2" xfId="13982"/>
    <cellStyle name="Normal 3 6 2 4 2 4 4 2 2" xfId="13983"/>
    <cellStyle name="Normal 3 6 2 4 2 4 4 3" xfId="13984"/>
    <cellStyle name="Normal 3 6 2 4 2 4 4 3 2" xfId="13985"/>
    <cellStyle name="Normal 3 6 2 4 2 4 4 4" xfId="13986"/>
    <cellStyle name="Normal 3 6 2 4 2 4 4 4 2" xfId="13987"/>
    <cellStyle name="Normal 3 6 2 4 2 4 4 5" xfId="13988"/>
    <cellStyle name="Normal 3 6 2 4 2 4 5" xfId="13989"/>
    <cellStyle name="Normal 3 6 2 4 2 4 5 2" xfId="13990"/>
    <cellStyle name="Normal 3 6 2 4 2 4 6" xfId="13991"/>
    <cellStyle name="Normal 3 6 2 4 2 4 6 2" xfId="13992"/>
    <cellStyle name="Normal 3 6 2 4 2 4 7" xfId="13993"/>
    <cellStyle name="Normal 3 6 2 4 2 4 7 2" xfId="13994"/>
    <cellStyle name="Normal 3 6 2 4 2 4 8" xfId="13995"/>
    <cellStyle name="Normal 3 6 2 4 2 5" xfId="13996"/>
    <cellStyle name="Normal 3 6 2 4 2 5 2" xfId="13997"/>
    <cellStyle name="Normal 3 6 2 4 2 5 2 2" xfId="13998"/>
    <cellStyle name="Normal 3 6 2 4 2 5 2 2 2" xfId="13999"/>
    <cellStyle name="Normal 3 6 2 4 2 5 2 2 2 2" xfId="14000"/>
    <cellStyle name="Normal 3 6 2 4 2 5 2 2 3" xfId="14001"/>
    <cellStyle name="Normal 3 6 2 4 2 5 2 2 3 2" xfId="14002"/>
    <cellStyle name="Normal 3 6 2 4 2 5 2 2 4" xfId="14003"/>
    <cellStyle name="Normal 3 6 2 4 2 5 2 2 4 2" xfId="14004"/>
    <cellStyle name="Normal 3 6 2 4 2 5 2 2 5" xfId="14005"/>
    <cellStyle name="Normal 3 6 2 4 2 5 2 3" xfId="14006"/>
    <cellStyle name="Normal 3 6 2 4 2 5 2 3 2" xfId="14007"/>
    <cellStyle name="Normal 3 6 2 4 2 5 2 3 2 2" xfId="14008"/>
    <cellStyle name="Normal 3 6 2 4 2 5 2 3 3" xfId="14009"/>
    <cellStyle name="Normal 3 6 2 4 2 5 2 3 3 2" xfId="14010"/>
    <cellStyle name="Normal 3 6 2 4 2 5 2 3 4" xfId="14011"/>
    <cellStyle name="Normal 3 6 2 4 2 5 2 3 4 2" xfId="14012"/>
    <cellStyle name="Normal 3 6 2 4 2 5 2 3 5" xfId="14013"/>
    <cellStyle name="Normal 3 6 2 4 2 5 2 4" xfId="14014"/>
    <cellStyle name="Normal 3 6 2 4 2 5 2 4 2" xfId="14015"/>
    <cellStyle name="Normal 3 6 2 4 2 5 2 5" xfId="14016"/>
    <cellStyle name="Normal 3 6 2 4 2 5 2 5 2" xfId="14017"/>
    <cellStyle name="Normal 3 6 2 4 2 5 2 6" xfId="14018"/>
    <cellStyle name="Normal 3 6 2 4 2 5 2 6 2" xfId="14019"/>
    <cellStyle name="Normal 3 6 2 4 2 5 2 7" xfId="14020"/>
    <cellStyle name="Normal 3 6 2 4 2 5 3" xfId="14021"/>
    <cellStyle name="Normal 3 6 2 4 2 5 3 2" xfId="14022"/>
    <cellStyle name="Normal 3 6 2 4 2 5 3 2 2" xfId="14023"/>
    <cellStyle name="Normal 3 6 2 4 2 5 3 3" xfId="14024"/>
    <cellStyle name="Normal 3 6 2 4 2 5 3 3 2" xfId="14025"/>
    <cellStyle name="Normal 3 6 2 4 2 5 3 4" xfId="14026"/>
    <cellStyle name="Normal 3 6 2 4 2 5 3 4 2" xfId="14027"/>
    <cellStyle name="Normal 3 6 2 4 2 5 3 5" xfId="14028"/>
    <cellStyle name="Normal 3 6 2 4 2 5 4" xfId="14029"/>
    <cellStyle name="Normal 3 6 2 4 2 5 4 2" xfId="14030"/>
    <cellStyle name="Normal 3 6 2 4 2 5 4 2 2" xfId="14031"/>
    <cellStyle name="Normal 3 6 2 4 2 5 4 3" xfId="14032"/>
    <cellStyle name="Normal 3 6 2 4 2 5 4 3 2" xfId="14033"/>
    <cellStyle name="Normal 3 6 2 4 2 5 4 4" xfId="14034"/>
    <cellStyle name="Normal 3 6 2 4 2 5 4 4 2" xfId="14035"/>
    <cellStyle name="Normal 3 6 2 4 2 5 4 5" xfId="14036"/>
    <cellStyle name="Normal 3 6 2 4 2 5 5" xfId="14037"/>
    <cellStyle name="Normal 3 6 2 4 2 5 5 2" xfId="14038"/>
    <cellStyle name="Normal 3 6 2 4 2 5 6" xfId="14039"/>
    <cellStyle name="Normal 3 6 2 4 2 5 6 2" xfId="14040"/>
    <cellStyle name="Normal 3 6 2 4 2 5 7" xfId="14041"/>
    <cellStyle name="Normal 3 6 2 4 2 5 7 2" xfId="14042"/>
    <cellStyle name="Normal 3 6 2 4 2 5 8" xfId="14043"/>
    <cellStyle name="Normal 3 6 2 4 2 6" xfId="14044"/>
    <cellStyle name="Normal 3 6 2 4 2 6 2" xfId="14045"/>
    <cellStyle name="Normal 3 6 2 4 2 6 2 2" xfId="14046"/>
    <cellStyle name="Normal 3 6 2 4 2 6 2 2 2" xfId="14047"/>
    <cellStyle name="Normal 3 6 2 4 2 6 2 2 2 2" xfId="14048"/>
    <cellStyle name="Normal 3 6 2 4 2 6 2 2 3" xfId="14049"/>
    <cellStyle name="Normal 3 6 2 4 2 6 2 2 3 2" xfId="14050"/>
    <cellStyle name="Normal 3 6 2 4 2 6 2 2 4" xfId="14051"/>
    <cellStyle name="Normal 3 6 2 4 2 6 2 2 4 2" xfId="14052"/>
    <cellStyle name="Normal 3 6 2 4 2 6 2 2 5" xfId="14053"/>
    <cellStyle name="Normal 3 6 2 4 2 6 2 3" xfId="14054"/>
    <cellStyle name="Normal 3 6 2 4 2 6 2 3 2" xfId="14055"/>
    <cellStyle name="Normal 3 6 2 4 2 6 2 3 2 2" xfId="14056"/>
    <cellStyle name="Normal 3 6 2 4 2 6 2 3 3" xfId="14057"/>
    <cellStyle name="Normal 3 6 2 4 2 6 2 3 3 2" xfId="14058"/>
    <cellStyle name="Normal 3 6 2 4 2 6 2 3 4" xfId="14059"/>
    <cellStyle name="Normal 3 6 2 4 2 6 2 3 4 2" xfId="14060"/>
    <cellStyle name="Normal 3 6 2 4 2 6 2 3 5" xfId="14061"/>
    <cellStyle name="Normal 3 6 2 4 2 6 2 4" xfId="14062"/>
    <cellStyle name="Normal 3 6 2 4 2 6 2 4 2" xfId="14063"/>
    <cellStyle name="Normal 3 6 2 4 2 6 2 5" xfId="14064"/>
    <cellStyle name="Normal 3 6 2 4 2 6 2 5 2" xfId="14065"/>
    <cellStyle name="Normal 3 6 2 4 2 6 2 6" xfId="14066"/>
    <cellStyle name="Normal 3 6 2 4 2 6 2 6 2" xfId="14067"/>
    <cellStyle name="Normal 3 6 2 4 2 6 2 7" xfId="14068"/>
    <cellStyle name="Normal 3 6 2 4 2 6 3" xfId="14069"/>
    <cellStyle name="Normal 3 6 2 4 2 6 3 2" xfId="14070"/>
    <cellStyle name="Normal 3 6 2 4 2 6 3 2 2" xfId="14071"/>
    <cellStyle name="Normal 3 6 2 4 2 6 3 3" xfId="14072"/>
    <cellStyle name="Normal 3 6 2 4 2 6 3 3 2" xfId="14073"/>
    <cellStyle name="Normal 3 6 2 4 2 6 3 4" xfId="14074"/>
    <cellStyle name="Normal 3 6 2 4 2 6 3 4 2" xfId="14075"/>
    <cellStyle name="Normal 3 6 2 4 2 6 3 5" xfId="14076"/>
    <cellStyle name="Normal 3 6 2 4 2 6 4" xfId="14077"/>
    <cellStyle name="Normal 3 6 2 4 2 6 4 2" xfId="14078"/>
    <cellStyle name="Normal 3 6 2 4 2 6 4 2 2" xfId="14079"/>
    <cellStyle name="Normal 3 6 2 4 2 6 4 3" xfId="14080"/>
    <cellStyle name="Normal 3 6 2 4 2 6 4 3 2" xfId="14081"/>
    <cellStyle name="Normal 3 6 2 4 2 6 4 4" xfId="14082"/>
    <cellStyle name="Normal 3 6 2 4 2 6 4 4 2" xfId="14083"/>
    <cellStyle name="Normal 3 6 2 4 2 6 4 5" xfId="14084"/>
    <cellStyle name="Normal 3 6 2 4 2 6 5" xfId="14085"/>
    <cellStyle name="Normal 3 6 2 4 2 6 5 2" xfId="14086"/>
    <cellStyle name="Normal 3 6 2 4 2 6 6" xfId="14087"/>
    <cellStyle name="Normal 3 6 2 4 2 6 6 2" xfId="14088"/>
    <cellStyle name="Normal 3 6 2 4 2 6 7" xfId="14089"/>
    <cellStyle name="Normal 3 6 2 4 2 6 7 2" xfId="14090"/>
    <cellStyle name="Normal 3 6 2 4 2 6 8" xfId="14091"/>
    <cellStyle name="Normal 3 6 2 4 2 7" xfId="14092"/>
    <cellStyle name="Normal 3 6 2 4 2 7 2" xfId="14093"/>
    <cellStyle name="Normal 3 6 2 4 2 7 2 2" xfId="14094"/>
    <cellStyle name="Normal 3 6 2 4 2 7 2 2 2" xfId="14095"/>
    <cellStyle name="Normal 3 6 2 4 2 7 2 3" xfId="14096"/>
    <cellStyle name="Normal 3 6 2 4 2 7 2 3 2" xfId="14097"/>
    <cellStyle name="Normal 3 6 2 4 2 7 2 4" xfId="14098"/>
    <cellStyle name="Normal 3 6 2 4 2 7 2 4 2" xfId="14099"/>
    <cellStyle name="Normal 3 6 2 4 2 7 2 5" xfId="14100"/>
    <cellStyle name="Normal 3 6 2 4 2 7 3" xfId="14101"/>
    <cellStyle name="Normal 3 6 2 4 2 7 3 2" xfId="14102"/>
    <cellStyle name="Normal 3 6 2 4 2 7 3 2 2" xfId="14103"/>
    <cellStyle name="Normal 3 6 2 4 2 7 3 3" xfId="14104"/>
    <cellStyle name="Normal 3 6 2 4 2 7 3 3 2" xfId="14105"/>
    <cellStyle name="Normal 3 6 2 4 2 7 3 4" xfId="14106"/>
    <cellStyle name="Normal 3 6 2 4 2 7 3 4 2" xfId="14107"/>
    <cellStyle name="Normal 3 6 2 4 2 7 3 5" xfId="14108"/>
    <cellStyle name="Normal 3 6 2 4 2 7 4" xfId="14109"/>
    <cellStyle name="Normal 3 6 2 4 2 7 4 2" xfId="14110"/>
    <cellStyle name="Normal 3 6 2 4 2 7 5" xfId="14111"/>
    <cellStyle name="Normal 3 6 2 4 2 7 5 2" xfId="14112"/>
    <cellStyle name="Normal 3 6 2 4 2 7 6" xfId="14113"/>
    <cellStyle name="Normal 3 6 2 4 2 7 6 2" xfId="14114"/>
    <cellStyle name="Normal 3 6 2 4 2 7 7" xfId="14115"/>
    <cellStyle name="Normal 3 6 2 4 2 8" xfId="14116"/>
    <cellStyle name="Normal 3 6 2 4 2 8 2" xfId="14117"/>
    <cellStyle name="Normal 3 6 2 4 2 8 2 2" xfId="14118"/>
    <cellStyle name="Normal 3 6 2 4 2 8 3" xfId="14119"/>
    <cellStyle name="Normal 3 6 2 4 2 8 3 2" xfId="14120"/>
    <cellStyle name="Normal 3 6 2 4 2 8 4" xfId="14121"/>
    <cellStyle name="Normal 3 6 2 4 2 8 4 2" xfId="14122"/>
    <cellStyle name="Normal 3 6 2 4 2 8 5" xfId="14123"/>
    <cellStyle name="Normal 3 6 2 4 2 9" xfId="14124"/>
    <cellStyle name="Normal 3 6 2 4 2 9 2" xfId="14125"/>
    <cellStyle name="Normal 3 6 2 4 2 9 2 2" xfId="14126"/>
    <cellStyle name="Normal 3 6 2 4 2 9 3" xfId="14127"/>
    <cellStyle name="Normal 3 6 2 4 2 9 3 2" xfId="14128"/>
    <cellStyle name="Normal 3 6 2 4 2 9 4" xfId="14129"/>
    <cellStyle name="Normal 3 6 2 4 2 9 4 2" xfId="14130"/>
    <cellStyle name="Normal 3 6 2 4 2 9 5" xfId="14131"/>
    <cellStyle name="Normal 3 6 2 4 3" xfId="14132"/>
    <cellStyle name="Normal 3 6 2 4 3 2" xfId="14133"/>
    <cellStyle name="Normal 3 6 2 4 3 2 2" xfId="14134"/>
    <cellStyle name="Normal 3 6 2 4 3 2 2 2" xfId="14135"/>
    <cellStyle name="Normal 3 6 2 4 3 2 2 2 2" xfId="14136"/>
    <cellStyle name="Normal 3 6 2 4 3 2 2 3" xfId="14137"/>
    <cellStyle name="Normal 3 6 2 4 3 2 2 3 2" xfId="14138"/>
    <cellStyle name="Normal 3 6 2 4 3 2 2 4" xfId="14139"/>
    <cellStyle name="Normal 3 6 2 4 3 2 2 4 2" xfId="14140"/>
    <cellStyle name="Normal 3 6 2 4 3 2 2 5" xfId="14141"/>
    <cellStyle name="Normal 3 6 2 4 3 2 3" xfId="14142"/>
    <cellStyle name="Normal 3 6 2 4 3 2 3 2" xfId="14143"/>
    <cellStyle name="Normal 3 6 2 4 3 2 3 2 2" xfId="14144"/>
    <cellStyle name="Normal 3 6 2 4 3 2 3 3" xfId="14145"/>
    <cellStyle name="Normal 3 6 2 4 3 2 3 3 2" xfId="14146"/>
    <cellStyle name="Normal 3 6 2 4 3 2 3 4" xfId="14147"/>
    <cellStyle name="Normal 3 6 2 4 3 2 3 4 2" xfId="14148"/>
    <cellStyle name="Normal 3 6 2 4 3 2 3 5" xfId="14149"/>
    <cellStyle name="Normal 3 6 2 4 3 2 4" xfId="14150"/>
    <cellStyle name="Normal 3 6 2 4 3 2 4 2" xfId="14151"/>
    <cellStyle name="Normal 3 6 2 4 3 2 5" xfId="14152"/>
    <cellStyle name="Normal 3 6 2 4 3 2 5 2" xfId="14153"/>
    <cellStyle name="Normal 3 6 2 4 3 2 6" xfId="14154"/>
    <cellStyle name="Normal 3 6 2 4 3 2 6 2" xfId="14155"/>
    <cellStyle name="Normal 3 6 2 4 3 2 7" xfId="14156"/>
    <cellStyle name="Normal 3 6 2 4 3 3" xfId="14157"/>
    <cellStyle name="Normal 3 6 2 4 3 3 2" xfId="14158"/>
    <cellStyle name="Normal 3 6 2 4 3 3 2 2" xfId="14159"/>
    <cellStyle name="Normal 3 6 2 4 3 3 3" xfId="14160"/>
    <cellStyle name="Normal 3 6 2 4 3 3 3 2" xfId="14161"/>
    <cellStyle name="Normal 3 6 2 4 3 3 4" xfId="14162"/>
    <cellStyle name="Normal 3 6 2 4 3 3 4 2" xfId="14163"/>
    <cellStyle name="Normal 3 6 2 4 3 3 5" xfId="14164"/>
    <cellStyle name="Normal 3 6 2 4 3 4" xfId="14165"/>
    <cellStyle name="Normal 3 6 2 4 3 4 2" xfId="14166"/>
    <cellStyle name="Normal 3 6 2 4 3 4 2 2" xfId="14167"/>
    <cellStyle name="Normal 3 6 2 4 3 4 3" xfId="14168"/>
    <cellStyle name="Normal 3 6 2 4 3 4 3 2" xfId="14169"/>
    <cellStyle name="Normal 3 6 2 4 3 4 4" xfId="14170"/>
    <cellStyle name="Normal 3 6 2 4 3 4 4 2" xfId="14171"/>
    <cellStyle name="Normal 3 6 2 4 3 4 5" xfId="14172"/>
    <cellStyle name="Normal 3 6 2 4 3 5" xfId="14173"/>
    <cellStyle name="Normal 3 6 2 4 3 5 2" xfId="14174"/>
    <cellStyle name="Normal 3 6 2 4 3 6" xfId="14175"/>
    <cellStyle name="Normal 3 6 2 4 3 6 2" xfId="14176"/>
    <cellStyle name="Normal 3 6 2 4 3 7" xfId="14177"/>
    <cellStyle name="Normal 3 6 2 4 3 7 2" xfId="14178"/>
    <cellStyle name="Normal 3 6 2 4 3 8" xfId="14179"/>
    <cellStyle name="Normal 3 6 2 4 4" xfId="14180"/>
    <cellStyle name="Normal 3 6 2 4 4 2" xfId="14181"/>
    <cellStyle name="Normal 3 6 2 4 4 2 2" xfId="14182"/>
    <cellStyle name="Normal 3 6 2 4 4 2 2 2" xfId="14183"/>
    <cellStyle name="Normal 3 6 2 4 4 2 2 2 2" xfId="14184"/>
    <cellStyle name="Normal 3 6 2 4 4 2 2 3" xfId="14185"/>
    <cellStyle name="Normal 3 6 2 4 4 2 2 3 2" xfId="14186"/>
    <cellStyle name="Normal 3 6 2 4 4 2 2 4" xfId="14187"/>
    <cellStyle name="Normal 3 6 2 4 4 2 2 4 2" xfId="14188"/>
    <cellStyle name="Normal 3 6 2 4 4 2 2 5" xfId="14189"/>
    <cellStyle name="Normal 3 6 2 4 4 2 3" xfId="14190"/>
    <cellStyle name="Normal 3 6 2 4 4 2 3 2" xfId="14191"/>
    <cellStyle name="Normal 3 6 2 4 4 2 3 2 2" xfId="14192"/>
    <cellStyle name="Normal 3 6 2 4 4 2 3 3" xfId="14193"/>
    <cellStyle name="Normal 3 6 2 4 4 2 3 3 2" xfId="14194"/>
    <cellStyle name="Normal 3 6 2 4 4 2 3 4" xfId="14195"/>
    <cellStyle name="Normal 3 6 2 4 4 2 3 4 2" xfId="14196"/>
    <cellStyle name="Normal 3 6 2 4 4 2 3 5" xfId="14197"/>
    <cellStyle name="Normal 3 6 2 4 4 2 4" xfId="14198"/>
    <cellStyle name="Normal 3 6 2 4 4 2 4 2" xfId="14199"/>
    <cellStyle name="Normal 3 6 2 4 4 2 5" xfId="14200"/>
    <cellStyle name="Normal 3 6 2 4 4 2 5 2" xfId="14201"/>
    <cellStyle name="Normal 3 6 2 4 4 2 6" xfId="14202"/>
    <cellStyle name="Normal 3 6 2 4 4 2 6 2" xfId="14203"/>
    <cellStyle name="Normal 3 6 2 4 4 2 7" xfId="14204"/>
    <cellStyle name="Normal 3 6 2 4 4 3" xfId="14205"/>
    <cellStyle name="Normal 3 6 2 4 4 3 2" xfId="14206"/>
    <cellStyle name="Normal 3 6 2 4 4 3 2 2" xfId="14207"/>
    <cellStyle name="Normal 3 6 2 4 4 3 3" xfId="14208"/>
    <cellStyle name="Normal 3 6 2 4 4 3 3 2" xfId="14209"/>
    <cellStyle name="Normal 3 6 2 4 4 3 4" xfId="14210"/>
    <cellStyle name="Normal 3 6 2 4 4 3 4 2" xfId="14211"/>
    <cellStyle name="Normal 3 6 2 4 4 3 5" xfId="14212"/>
    <cellStyle name="Normal 3 6 2 4 4 4" xfId="14213"/>
    <cellStyle name="Normal 3 6 2 4 4 4 2" xfId="14214"/>
    <cellStyle name="Normal 3 6 2 4 4 4 2 2" xfId="14215"/>
    <cellStyle name="Normal 3 6 2 4 4 4 3" xfId="14216"/>
    <cellStyle name="Normal 3 6 2 4 4 4 3 2" xfId="14217"/>
    <cellStyle name="Normal 3 6 2 4 4 4 4" xfId="14218"/>
    <cellStyle name="Normal 3 6 2 4 4 4 4 2" xfId="14219"/>
    <cellStyle name="Normal 3 6 2 4 4 4 5" xfId="14220"/>
    <cellStyle name="Normal 3 6 2 4 4 5" xfId="14221"/>
    <cellStyle name="Normal 3 6 2 4 4 5 2" xfId="14222"/>
    <cellStyle name="Normal 3 6 2 4 4 6" xfId="14223"/>
    <cellStyle name="Normal 3 6 2 4 4 6 2" xfId="14224"/>
    <cellStyle name="Normal 3 6 2 4 4 7" xfId="14225"/>
    <cellStyle name="Normal 3 6 2 4 4 7 2" xfId="14226"/>
    <cellStyle name="Normal 3 6 2 4 4 8" xfId="14227"/>
    <cellStyle name="Normal 3 6 2 4 5" xfId="14228"/>
    <cellStyle name="Normal 3 6 2 4 5 2" xfId="14229"/>
    <cellStyle name="Normal 3 6 2 4 5 2 2" xfId="14230"/>
    <cellStyle name="Normal 3 6 2 4 5 2 2 2" xfId="14231"/>
    <cellStyle name="Normal 3 6 2 4 5 2 2 2 2" xfId="14232"/>
    <cellStyle name="Normal 3 6 2 4 5 2 2 3" xfId="14233"/>
    <cellStyle name="Normal 3 6 2 4 5 2 2 3 2" xfId="14234"/>
    <cellStyle name="Normal 3 6 2 4 5 2 2 4" xfId="14235"/>
    <cellStyle name="Normal 3 6 2 4 5 2 2 4 2" xfId="14236"/>
    <cellStyle name="Normal 3 6 2 4 5 2 2 5" xfId="14237"/>
    <cellStyle name="Normal 3 6 2 4 5 2 3" xfId="14238"/>
    <cellStyle name="Normal 3 6 2 4 5 2 3 2" xfId="14239"/>
    <cellStyle name="Normal 3 6 2 4 5 2 3 2 2" xfId="14240"/>
    <cellStyle name="Normal 3 6 2 4 5 2 3 3" xfId="14241"/>
    <cellStyle name="Normal 3 6 2 4 5 2 3 3 2" xfId="14242"/>
    <cellStyle name="Normal 3 6 2 4 5 2 3 4" xfId="14243"/>
    <cellStyle name="Normal 3 6 2 4 5 2 3 4 2" xfId="14244"/>
    <cellStyle name="Normal 3 6 2 4 5 2 3 5" xfId="14245"/>
    <cellStyle name="Normal 3 6 2 4 5 2 4" xfId="14246"/>
    <cellStyle name="Normal 3 6 2 4 5 2 4 2" xfId="14247"/>
    <cellStyle name="Normal 3 6 2 4 5 2 5" xfId="14248"/>
    <cellStyle name="Normal 3 6 2 4 5 2 5 2" xfId="14249"/>
    <cellStyle name="Normal 3 6 2 4 5 2 6" xfId="14250"/>
    <cellStyle name="Normal 3 6 2 4 5 2 6 2" xfId="14251"/>
    <cellStyle name="Normal 3 6 2 4 5 2 7" xfId="14252"/>
    <cellStyle name="Normal 3 6 2 4 5 3" xfId="14253"/>
    <cellStyle name="Normal 3 6 2 4 5 3 2" xfId="14254"/>
    <cellStyle name="Normal 3 6 2 4 5 3 2 2" xfId="14255"/>
    <cellStyle name="Normal 3 6 2 4 5 3 3" xfId="14256"/>
    <cellStyle name="Normal 3 6 2 4 5 3 3 2" xfId="14257"/>
    <cellStyle name="Normal 3 6 2 4 5 3 4" xfId="14258"/>
    <cellStyle name="Normal 3 6 2 4 5 3 4 2" xfId="14259"/>
    <cellStyle name="Normal 3 6 2 4 5 3 5" xfId="14260"/>
    <cellStyle name="Normal 3 6 2 4 5 4" xfId="14261"/>
    <cellStyle name="Normal 3 6 2 4 5 4 2" xfId="14262"/>
    <cellStyle name="Normal 3 6 2 4 5 4 2 2" xfId="14263"/>
    <cellStyle name="Normal 3 6 2 4 5 4 3" xfId="14264"/>
    <cellStyle name="Normal 3 6 2 4 5 4 3 2" xfId="14265"/>
    <cellStyle name="Normal 3 6 2 4 5 4 4" xfId="14266"/>
    <cellStyle name="Normal 3 6 2 4 5 4 4 2" xfId="14267"/>
    <cellStyle name="Normal 3 6 2 4 5 4 5" xfId="14268"/>
    <cellStyle name="Normal 3 6 2 4 5 5" xfId="14269"/>
    <cellStyle name="Normal 3 6 2 4 5 5 2" xfId="14270"/>
    <cellStyle name="Normal 3 6 2 4 5 6" xfId="14271"/>
    <cellStyle name="Normal 3 6 2 4 5 6 2" xfId="14272"/>
    <cellStyle name="Normal 3 6 2 4 5 7" xfId="14273"/>
    <cellStyle name="Normal 3 6 2 4 5 7 2" xfId="14274"/>
    <cellStyle name="Normal 3 6 2 4 5 8" xfId="14275"/>
    <cellStyle name="Normal 3 6 2 4 6" xfId="14276"/>
    <cellStyle name="Normal 3 6 2 4 6 2" xfId="14277"/>
    <cellStyle name="Normal 3 6 2 4 6 2 2" xfId="14278"/>
    <cellStyle name="Normal 3 6 2 4 6 2 2 2" xfId="14279"/>
    <cellStyle name="Normal 3 6 2 4 6 2 2 2 2" xfId="14280"/>
    <cellStyle name="Normal 3 6 2 4 6 2 2 3" xfId="14281"/>
    <cellStyle name="Normal 3 6 2 4 6 2 2 3 2" xfId="14282"/>
    <cellStyle name="Normal 3 6 2 4 6 2 2 4" xfId="14283"/>
    <cellStyle name="Normal 3 6 2 4 6 2 2 4 2" xfId="14284"/>
    <cellStyle name="Normal 3 6 2 4 6 2 2 5" xfId="14285"/>
    <cellStyle name="Normal 3 6 2 4 6 2 3" xfId="14286"/>
    <cellStyle name="Normal 3 6 2 4 6 2 3 2" xfId="14287"/>
    <cellStyle name="Normal 3 6 2 4 6 2 3 2 2" xfId="14288"/>
    <cellStyle name="Normal 3 6 2 4 6 2 3 3" xfId="14289"/>
    <cellStyle name="Normal 3 6 2 4 6 2 3 3 2" xfId="14290"/>
    <cellStyle name="Normal 3 6 2 4 6 2 3 4" xfId="14291"/>
    <cellStyle name="Normal 3 6 2 4 6 2 3 4 2" xfId="14292"/>
    <cellStyle name="Normal 3 6 2 4 6 2 3 5" xfId="14293"/>
    <cellStyle name="Normal 3 6 2 4 6 2 4" xfId="14294"/>
    <cellStyle name="Normal 3 6 2 4 6 2 4 2" xfId="14295"/>
    <cellStyle name="Normal 3 6 2 4 6 2 5" xfId="14296"/>
    <cellStyle name="Normal 3 6 2 4 6 2 5 2" xfId="14297"/>
    <cellStyle name="Normal 3 6 2 4 6 2 6" xfId="14298"/>
    <cellStyle name="Normal 3 6 2 4 6 2 6 2" xfId="14299"/>
    <cellStyle name="Normal 3 6 2 4 6 2 7" xfId="14300"/>
    <cellStyle name="Normal 3 6 2 4 6 3" xfId="14301"/>
    <cellStyle name="Normal 3 6 2 4 6 3 2" xfId="14302"/>
    <cellStyle name="Normal 3 6 2 4 6 3 2 2" xfId="14303"/>
    <cellStyle name="Normal 3 6 2 4 6 3 3" xfId="14304"/>
    <cellStyle name="Normal 3 6 2 4 6 3 3 2" xfId="14305"/>
    <cellStyle name="Normal 3 6 2 4 6 3 4" xfId="14306"/>
    <cellStyle name="Normal 3 6 2 4 6 3 4 2" xfId="14307"/>
    <cellStyle name="Normal 3 6 2 4 6 3 5" xfId="14308"/>
    <cellStyle name="Normal 3 6 2 4 6 4" xfId="14309"/>
    <cellStyle name="Normal 3 6 2 4 6 4 2" xfId="14310"/>
    <cellStyle name="Normal 3 6 2 4 6 4 2 2" xfId="14311"/>
    <cellStyle name="Normal 3 6 2 4 6 4 3" xfId="14312"/>
    <cellStyle name="Normal 3 6 2 4 6 4 3 2" xfId="14313"/>
    <cellStyle name="Normal 3 6 2 4 6 4 4" xfId="14314"/>
    <cellStyle name="Normal 3 6 2 4 6 4 4 2" xfId="14315"/>
    <cellStyle name="Normal 3 6 2 4 6 4 5" xfId="14316"/>
    <cellStyle name="Normal 3 6 2 4 6 5" xfId="14317"/>
    <cellStyle name="Normal 3 6 2 4 6 5 2" xfId="14318"/>
    <cellStyle name="Normal 3 6 2 4 6 6" xfId="14319"/>
    <cellStyle name="Normal 3 6 2 4 6 6 2" xfId="14320"/>
    <cellStyle name="Normal 3 6 2 4 6 7" xfId="14321"/>
    <cellStyle name="Normal 3 6 2 4 6 7 2" xfId="14322"/>
    <cellStyle name="Normal 3 6 2 4 6 8" xfId="14323"/>
    <cellStyle name="Normal 3 6 2 4 7" xfId="14324"/>
    <cellStyle name="Normal 3 6 2 4 7 2" xfId="14325"/>
    <cellStyle name="Normal 3 6 2 4 7 2 2" xfId="14326"/>
    <cellStyle name="Normal 3 6 2 4 7 2 2 2" xfId="14327"/>
    <cellStyle name="Normal 3 6 2 4 7 2 2 2 2" xfId="14328"/>
    <cellStyle name="Normal 3 6 2 4 7 2 2 3" xfId="14329"/>
    <cellStyle name="Normal 3 6 2 4 7 2 2 3 2" xfId="14330"/>
    <cellStyle name="Normal 3 6 2 4 7 2 2 4" xfId="14331"/>
    <cellStyle name="Normal 3 6 2 4 7 2 2 4 2" xfId="14332"/>
    <cellStyle name="Normal 3 6 2 4 7 2 2 5" xfId="14333"/>
    <cellStyle name="Normal 3 6 2 4 7 2 3" xfId="14334"/>
    <cellStyle name="Normal 3 6 2 4 7 2 3 2" xfId="14335"/>
    <cellStyle name="Normal 3 6 2 4 7 2 3 2 2" xfId="14336"/>
    <cellStyle name="Normal 3 6 2 4 7 2 3 3" xfId="14337"/>
    <cellStyle name="Normal 3 6 2 4 7 2 3 3 2" xfId="14338"/>
    <cellStyle name="Normal 3 6 2 4 7 2 3 4" xfId="14339"/>
    <cellStyle name="Normal 3 6 2 4 7 2 3 4 2" xfId="14340"/>
    <cellStyle name="Normal 3 6 2 4 7 2 3 5" xfId="14341"/>
    <cellStyle name="Normal 3 6 2 4 7 2 4" xfId="14342"/>
    <cellStyle name="Normal 3 6 2 4 7 2 4 2" xfId="14343"/>
    <cellStyle name="Normal 3 6 2 4 7 2 5" xfId="14344"/>
    <cellStyle name="Normal 3 6 2 4 7 2 5 2" xfId="14345"/>
    <cellStyle name="Normal 3 6 2 4 7 2 6" xfId="14346"/>
    <cellStyle name="Normal 3 6 2 4 7 2 6 2" xfId="14347"/>
    <cellStyle name="Normal 3 6 2 4 7 2 7" xfId="14348"/>
    <cellStyle name="Normal 3 6 2 4 7 3" xfId="14349"/>
    <cellStyle name="Normal 3 6 2 4 7 3 2" xfId="14350"/>
    <cellStyle name="Normal 3 6 2 4 7 3 2 2" xfId="14351"/>
    <cellStyle name="Normal 3 6 2 4 7 3 3" xfId="14352"/>
    <cellStyle name="Normal 3 6 2 4 7 3 3 2" xfId="14353"/>
    <cellStyle name="Normal 3 6 2 4 7 3 4" xfId="14354"/>
    <cellStyle name="Normal 3 6 2 4 7 3 4 2" xfId="14355"/>
    <cellStyle name="Normal 3 6 2 4 7 3 5" xfId="14356"/>
    <cellStyle name="Normal 3 6 2 4 7 4" xfId="14357"/>
    <cellStyle name="Normal 3 6 2 4 7 4 2" xfId="14358"/>
    <cellStyle name="Normal 3 6 2 4 7 4 2 2" xfId="14359"/>
    <cellStyle name="Normal 3 6 2 4 7 4 3" xfId="14360"/>
    <cellStyle name="Normal 3 6 2 4 7 4 3 2" xfId="14361"/>
    <cellStyle name="Normal 3 6 2 4 7 4 4" xfId="14362"/>
    <cellStyle name="Normal 3 6 2 4 7 4 4 2" xfId="14363"/>
    <cellStyle name="Normal 3 6 2 4 7 4 5" xfId="14364"/>
    <cellStyle name="Normal 3 6 2 4 7 5" xfId="14365"/>
    <cellStyle name="Normal 3 6 2 4 7 5 2" xfId="14366"/>
    <cellStyle name="Normal 3 6 2 4 7 6" xfId="14367"/>
    <cellStyle name="Normal 3 6 2 4 7 6 2" xfId="14368"/>
    <cellStyle name="Normal 3 6 2 4 7 7" xfId="14369"/>
    <cellStyle name="Normal 3 6 2 4 7 7 2" xfId="14370"/>
    <cellStyle name="Normal 3 6 2 4 7 8" xfId="14371"/>
    <cellStyle name="Normal 3 6 2 4 8" xfId="14372"/>
    <cellStyle name="Normal 3 6 2 4 8 2" xfId="14373"/>
    <cellStyle name="Normal 3 6 2 4 8 2 2" xfId="14374"/>
    <cellStyle name="Normal 3 6 2 4 8 2 2 2" xfId="14375"/>
    <cellStyle name="Normal 3 6 2 4 8 2 3" xfId="14376"/>
    <cellStyle name="Normal 3 6 2 4 8 2 3 2" xfId="14377"/>
    <cellStyle name="Normal 3 6 2 4 8 2 4" xfId="14378"/>
    <cellStyle name="Normal 3 6 2 4 8 2 4 2" xfId="14379"/>
    <cellStyle name="Normal 3 6 2 4 8 2 5" xfId="14380"/>
    <cellStyle name="Normal 3 6 2 4 8 3" xfId="14381"/>
    <cellStyle name="Normal 3 6 2 4 8 3 2" xfId="14382"/>
    <cellStyle name="Normal 3 6 2 4 8 3 2 2" xfId="14383"/>
    <cellStyle name="Normal 3 6 2 4 8 3 3" xfId="14384"/>
    <cellStyle name="Normal 3 6 2 4 8 3 3 2" xfId="14385"/>
    <cellStyle name="Normal 3 6 2 4 8 3 4" xfId="14386"/>
    <cellStyle name="Normal 3 6 2 4 8 3 4 2" xfId="14387"/>
    <cellStyle name="Normal 3 6 2 4 8 3 5" xfId="14388"/>
    <cellStyle name="Normal 3 6 2 4 8 4" xfId="14389"/>
    <cellStyle name="Normal 3 6 2 4 8 4 2" xfId="14390"/>
    <cellStyle name="Normal 3 6 2 4 8 5" xfId="14391"/>
    <cellStyle name="Normal 3 6 2 4 8 5 2" xfId="14392"/>
    <cellStyle name="Normal 3 6 2 4 8 6" xfId="14393"/>
    <cellStyle name="Normal 3 6 2 4 8 6 2" xfId="14394"/>
    <cellStyle name="Normal 3 6 2 4 8 7" xfId="14395"/>
    <cellStyle name="Normal 3 6 2 4 9" xfId="14396"/>
    <cellStyle name="Normal 3 6 2 4 9 2" xfId="14397"/>
    <cellStyle name="Normal 3 6 2 4 9 2 2" xfId="14398"/>
    <cellStyle name="Normal 3 6 2 4 9 3" xfId="14399"/>
    <cellStyle name="Normal 3 6 2 4 9 3 2" xfId="14400"/>
    <cellStyle name="Normal 3 6 2 4 9 4" xfId="14401"/>
    <cellStyle name="Normal 3 6 2 4 9 4 2" xfId="14402"/>
    <cellStyle name="Normal 3 6 2 4 9 5" xfId="14403"/>
    <cellStyle name="Normal 3 6 2 5" xfId="14404"/>
    <cellStyle name="Normal 3 6 2 5 10" xfId="14405"/>
    <cellStyle name="Normal 3 6 2 5 10 2" xfId="14406"/>
    <cellStyle name="Normal 3 6 2 5 10 2 2" xfId="14407"/>
    <cellStyle name="Normal 3 6 2 5 10 3" xfId="14408"/>
    <cellStyle name="Normal 3 6 2 5 10 3 2" xfId="14409"/>
    <cellStyle name="Normal 3 6 2 5 10 4" xfId="14410"/>
    <cellStyle name="Normal 3 6 2 5 10 4 2" xfId="14411"/>
    <cellStyle name="Normal 3 6 2 5 10 5" xfId="14412"/>
    <cellStyle name="Normal 3 6 2 5 11" xfId="14413"/>
    <cellStyle name="Normal 3 6 2 5 11 2" xfId="14414"/>
    <cellStyle name="Normal 3 6 2 5 12" xfId="14415"/>
    <cellStyle name="Normal 3 6 2 5 12 2" xfId="14416"/>
    <cellStyle name="Normal 3 6 2 5 13" xfId="14417"/>
    <cellStyle name="Normal 3 6 2 5 13 2" xfId="14418"/>
    <cellStyle name="Normal 3 6 2 5 14" xfId="14419"/>
    <cellStyle name="Normal 3 6 2 5 2" xfId="14420"/>
    <cellStyle name="Normal 3 6 2 5 2 10" xfId="14421"/>
    <cellStyle name="Normal 3 6 2 5 2 10 2" xfId="14422"/>
    <cellStyle name="Normal 3 6 2 5 2 11" xfId="14423"/>
    <cellStyle name="Normal 3 6 2 5 2 11 2" xfId="14424"/>
    <cellStyle name="Normal 3 6 2 5 2 12" xfId="14425"/>
    <cellStyle name="Normal 3 6 2 5 2 12 2" xfId="14426"/>
    <cellStyle name="Normal 3 6 2 5 2 13" xfId="14427"/>
    <cellStyle name="Normal 3 6 2 5 2 2" xfId="14428"/>
    <cellStyle name="Normal 3 6 2 5 2 2 2" xfId="14429"/>
    <cellStyle name="Normal 3 6 2 5 2 2 2 2" xfId="14430"/>
    <cellStyle name="Normal 3 6 2 5 2 2 2 2 2" xfId="14431"/>
    <cellStyle name="Normal 3 6 2 5 2 2 2 2 2 2" xfId="14432"/>
    <cellStyle name="Normal 3 6 2 5 2 2 2 2 3" xfId="14433"/>
    <cellStyle name="Normal 3 6 2 5 2 2 2 2 3 2" xfId="14434"/>
    <cellStyle name="Normal 3 6 2 5 2 2 2 2 4" xfId="14435"/>
    <cellStyle name="Normal 3 6 2 5 2 2 2 2 4 2" xfId="14436"/>
    <cellStyle name="Normal 3 6 2 5 2 2 2 2 5" xfId="14437"/>
    <cellStyle name="Normal 3 6 2 5 2 2 2 3" xfId="14438"/>
    <cellStyle name="Normal 3 6 2 5 2 2 2 3 2" xfId="14439"/>
    <cellStyle name="Normal 3 6 2 5 2 2 2 3 2 2" xfId="14440"/>
    <cellStyle name="Normal 3 6 2 5 2 2 2 3 3" xfId="14441"/>
    <cellStyle name="Normal 3 6 2 5 2 2 2 3 3 2" xfId="14442"/>
    <cellStyle name="Normal 3 6 2 5 2 2 2 3 4" xfId="14443"/>
    <cellStyle name="Normal 3 6 2 5 2 2 2 3 4 2" xfId="14444"/>
    <cellStyle name="Normal 3 6 2 5 2 2 2 3 5" xfId="14445"/>
    <cellStyle name="Normal 3 6 2 5 2 2 2 4" xfId="14446"/>
    <cellStyle name="Normal 3 6 2 5 2 2 2 4 2" xfId="14447"/>
    <cellStyle name="Normal 3 6 2 5 2 2 2 5" xfId="14448"/>
    <cellStyle name="Normal 3 6 2 5 2 2 2 5 2" xfId="14449"/>
    <cellStyle name="Normal 3 6 2 5 2 2 2 6" xfId="14450"/>
    <cellStyle name="Normal 3 6 2 5 2 2 2 6 2" xfId="14451"/>
    <cellStyle name="Normal 3 6 2 5 2 2 2 7" xfId="14452"/>
    <cellStyle name="Normal 3 6 2 5 2 2 3" xfId="14453"/>
    <cellStyle name="Normal 3 6 2 5 2 2 3 2" xfId="14454"/>
    <cellStyle name="Normal 3 6 2 5 2 2 3 2 2" xfId="14455"/>
    <cellStyle name="Normal 3 6 2 5 2 2 3 3" xfId="14456"/>
    <cellStyle name="Normal 3 6 2 5 2 2 3 3 2" xfId="14457"/>
    <cellStyle name="Normal 3 6 2 5 2 2 3 4" xfId="14458"/>
    <cellStyle name="Normal 3 6 2 5 2 2 3 4 2" xfId="14459"/>
    <cellStyle name="Normal 3 6 2 5 2 2 3 5" xfId="14460"/>
    <cellStyle name="Normal 3 6 2 5 2 2 4" xfId="14461"/>
    <cellStyle name="Normal 3 6 2 5 2 2 4 2" xfId="14462"/>
    <cellStyle name="Normal 3 6 2 5 2 2 4 2 2" xfId="14463"/>
    <cellStyle name="Normal 3 6 2 5 2 2 4 3" xfId="14464"/>
    <cellStyle name="Normal 3 6 2 5 2 2 4 3 2" xfId="14465"/>
    <cellStyle name="Normal 3 6 2 5 2 2 4 4" xfId="14466"/>
    <cellStyle name="Normal 3 6 2 5 2 2 4 4 2" xfId="14467"/>
    <cellStyle name="Normal 3 6 2 5 2 2 4 5" xfId="14468"/>
    <cellStyle name="Normal 3 6 2 5 2 2 5" xfId="14469"/>
    <cellStyle name="Normal 3 6 2 5 2 2 5 2" xfId="14470"/>
    <cellStyle name="Normal 3 6 2 5 2 2 6" xfId="14471"/>
    <cellStyle name="Normal 3 6 2 5 2 2 6 2" xfId="14472"/>
    <cellStyle name="Normal 3 6 2 5 2 2 7" xfId="14473"/>
    <cellStyle name="Normal 3 6 2 5 2 2 7 2" xfId="14474"/>
    <cellStyle name="Normal 3 6 2 5 2 2 8" xfId="14475"/>
    <cellStyle name="Normal 3 6 2 5 2 3" xfId="14476"/>
    <cellStyle name="Normal 3 6 2 5 2 3 2" xfId="14477"/>
    <cellStyle name="Normal 3 6 2 5 2 3 2 2" xfId="14478"/>
    <cellStyle name="Normal 3 6 2 5 2 3 2 2 2" xfId="14479"/>
    <cellStyle name="Normal 3 6 2 5 2 3 2 2 2 2" xfId="14480"/>
    <cellStyle name="Normal 3 6 2 5 2 3 2 2 3" xfId="14481"/>
    <cellStyle name="Normal 3 6 2 5 2 3 2 2 3 2" xfId="14482"/>
    <cellStyle name="Normal 3 6 2 5 2 3 2 2 4" xfId="14483"/>
    <cellStyle name="Normal 3 6 2 5 2 3 2 2 4 2" xfId="14484"/>
    <cellStyle name="Normal 3 6 2 5 2 3 2 2 5" xfId="14485"/>
    <cellStyle name="Normal 3 6 2 5 2 3 2 3" xfId="14486"/>
    <cellStyle name="Normal 3 6 2 5 2 3 2 3 2" xfId="14487"/>
    <cellStyle name="Normal 3 6 2 5 2 3 2 3 2 2" xfId="14488"/>
    <cellStyle name="Normal 3 6 2 5 2 3 2 3 3" xfId="14489"/>
    <cellStyle name="Normal 3 6 2 5 2 3 2 3 3 2" xfId="14490"/>
    <cellStyle name="Normal 3 6 2 5 2 3 2 3 4" xfId="14491"/>
    <cellStyle name="Normal 3 6 2 5 2 3 2 3 4 2" xfId="14492"/>
    <cellStyle name="Normal 3 6 2 5 2 3 2 3 5" xfId="14493"/>
    <cellStyle name="Normal 3 6 2 5 2 3 2 4" xfId="14494"/>
    <cellStyle name="Normal 3 6 2 5 2 3 2 4 2" xfId="14495"/>
    <cellStyle name="Normal 3 6 2 5 2 3 2 5" xfId="14496"/>
    <cellStyle name="Normal 3 6 2 5 2 3 2 5 2" xfId="14497"/>
    <cellStyle name="Normal 3 6 2 5 2 3 2 6" xfId="14498"/>
    <cellStyle name="Normal 3 6 2 5 2 3 2 6 2" xfId="14499"/>
    <cellStyle name="Normal 3 6 2 5 2 3 2 7" xfId="14500"/>
    <cellStyle name="Normal 3 6 2 5 2 3 3" xfId="14501"/>
    <cellStyle name="Normal 3 6 2 5 2 3 3 2" xfId="14502"/>
    <cellStyle name="Normal 3 6 2 5 2 3 3 2 2" xfId="14503"/>
    <cellStyle name="Normal 3 6 2 5 2 3 3 3" xfId="14504"/>
    <cellStyle name="Normal 3 6 2 5 2 3 3 3 2" xfId="14505"/>
    <cellStyle name="Normal 3 6 2 5 2 3 3 4" xfId="14506"/>
    <cellStyle name="Normal 3 6 2 5 2 3 3 4 2" xfId="14507"/>
    <cellStyle name="Normal 3 6 2 5 2 3 3 5" xfId="14508"/>
    <cellStyle name="Normal 3 6 2 5 2 3 4" xfId="14509"/>
    <cellStyle name="Normal 3 6 2 5 2 3 4 2" xfId="14510"/>
    <cellStyle name="Normal 3 6 2 5 2 3 4 2 2" xfId="14511"/>
    <cellStyle name="Normal 3 6 2 5 2 3 4 3" xfId="14512"/>
    <cellStyle name="Normal 3 6 2 5 2 3 4 3 2" xfId="14513"/>
    <cellStyle name="Normal 3 6 2 5 2 3 4 4" xfId="14514"/>
    <cellStyle name="Normal 3 6 2 5 2 3 4 4 2" xfId="14515"/>
    <cellStyle name="Normal 3 6 2 5 2 3 4 5" xfId="14516"/>
    <cellStyle name="Normal 3 6 2 5 2 3 5" xfId="14517"/>
    <cellStyle name="Normal 3 6 2 5 2 3 5 2" xfId="14518"/>
    <cellStyle name="Normal 3 6 2 5 2 3 6" xfId="14519"/>
    <cellStyle name="Normal 3 6 2 5 2 3 6 2" xfId="14520"/>
    <cellStyle name="Normal 3 6 2 5 2 3 7" xfId="14521"/>
    <cellStyle name="Normal 3 6 2 5 2 3 7 2" xfId="14522"/>
    <cellStyle name="Normal 3 6 2 5 2 3 8" xfId="14523"/>
    <cellStyle name="Normal 3 6 2 5 2 4" xfId="14524"/>
    <cellStyle name="Normal 3 6 2 5 2 4 2" xfId="14525"/>
    <cellStyle name="Normal 3 6 2 5 2 4 2 2" xfId="14526"/>
    <cellStyle name="Normal 3 6 2 5 2 4 2 2 2" xfId="14527"/>
    <cellStyle name="Normal 3 6 2 5 2 4 2 2 2 2" xfId="14528"/>
    <cellStyle name="Normal 3 6 2 5 2 4 2 2 3" xfId="14529"/>
    <cellStyle name="Normal 3 6 2 5 2 4 2 2 3 2" xfId="14530"/>
    <cellStyle name="Normal 3 6 2 5 2 4 2 2 4" xfId="14531"/>
    <cellStyle name="Normal 3 6 2 5 2 4 2 2 4 2" xfId="14532"/>
    <cellStyle name="Normal 3 6 2 5 2 4 2 2 5" xfId="14533"/>
    <cellStyle name="Normal 3 6 2 5 2 4 2 3" xfId="14534"/>
    <cellStyle name="Normal 3 6 2 5 2 4 2 3 2" xfId="14535"/>
    <cellStyle name="Normal 3 6 2 5 2 4 2 3 2 2" xfId="14536"/>
    <cellStyle name="Normal 3 6 2 5 2 4 2 3 3" xfId="14537"/>
    <cellStyle name="Normal 3 6 2 5 2 4 2 3 3 2" xfId="14538"/>
    <cellStyle name="Normal 3 6 2 5 2 4 2 3 4" xfId="14539"/>
    <cellStyle name="Normal 3 6 2 5 2 4 2 3 4 2" xfId="14540"/>
    <cellStyle name="Normal 3 6 2 5 2 4 2 3 5" xfId="14541"/>
    <cellStyle name="Normal 3 6 2 5 2 4 2 4" xfId="14542"/>
    <cellStyle name="Normal 3 6 2 5 2 4 2 4 2" xfId="14543"/>
    <cellStyle name="Normal 3 6 2 5 2 4 2 5" xfId="14544"/>
    <cellStyle name="Normal 3 6 2 5 2 4 2 5 2" xfId="14545"/>
    <cellStyle name="Normal 3 6 2 5 2 4 2 6" xfId="14546"/>
    <cellStyle name="Normal 3 6 2 5 2 4 2 6 2" xfId="14547"/>
    <cellStyle name="Normal 3 6 2 5 2 4 2 7" xfId="14548"/>
    <cellStyle name="Normal 3 6 2 5 2 4 3" xfId="14549"/>
    <cellStyle name="Normal 3 6 2 5 2 4 3 2" xfId="14550"/>
    <cellStyle name="Normal 3 6 2 5 2 4 3 2 2" xfId="14551"/>
    <cellStyle name="Normal 3 6 2 5 2 4 3 3" xfId="14552"/>
    <cellStyle name="Normal 3 6 2 5 2 4 3 3 2" xfId="14553"/>
    <cellStyle name="Normal 3 6 2 5 2 4 3 4" xfId="14554"/>
    <cellStyle name="Normal 3 6 2 5 2 4 3 4 2" xfId="14555"/>
    <cellStyle name="Normal 3 6 2 5 2 4 3 5" xfId="14556"/>
    <cellStyle name="Normal 3 6 2 5 2 4 4" xfId="14557"/>
    <cellStyle name="Normal 3 6 2 5 2 4 4 2" xfId="14558"/>
    <cellStyle name="Normal 3 6 2 5 2 4 4 2 2" xfId="14559"/>
    <cellStyle name="Normal 3 6 2 5 2 4 4 3" xfId="14560"/>
    <cellStyle name="Normal 3 6 2 5 2 4 4 3 2" xfId="14561"/>
    <cellStyle name="Normal 3 6 2 5 2 4 4 4" xfId="14562"/>
    <cellStyle name="Normal 3 6 2 5 2 4 4 4 2" xfId="14563"/>
    <cellStyle name="Normal 3 6 2 5 2 4 4 5" xfId="14564"/>
    <cellStyle name="Normal 3 6 2 5 2 4 5" xfId="14565"/>
    <cellStyle name="Normal 3 6 2 5 2 4 5 2" xfId="14566"/>
    <cellStyle name="Normal 3 6 2 5 2 4 6" xfId="14567"/>
    <cellStyle name="Normal 3 6 2 5 2 4 6 2" xfId="14568"/>
    <cellStyle name="Normal 3 6 2 5 2 4 7" xfId="14569"/>
    <cellStyle name="Normal 3 6 2 5 2 4 7 2" xfId="14570"/>
    <cellStyle name="Normal 3 6 2 5 2 4 8" xfId="14571"/>
    <cellStyle name="Normal 3 6 2 5 2 5" xfId="14572"/>
    <cellStyle name="Normal 3 6 2 5 2 5 2" xfId="14573"/>
    <cellStyle name="Normal 3 6 2 5 2 5 2 2" xfId="14574"/>
    <cellStyle name="Normal 3 6 2 5 2 5 2 2 2" xfId="14575"/>
    <cellStyle name="Normal 3 6 2 5 2 5 2 2 2 2" xfId="14576"/>
    <cellStyle name="Normal 3 6 2 5 2 5 2 2 3" xfId="14577"/>
    <cellStyle name="Normal 3 6 2 5 2 5 2 2 3 2" xfId="14578"/>
    <cellStyle name="Normal 3 6 2 5 2 5 2 2 4" xfId="14579"/>
    <cellStyle name="Normal 3 6 2 5 2 5 2 2 4 2" xfId="14580"/>
    <cellStyle name="Normal 3 6 2 5 2 5 2 2 5" xfId="14581"/>
    <cellStyle name="Normal 3 6 2 5 2 5 2 3" xfId="14582"/>
    <cellStyle name="Normal 3 6 2 5 2 5 2 3 2" xfId="14583"/>
    <cellStyle name="Normal 3 6 2 5 2 5 2 3 2 2" xfId="14584"/>
    <cellStyle name="Normal 3 6 2 5 2 5 2 3 3" xfId="14585"/>
    <cellStyle name="Normal 3 6 2 5 2 5 2 3 3 2" xfId="14586"/>
    <cellStyle name="Normal 3 6 2 5 2 5 2 3 4" xfId="14587"/>
    <cellStyle name="Normal 3 6 2 5 2 5 2 3 4 2" xfId="14588"/>
    <cellStyle name="Normal 3 6 2 5 2 5 2 3 5" xfId="14589"/>
    <cellStyle name="Normal 3 6 2 5 2 5 2 4" xfId="14590"/>
    <cellStyle name="Normal 3 6 2 5 2 5 2 4 2" xfId="14591"/>
    <cellStyle name="Normal 3 6 2 5 2 5 2 5" xfId="14592"/>
    <cellStyle name="Normal 3 6 2 5 2 5 2 5 2" xfId="14593"/>
    <cellStyle name="Normal 3 6 2 5 2 5 2 6" xfId="14594"/>
    <cellStyle name="Normal 3 6 2 5 2 5 2 6 2" xfId="14595"/>
    <cellStyle name="Normal 3 6 2 5 2 5 2 7" xfId="14596"/>
    <cellStyle name="Normal 3 6 2 5 2 5 3" xfId="14597"/>
    <cellStyle name="Normal 3 6 2 5 2 5 3 2" xfId="14598"/>
    <cellStyle name="Normal 3 6 2 5 2 5 3 2 2" xfId="14599"/>
    <cellStyle name="Normal 3 6 2 5 2 5 3 3" xfId="14600"/>
    <cellStyle name="Normal 3 6 2 5 2 5 3 3 2" xfId="14601"/>
    <cellStyle name="Normal 3 6 2 5 2 5 3 4" xfId="14602"/>
    <cellStyle name="Normal 3 6 2 5 2 5 3 4 2" xfId="14603"/>
    <cellStyle name="Normal 3 6 2 5 2 5 3 5" xfId="14604"/>
    <cellStyle name="Normal 3 6 2 5 2 5 4" xfId="14605"/>
    <cellStyle name="Normal 3 6 2 5 2 5 4 2" xfId="14606"/>
    <cellStyle name="Normal 3 6 2 5 2 5 4 2 2" xfId="14607"/>
    <cellStyle name="Normal 3 6 2 5 2 5 4 3" xfId="14608"/>
    <cellStyle name="Normal 3 6 2 5 2 5 4 3 2" xfId="14609"/>
    <cellStyle name="Normal 3 6 2 5 2 5 4 4" xfId="14610"/>
    <cellStyle name="Normal 3 6 2 5 2 5 4 4 2" xfId="14611"/>
    <cellStyle name="Normal 3 6 2 5 2 5 4 5" xfId="14612"/>
    <cellStyle name="Normal 3 6 2 5 2 5 5" xfId="14613"/>
    <cellStyle name="Normal 3 6 2 5 2 5 5 2" xfId="14614"/>
    <cellStyle name="Normal 3 6 2 5 2 5 6" xfId="14615"/>
    <cellStyle name="Normal 3 6 2 5 2 5 6 2" xfId="14616"/>
    <cellStyle name="Normal 3 6 2 5 2 5 7" xfId="14617"/>
    <cellStyle name="Normal 3 6 2 5 2 5 7 2" xfId="14618"/>
    <cellStyle name="Normal 3 6 2 5 2 5 8" xfId="14619"/>
    <cellStyle name="Normal 3 6 2 5 2 6" xfId="14620"/>
    <cellStyle name="Normal 3 6 2 5 2 6 2" xfId="14621"/>
    <cellStyle name="Normal 3 6 2 5 2 6 2 2" xfId="14622"/>
    <cellStyle name="Normal 3 6 2 5 2 6 2 2 2" xfId="14623"/>
    <cellStyle name="Normal 3 6 2 5 2 6 2 2 2 2" xfId="14624"/>
    <cellStyle name="Normal 3 6 2 5 2 6 2 2 3" xfId="14625"/>
    <cellStyle name="Normal 3 6 2 5 2 6 2 2 3 2" xfId="14626"/>
    <cellStyle name="Normal 3 6 2 5 2 6 2 2 4" xfId="14627"/>
    <cellStyle name="Normal 3 6 2 5 2 6 2 2 4 2" xfId="14628"/>
    <cellStyle name="Normal 3 6 2 5 2 6 2 2 5" xfId="14629"/>
    <cellStyle name="Normal 3 6 2 5 2 6 2 3" xfId="14630"/>
    <cellStyle name="Normal 3 6 2 5 2 6 2 3 2" xfId="14631"/>
    <cellStyle name="Normal 3 6 2 5 2 6 2 3 2 2" xfId="14632"/>
    <cellStyle name="Normal 3 6 2 5 2 6 2 3 3" xfId="14633"/>
    <cellStyle name="Normal 3 6 2 5 2 6 2 3 3 2" xfId="14634"/>
    <cellStyle name="Normal 3 6 2 5 2 6 2 3 4" xfId="14635"/>
    <cellStyle name="Normal 3 6 2 5 2 6 2 3 4 2" xfId="14636"/>
    <cellStyle name="Normal 3 6 2 5 2 6 2 3 5" xfId="14637"/>
    <cellStyle name="Normal 3 6 2 5 2 6 2 4" xfId="14638"/>
    <cellStyle name="Normal 3 6 2 5 2 6 2 4 2" xfId="14639"/>
    <cellStyle name="Normal 3 6 2 5 2 6 2 5" xfId="14640"/>
    <cellStyle name="Normal 3 6 2 5 2 6 2 5 2" xfId="14641"/>
    <cellStyle name="Normal 3 6 2 5 2 6 2 6" xfId="14642"/>
    <cellStyle name="Normal 3 6 2 5 2 6 2 6 2" xfId="14643"/>
    <cellStyle name="Normal 3 6 2 5 2 6 2 7" xfId="14644"/>
    <cellStyle name="Normal 3 6 2 5 2 6 3" xfId="14645"/>
    <cellStyle name="Normal 3 6 2 5 2 6 3 2" xfId="14646"/>
    <cellStyle name="Normal 3 6 2 5 2 6 3 2 2" xfId="14647"/>
    <cellStyle name="Normal 3 6 2 5 2 6 3 3" xfId="14648"/>
    <cellStyle name="Normal 3 6 2 5 2 6 3 3 2" xfId="14649"/>
    <cellStyle name="Normal 3 6 2 5 2 6 3 4" xfId="14650"/>
    <cellStyle name="Normal 3 6 2 5 2 6 3 4 2" xfId="14651"/>
    <cellStyle name="Normal 3 6 2 5 2 6 3 5" xfId="14652"/>
    <cellStyle name="Normal 3 6 2 5 2 6 4" xfId="14653"/>
    <cellStyle name="Normal 3 6 2 5 2 6 4 2" xfId="14654"/>
    <cellStyle name="Normal 3 6 2 5 2 6 4 2 2" xfId="14655"/>
    <cellStyle name="Normal 3 6 2 5 2 6 4 3" xfId="14656"/>
    <cellStyle name="Normal 3 6 2 5 2 6 4 3 2" xfId="14657"/>
    <cellStyle name="Normal 3 6 2 5 2 6 4 4" xfId="14658"/>
    <cellStyle name="Normal 3 6 2 5 2 6 4 4 2" xfId="14659"/>
    <cellStyle name="Normal 3 6 2 5 2 6 4 5" xfId="14660"/>
    <cellStyle name="Normal 3 6 2 5 2 6 5" xfId="14661"/>
    <cellStyle name="Normal 3 6 2 5 2 6 5 2" xfId="14662"/>
    <cellStyle name="Normal 3 6 2 5 2 6 6" xfId="14663"/>
    <cellStyle name="Normal 3 6 2 5 2 6 6 2" xfId="14664"/>
    <cellStyle name="Normal 3 6 2 5 2 6 7" xfId="14665"/>
    <cellStyle name="Normal 3 6 2 5 2 6 7 2" xfId="14666"/>
    <cellStyle name="Normal 3 6 2 5 2 6 8" xfId="14667"/>
    <cellStyle name="Normal 3 6 2 5 2 7" xfId="14668"/>
    <cellStyle name="Normal 3 6 2 5 2 7 2" xfId="14669"/>
    <cellStyle name="Normal 3 6 2 5 2 7 2 2" xfId="14670"/>
    <cellStyle name="Normal 3 6 2 5 2 7 2 2 2" xfId="14671"/>
    <cellStyle name="Normal 3 6 2 5 2 7 2 3" xfId="14672"/>
    <cellStyle name="Normal 3 6 2 5 2 7 2 3 2" xfId="14673"/>
    <cellStyle name="Normal 3 6 2 5 2 7 2 4" xfId="14674"/>
    <cellStyle name="Normal 3 6 2 5 2 7 2 4 2" xfId="14675"/>
    <cellStyle name="Normal 3 6 2 5 2 7 2 5" xfId="14676"/>
    <cellStyle name="Normal 3 6 2 5 2 7 3" xfId="14677"/>
    <cellStyle name="Normal 3 6 2 5 2 7 3 2" xfId="14678"/>
    <cellStyle name="Normal 3 6 2 5 2 7 3 2 2" xfId="14679"/>
    <cellStyle name="Normal 3 6 2 5 2 7 3 3" xfId="14680"/>
    <cellStyle name="Normal 3 6 2 5 2 7 3 3 2" xfId="14681"/>
    <cellStyle name="Normal 3 6 2 5 2 7 3 4" xfId="14682"/>
    <cellStyle name="Normal 3 6 2 5 2 7 3 4 2" xfId="14683"/>
    <cellStyle name="Normal 3 6 2 5 2 7 3 5" xfId="14684"/>
    <cellStyle name="Normal 3 6 2 5 2 7 4" xfId="14685"/>
    <cellStyle name="Normal 3 6 2 5 2 7 4 2" xfId="14686"/>
    <cellStyle name="Normal 3 6 2 5 2 7 5" xfId="14687"/>
    <cellStyle name="Normal 3 6 2 5 2 7 5 2" xfId="14688"/>
    <cellStyle name="Normal 3 6 2 5 2 7 6" xfId="14689"/>
    <cellStyle name="Normal 3 6 2 5 2 7 6 2" xfId="14690"/>
    <cellStyle name="Normal 3 6 2 5 2 7 7" xfId="14691"/>
    <cellStyle name="Normal 3 6 2 5 2 8" xfId="14692"/>
    <cellStyle name="Normal 3 6 2 5 2 8 2" xfId="14693"/>
    <cellStyle name="Normal 3 6 2 5 2 8 2 2" xfId="14694"/>
    <cellStyle name="Normal 3 6 2 5 2 8 3" xfId="14695"/>
    <cellStyle name="Normal 3 6 2 5 2 8 3 2" xfId="14696"/>
    <cellStyle name="Normal 3 6 2 5 2 8 4" xfId="14697"/>
    <cellStyle name="Normal 3 6 2 5 2 8 4 2" xfId="14698"/>
    <cellStyle name="Normal 3 6 2 5 2 8 5" xfId="14699"/>
    <cellStyle name="Normal 3 6 2 5 2 9" xfId="14700"/>
    <cellStyle name="Normal 3 6 2 5 2 9 2" xfId="14701"/>
    <cellStyle name="Normal 3 6 2 5 2 9 2 2" xfId="14702"/>
    <cellStyle name="Normal 3 6 2 5 2 9 3" xfId="14703"/>
    <cellStyle name="Normal 3 6 2 5 2 9 3 2" xfId="14704"/>
    <cellStyle name="Normal 3 6 2 5 2 9 4" xfId="14705"/>
    <cellStyle name="Normal 3 6 2 5 2 9 4 2" xfId="14706"/>
    <cellStyle name="Normal 3 6 2 5 2 9 5" xfId="14707"/>
    <cellStyle name="Normal 3 6 2 5 3" xfId="14708"/>
    <cellStyle name="Normal 3 6 2 5 3 2" xfId="14709"/>
    <cellStyle name="Normal 3 6 2 5 3 2 2" xfId="14710"/>
    <cellStyle name="Normal 3 6 2 5 3 2 2 2" xfId="14711"/>
    <cellStyle name="Normal 3 6 2 5 3 2 2 2 2" xfId="14712"/>
    <cellStyle name="Normal 3 6 2 5 3 2 2 3" xfId="14713"/>
    <cellStyle name="Normal 3 6 2 5 3 2 2 3 2" xfId="14714"/>
    <cellStyle name="Normal 3 6 2 5 3 2 2 4" xfId="14715"/>
    <cellStyle name="Normal 3 6 2 5 3 2 2 4 2" xfId="14716"/>
    <cellStyle name="Normal 3 6 2 5 3 2 2 5" xfId="14717"/>
    <cellStyle name="Normal 3 6 2 5 3 2 3" xfId="14718"/>
    <cellStyle name="Normal 3 6 2 5 3 2 3 2" xfId="14719"/>
    <cellStyle name="Normal 3 6 2 5 3 2 3 2 2" xfId="14720"/>
    <cellStyle name="Normal 3 6 2 5 3 2 3 3" xfId="14721"/>
    <cellStyle name="Normal 3 6 2 5 3 2 3 3 2" xfId="14722"/>
    <cellStyle name="Normal 3 6 2 5 3 2 3 4" xfId="14723"/>
    <cellStyle name="Normal 3 6 2 5 3 2 3 4 2" xfId="14724"/>
    <cellStyle name="Normal 3 6 2 5 3 2 3 5" xfId="14725"/>
    <cellStyle name="Normal 3 6 2 5 3 2 4" xfId="14726"/>
    <cellStyle name="Normal 3 6 2 5 3 2 4 2" xfId="14727"/>
    <cellStyle name="Normal 3 6 2 5 3 2 5" xfId="14728"/>
    <cellStyle name="Normal 3 6 2 5 3 2 5 2" xfId="14729"/>
    <cellStyle name="Normal 3 6 2 5 3 2 6" xfId="14730"/>
    <cellStyle name="Normal 3 6 2 5 3 2 6 2" xfId="14731"/>
    <cellStyle name="Normal 3 6 2 5 3 2 7" xfId="14732"/>
    <cellStyle name="Normal 3 6 2 5 3 3" xfId="14733"/>
    <cellStyle name="Normal 3 6 2 5 3 3 2" xfId="14734"/>
    <cellStyle name="Normal 3 6 2 5 3 3 2 2" xfId="14735"/>
    <cellStyle name="Normal 3 6 2 5 3 3 3" xfId="14736"/>
    <cellStyle name="Normal 3 6 2 5 3 3 3 2" xfId="14737"/>
    <cellStyle name="Normal 3 6 2 5 3 3 4" xfId="14738"/>
    <cellStyle name="Normal 3 6 2 5 3 3 4 2" xfId="14739"/>
    <cellStyle name="Normal 3 6 2 5 3 3 5" xfId="14740"/>
    <cellStyle name="Normal 3 6 2 5 3 4" xfId="14741"/>
    <cellStyle name="Normal 3 6 2 5 3 4 2" xfId="14742"/>
    <cellStyle name="Normal 3 6 2 5 3 4 2 2" xfId="14743"/>
    <cellStyle name="Normal 3 6 2 5 3 4 3" xfId="14744"/>
    <cellStyle name="Normal 3 6 2 5 3 4 3 2" xfId="14745"/>
    <cellStyle name="Normal 3 6 2 5 3 4 4" xfId="14746"/>
    <cellStyle name="Normal 3 6 2 5 3 4 4 2" xfId="14747"/>
    <cellStyle name="Normal 3 6 2 5 3 4 5" xfId="14748"/>
    <cellStyle name="Normal 3 6 2 5 3 5" xfId="14749"/>
    <cellStyle name="Normal 3 6 2 5 3 5 2" xfId="14750"/>
    <cellStyle name="Normal 3 6 2 5 3 6" xfId="14751"/>
    <cellStyle name="Normal 3 6 2 5 3 6 2" xfId="14752"/>
    <cellStyle name="Normal 3 6 2 5 3 7" xfId="14753"/>
    <cellStyle name="Normal 3 6 2 5 3 7 2" xfId="14754"/>
    <cellStyle name="Normal 3 6 2 5 3 8" xfId="14755"/>
    <cellStyle name="Normal 3 6 2 5 4" xfId="14756"/>
    <cellStyle name="Normal 3 6 2 5 4 2" xfId="14757"/>
    <cellStyle name="Normal 3 6 2 5 4 2 2" xfId="14758"/>
    <cellStyle name="Normal 3 6 2 5 4 2 2 2" xfId="14759"/>
    <cellStyle name="Normal 3 6 2 5 4 2 2 2 2" xfId="14760"/>
    <cellStyle name="Normal 3 6 2 5 4 2 2 3" xfId="14761"/>
    <cellStyle name="Normal 3 6 2 5 4 2 2 3 2" xfId="14762"/>
    <cellStyle name="Normal 3 6 2 5 4 2 2 4" xfId="14763"/>
    <cellStyle name="Normal 3 6 2 5 4 2 2 4 2" xfId="14764"/>
    <cellStyle name="Normal 3 6 2 5 4 2 2 5" xfId="14765"/>
    <cellStyle name="Normal 3 6 2 5 4 2 3" xfId="14766"/>
    <cellStyle name="Normal 3 6 2 5 4 2 3 2" xfId="14767"/>
    <cellStyle name="Normal 3 6 2 5 4 2 3 2 2" xfId="14768"/>
    <cellStyle name="Normal 3 6 2 5 4 2 3 3" xfId="14769"/>
    <cellStyle name="Normal 3 6 2 5 4 2 3 3 2" xfId="14770"/>
    <cellStyle name="Normal 3 6 2 5 4 2 3 4" xfId="14771"/>
    <cellStyle name="Normal 3 6 2 5 4 2 3 4 2" xfId="14772"/>
    <cellStyle name="Normal 3 6 2 5 4 2 3 5" xfId="14773"/>
    <cellStyle name="Normal 3 6 2 5 4 2 4" xfId="14774"/>
    <cellStyle name="Normal 3 6 2 5 4 2 4 2" xfId="14775"/>
    <cellStyle name="Normal 3 6 2 5 4 2 5" xfId="14776"/>
    <cellStyle name="Normal 3 6 2 5 4 2 5 2" xfId="14777"/>
    <cellStyle name="Normal 3 6 2 5 4 2 6" xfId="14778"/>
    <cellStyle name="Normal 3 6 2 5 4 2 6 2" xfId="14779"/>
    <cellStyle name="Normal 3 6 2 5 4 2 7" xfId="14780"/>
    <cellStyle name="Normal 3 6 2 5 4 3" xfId="14781"/>
    <cellStyle name="Normal 3 6 2 5 4 3 2" xfId="14782"/>
    <cellStyle name="Normal 3 6 2 5 4 3 2 2" xfId="14783"/>
    <cellStyle name="Normal 3 6 2 5 4 3 3" xfId="14784"/>
    <cellStyle name="Normal 3 6 2 5 4 3 3 2" xfId="14785"/>
    <cellStyle name="Normal 3 6 2 5 4 3 4" xfId="14786"/>
    <cellStyle name="Normal 3 6 2 5 4 3 4 2" xfId="14787"/>
    <cellStyle name="Normal 3 6 2 5 4 3 5" xfId="14788"/>
    <cellStyle name="Normal 3 6 2 5 4 4" xfId="14789"/>
    <cellStyle name="Normal 3 6 2 5 4 4 2" xfId="14790"/>
    <cellStyle name="Normal 3 6 2 5 4 4 2 2" xfId="14791"/>
    <cellStyle name="Normal 3 6 2 5 4 4 3" xfId="14792"/>
    <cellStyle name="Normal 3 6 2 5 4 4 3 2" xfId="14793"/>
    <cellStyle name="Normal 3 6 2 5 4 4 4" xfId="14794"/>
    <cellStyle name="Normal 3 6 2 5 4 4 4 2" xfId="14795"/>
    <cellStyle name="Normal 3 6 2 5 4 4 5" xfId="14796"/>
    <cellStyle name="Normal 3 6 2 5 4 5" xfId="14797"/>
    <cellStyle name="Normal 3 6 2 5 4 5 2" xfId="14798"/>
    <cellStyle name="Normal 3 6 2 5 4 6" xfId="14799"/>
    <cellStyle name="Normal 3 6 2 5 4 6 2" xfId="14800"/>
    <cellStyle name="Normal 3 6 2 5 4 7" xfId="14801"/>
    <cellStyle name="Normal 3 6 2 5 4 7 2" xfId="14802"/>
    <cellStyle name="Normal 3 6 2 5 4 8" xfId="14803"/>
    <cellStyle name="Normal 3 6 2 5 5" xfId="14804"/>
    <cellStyle name="Normal 3 6 2 5 5 2" xfId="14805"/>
    <cellStyle name="Normal 3 6 2 5 5 2 2" xfId="14806"/>
    <cellStyle name="Normal 3 6 2 5 5 2 2 2" xfId="14807"/>
    <cellStyle name="Normal 3 6 2 5 5 2 2 2 2" xfId="14808"/>
    <cellStyle name="Normal 3 6 2 5 5 2 2 3" xfId="14809"/>
    <cellStyle name="Normal 3 6 2 5 5 2 2 3 2" xfId="14810"/>
    <cellStyle name="Normal 3 6 2 5 5 2 2 4" xfId="14811"/>
    <cellStyle name="Normal 3 6 2 5 5 2 2 4 2" xfId="14812"/>
    <cellStyle name="Normal 3 6 2 5 5 2 2 5" xfId="14813"/>
    <cellStyle name="Normal 3 6 2 5 5 2 3" xfId="14814"/>
    <cellStyle name="Normal 3 6 2 5 5 2 3 2" xfId="14815"/>
    <cellStyle name="Normal 3 6 2 5 5 2 3 2 2" xfId="14816"/>
    <cellStyle name="Normal 3 6 2 5 5 2 3 3" xfId="14817"/>
    <cellStyle name="Normal 3 6 2 5 5 2 3 3 2" xfId="14818"/>
    <cellStyle name="Normal 3 6 2 5 5 2 3 4" xfId="14819"/>
    <cellStyle name="Normal 3 6 2 5 5 2 3 4 2" xfId="14820"/>
    <cellStyle name="Normal 3 6 2 5 5 2 3 5" xfId="14821"/>
    <cellStyle name="Normal 3 6 2 5 5 2 4" xfId="14822"/>
    <cellStyle name="Normal 3 6 2 5 5 2 4 2" xfId="14823"/>
    <cellStyle name="Normal 3 6 2 5 5 2 5" xfId="14824"/>
    <cellStyle name="Normal 3 6 2 5 5 2 5 2" xfId="14825"/>
    <cellStyle name="Normal 3 6 2 5 5 2 6" xfId="14826"/>
    <cellStyle name="Normal 3 6 2 5 5 2 6 2" xfId="14827"/>
    <cellStyle name="Normal 3 6 2 5 5 2 7" xfId="14828"/>
    <cellStyle name="Normal 3 6 2 5 5 3" xfId="14829"/>
    <cellStyle name="Normal 3 6 2 5 5 3 2" xfId="14830"/>
    <cellStyle name="Normal 3 6 2 5 5 3 2 2" xfId="14831"/>
    <cellStyle name="Normal 3 6 2 5 5 3 3" xfId="14832"/>
    <cellStyle name="Normal 3 6 2 5 5 3 3 2" xfId="14833"/>
    <cellStyle name="Normal 3 6 2 5 5 3 4" xfId="14834"/>
    <cellStyle name="Normal 3 6 2 5 5 3 4 2" xfId="14835"/>
    <cellStyle name="Normal 3 6 2 5 5 3 5" xfId="14836"/>
    <cellStyle name="Normal 3 6 2 5 5 4" xfId="14837"/>
    <cellStyle name="Normal 3 6 2 5 5 4 2" xfId="14838"/>
    <cellStyle name="Normal 3 6 2 5 5 4 2 2" xfId="14839"/>
    <cellStyle name="Normal 3 6 2 5 5 4 3" xfId="14840"/>
    <cellStyle name="Normal 3 6 2 5 5 4 3 2" xfId="14841"/>
    <cellStyle name="Normal 3 6 2 5 5 4 4" xfId="14842"/>
    <cellStyle name="Normal 3 6 2 5 5 4 4 2" xfId="14843"/>
    <cellStyle name="Normal 3 6 2 5 5 4 5" xfId="14844"/>
    <cellStyle name="Normal 3 6 2 5 5 5" xfId="14845"/>
    <cellStyle name="Normal 3 6 2 5 5 5 2" xfId="14846"/>
    <cellStyle name="Normal 3 6 2 5 5 6" xfId="14847"/>
    <cellStyle name="Normal 3 6 2 5 5 6 2" xfId="14848"/>
    <cellStyle name="Normal 3 6 2 5 5 7" xfId="14849"/>
    <cellStyle name="Normal 3 6 2 5 5 7 2" xfId="14850"/>
    <cellStyle name="Normal 3 6 2 5 5 8" xfId="14851"/>
    <cellStyle name="Normal 3 6 2 5 6" xfId="14852"/>
    <cellStyle name="Normal 3 6 2 5 6 2" xfId="14853"/>
    <cellStyle name="Normal 3 6 2 5 6 2 2" xfId="14854"/>
    <cellStyle name="Normal 3 6 2 5 6 2 2 2" xfId="14855"/>
    <cellStyle name="Normal 3 6 2 5 6 2 2 2 2" xfId="14856"/>
    <cellStyle name="Normal 3 6 2 5 6 2 2 3" xfId="14857"/>
    <cellStyle name="Normal 3 6 2 5 6 2 2 3 2" xfId="14858"/>
    <cellStyle name="Normal 3 6 2 5 6 2 2 4" xfId="14859"/>
    <cellStyle name="Normal 3 6 2 5 6 2 2 4 2" xfId="14860"/>
    <cellStyle name="Normal 3 6 2 5 6 2 2 5" xfId="14861"/>
    <cellStyle name="Normal 3 6 2 5 6 2 3" xfId="14862"/>
    <cellStyle name="Normal 3 6 2 5 6 2 3 2" xfId="14863"/>
    <cellStyle name="Normal 3 6 2 5 6 2 3 2 2" xfId="14864"/>
    <cellStyle name="Normal 3 6 2 5 6 2 3 3" xfId="14865"/>
    <cellStyle name="Normal 3 6 2 5 6 2 3 3 2" xfId="14866"/>
    <cellStyle name="Normal 3 6 2 5 6 2 3 4" xfId="14867"/>
    <cellStyle name="Normal 3 6 2 5 6 2 3 4 2" xfId="14868"/>
    <cellStyle name="Normal 3 6 2 5 6 2 3 5" xfId="14869"/>
    <cellStyle name="Normal 3 6 2 5 6 2 4" xfId="14870"/>
    <cellStyle name="Normal 3 6 2 5 6 2 4 2" xfId="14871"/>
    <cellStyle name="Normal 3 6 2 5 6 2 5" xfId="14872"/>
    <cellStyle name="Normal 3 6 2 5 6 2 5 2" xfId="14873"/>
    <cellStyle name="Normal 3 6 2 5 6 2 6" xfId="14874"/>
    <cellStyle name="Normal 3 6 2 5 6 2 6 2" xfId="14875"/>
    <cellStyle name="Normal 3 6 2 5 6 2 7" xfId="14876"/>
    <cellStyle name="Normal 3 6 2 5 6 3" xfId="14877"/>
    <cellStyle name="Normal 3 6 2 5 6 3 2" xfId="14878"/>
    <cellStyle name="Normal 3 6 2 5 6 3 2 2" xfId="14879"/>
    <cellStyle name="Normal 3 6 2 5 6 3 3" xfId="14880"/>
    <cellStyle name="Normal 3 6 2 5 6 3 3 2" xfId="14881"/>
    <cellStyle name="Normal 3 6 2 5 6 3 4" xfId="14882"/>
    <cellStyle name="Normal 3 6 2 5 6 3 4 2" xfId="14883"/>
    <cellStyle name="Normal 3 6 2 5 6 3 5" xfId="14884"/>
    <cellStyle name="Normal 3 6 2 5 6 4" xfId="14885"/>
    <cellStyle name="Normal 3 6 2 5 6 4 2" xfId="14886"/>
    <cellStyle name="Normal 3 6 2 5 6 4 2 2" xfId="14887"/>
    <cellStyle name="Normal 3 6 2 5 6 4 3" xfId="14888"/>
    <cellStyle name="Normal 3 6 2 5 6 4 3 2" xfId="14889"/>
    <cellStyle name="Normal 3 6 2 5 6 4 4" xfId="14890"/>
    <cellStyle name="Normal 3 6 2 5 6 4 4 2" xfId="14891"/>
    <cellStyle name="Normal 3 6 2 5 6 4 5" xfId="14892"/>
    <cellStyle name="Normal 3 6 2 5 6 5" xfId="14893"/>
    <cellStyle name="Normal 3 6 2 5 6 5 2" xfId="14894"/>
    <cellStyle name="Normal 3 6 2 5 6 6" xfId="14895"/>
    <cellStyle name="Normal 3 6 2 5 6 6 2" xfId="14896"/>
    <cellStyle name="Normal 3 6 2 5 6 7" xfId="14897"/>
    <cellStyle name="Normal 3 6 2 5 6 7 2" xfId="14898"/>
    <cellStyle name="Normal 3 6 2 5 6 8" xfId="14899"/>
    <cellStyle name="Normal 3 6 2 5 7" xfId="14900"/>
    <cellStyle name="Normal 3 6 2 5 7 2" xfId="14901"/>
    <cellStyle name="Normal 3 6 2 5 7 2 2" xfId="14902"/>
    <cellStyle name="Normal 3 6 2 5 7 2 2 2" xfId="14903"/>
    <cellStyle name="Normal 3 6 2 5 7 2 2 2 2" xfId="14904"/>
    <cellStyle name="Normal 3 6 2 5 7 2 2 3" xfId="14905"/>
    <cellStyle name="Normal 3 6 2 5 7 2 2 3 2" xfId="14906"/>
    <cellStyle name="Normal 3 6 2 5 7 2 2 4" xfId="14907"/>
    <cellStyle name="Normal 3 6 2 5 7 2 2 4 2" xfId="14908"/>
    <cellStyle name="Normal 3 6 2 5 7 2 2 5" xfId="14909"/>
    <cellStyle name="Normal 3 6 2 5 7 2 3" xfId="14910"/>
    <cellStyle name="Normal 3 6 2 5 7 2 3 2" xfId="14911"/>
    <cellStyle name="Normal 3 6 2 5 7 2 3 2 2" xfId="14912"/>
    <cellStyle name="Normal 3 6 2 5 7 2 3 3" xfId="14913"/>
    <cellStyle name="Normal 3 6 2 5 7 2 3 3 2" xfId="14914"/>
    <cellStyle name="Normal 3 6 2 5 7 2 3 4" xfId="14915"/>
    <cellStyle name="Normal 3 6 2 5 7 2 3 4 2" xfId="14916"/>
    <cellStyle name="Normal 3 6 2 5 7 2 3 5" xfId="14917"/>
    <cellStyle name="Normal 3 6 2 5 7 2 4" xfId="14918"/>
    <cellStyle name="Normal 3 6 2 5 7 2 4 2" xfId="14919"/>
    <cellStyle name="Normal 3 6 2 5 7 2 5" xfId="14920"/>
    <cellStyle name="Normal 3 6 2 5 7 2 5 2" xfId="14921"/>
    <cellStyle name="Normal 3 6 2 5 7 2 6" xfId="14922"/>
    <cellStyle name="Normal 3 6 2 5 7 2 6 2" xfId="14923"/>
    <cellStyle name="Normal 3 6 2 5 7 2 7" xfId="14924"/>
    <cellStyle name="Normal 3 6 2 5 7 3" xfId="14925"/>
    <cellStyle name="Normal 3 6 2 5 7 3 2" xfId="14926"/>
    <cellStyle name="Normal 3 6 2 5 7 3 2 2" xfId="14927"/>
    <cellStyle name="Normal 3 6 2 5 7 3 3" xfId="14928"/>
    <cellStyle name="Normal 3 6 2 5 7 3 3 2" xfId="14929"/>
    <cellStyle name="Normal 3 6 2 5 7 3 4" xfId="14930"/>
    <cellStyle name="Normal 3 6 2 5 7 3 4 2" xfId="14931"/>
    <cellStyle name="Normal 3 6 2 5 7 3 5" xfId="14932"/>
    <cellStyle name="Normal 3 6 2 5 7 4" xfId="14933"/>
    <cellStyle name="Normal 3 6 2 5 7 4 2" xfId="14934"/>
    <cellStyle name="Normal 3 6 2 5 7 4 2 2" xfId="14935"/>
    <cellStyle name="Normal 3 6 2 5 7 4 3" xfId="14936"/>
    <cellStyle name="Normal 3 6 2 5 7 4 3 2" xfId="14937"/>
    <cellStyle name="Normal 3 6 2 5 7 4 4" xfId="14938"/>
    <cellStyle name="Normal 3 6 2 5 7 4 4 2" xfId="14939"/>
    <cellStyle name="Normal 3 6 2 5 7 4 5" xfId="14940"/>
    <cellStyle name="Normal 3 6 2 5 7 5" xfId="14941"/>
    <cellStyle name="Normal 3 6 2 5 7 5 2" xfId="14942"/>
    <cellStyle name="Normal 3 6 2 5 7 6" xfId="14943"/>
    <cellStyle name="Normal 3 6 2 5 7 6 2" xfId="14944"/>
    <cellStyle name="Normal 3 6 2 5 7 7" xfId="14945"/>
    <cellStyle name="Normal 3 6 2 5 7 7 2" xfId="14946"/>
    <cellStyle name="Normal 3 6 2 5 7 8" xfId="14947"/>
    <cellStyle name="Normal 3 6 2 5 8" xfId="14948"/>
    <cellStyle name="Normal 3 6 2 5 8 2" xfId="14949"/>
    <cellStyle name="Normal 3 6 2 5 8 2 2" xfId="14950"/>
    <cellStyle name="Normal 3 6 2 5 8 2 2 2" xfId="14951"/>
    <cellStyle name="Normal 3 6 2 5 8 2 3" xfId="14952"/>
    <cellStyle name="Normal 3 6 2 5 8 2 3 2" xfId="14953"/>
    <cellStyle name="Normal 3 6 2 5 8 2 4" xfId="14954"/>
    <cellStyle name="Normal 3 6 2 5 8 2 4 2" xfId="14955"/>
    <cellStyle name="Normal 3 6 2 5 8 2 5" xfId="14956"/>
    <cellStyle name="Normal 3 6 2 5 8 3" xfId="14957"/>
    <cellStyle name="Normal 3 6 2 5 8 3 2" xfId="14958"/>
    <cellStyle name="Normal 3 6 2 5 8 3 2 2" xfId="14959"/>
    <cellStyle name="Normal 3 6 2 5 8 3 3" xfId="14960"/>
    <cellStyle name="Normal 3 6 2 5 8 3 3 2" xfId="14961"/>
    <cellStyle name="Normal 3 6 2 5 8 3 4" xfId="14962"/>
    <cellStyle name="Normal 3 6 2 5 8 3 4 2" xfId="14963"/>
    <cellStyle name="Normal 3 6 2 5 8 3 5" xfId="14964"/>
    <cellStyle name="Normal 3 6 2 5 8 4" xfId="14965"/>
    <cellStyle name="Normal 3 6 2 5 8 4 2" xfId="14966"/>
    <cellStyle name="Normal 3 6 2 5 8 5" xfId="14967"/>
    <cellStyle name="Normal 3 6 2 5 8 5 2" xfId="14968"/>
    <cellStyle name="Normal 3 6 2 5 8 6" xfId="14969"/>
    <cellStyle name="Normal 3 6 2 5 8 6 2" xfId="14970"/>
    <cellStyle name="Normal 3 6 2 5 8 7" xfId="14971"/>
    <cellStyle name="Normal 3 6 2 5 9" xfId="14972"/>
    <cellStyle name="Normal 3 6 2 5 9 2" xfId="14973"/>
    <cellStyle name="Normal 3 6 2 5 9 2 2" xfId="14974"/>
    <cellStyle name="Normal 3 6 2 5 9 3" xfId="14975"/>
    <cellStyle name="Normal 3 6 2 5 9 3 2" xfId="14976"/>
    <cellStyle name="Normal 3 6 2 5 9 4" xfId="14977"/>
    <cellStyle name="Normal 3 6 2 5 9 4 2" xfId="14978"/>
    <cellStyle name="Normal 3 6 2 5 9 5" xfId="14979"/>
    <cellStyle name="Normal 3 6 2 6" xfId="14980"/>
    <cellStyle name="Normal 3 6 2 6 10" xfId="14981"/>
    <cellStyle name="Normal 3 6 2 6 10 2" xfId="14982"/>
    <cellStyle name="Normal 3 6 2 6 11" xfId="14983"/>
    <cellStyle name="Normal 3 6 2 6 11 2" xfId="14984"/>
    <cellStyle name="Normal 3 6 2 6 12" xfId="14985"/>
    <cellStyle name="Normal 3 6 2 6 12 2" xfId="14986"/>
    <cellStyle name="Normal 3 6 2 6 13" xfId="14987"/>
    <cellStyle name="Normal 3 6 2 6 2" xfId="14988"/>
    <cellStyle name="Normal 3 6 2 6 2 2" xfId="14989"/>
    <cellStyle name="Normal 3 6 2 6 2 2 2" xfId="14990"/>
    <cellStyle name="Normal 3 6 2 6 2 2 2 2" xfId="14991"/>
    <cellStyle name="Normal 3 6 2 6 2 2 2 2 2" xfId="14992"/>
    <cellStyle name="Normal 3 6 2 6 2 2 2 3" xfId="14993"/>
    <cellStyle name="Normal 3 6 2 6 2 2 2 3 2" xfId="14994"/>
    <cellStyle name="Normal 3 6 2 6 2 2 2 4" xfId="14995"/>
    <cellStyle name="Normal 3 6 2 6 2 2 2 4 2" xfId="14996"/>
    <cellStyle name="Normal 3 6 2 6 2 2 2 5" xfId="14997"/>
    <cellStyle name="Normal 3 6 2 6 2 2 3" xfId="14998"/>
    <cellStyle name="Normal 3 6 2 6 2 2 3 2" xfId="14999"/>
    <cellStyle name="Normal 3 6 2 6 2 2 3 2 2" xfId="15000"/>
    <cellStyle name="Normal 3 6 2 6 2 2 3 3" xfId="15001"/>
    <cellStyle name="Normal 3 6 2 6 2 2 3 3 2" xfId="15002"/>
    <cellStyle name="Normal 3 6 2 6 2 2 3 4" xfId="15003"/>
    <cellStyle name="Normal 3 6 2 6 2 2 3 4 2" xfId="15004"/>
    <cellStyle name="Normal 3 6 2 6 2 2 3 5" xfId="15005"/>
    <cellStyle name="Normal 3 6 2 6 2 2 4" xfId="15006"/>
    <cellStyle name="Normal 3 6 2 6 2 2 4 2" xfId="15007"/>
    <cellStyle name="Normal 3 6 2 6 2 2 5" xfId="15008"/>
    <cellStyle name="Normal 3 6 2 6 2 2 5 2" xfId="15009"/>
    <cellStyle name="Normal 3 6 2 6 2 2 6" xfId="15010"/>
    <cellStyle name="Normal 3 6 2 6 2 2 6 2" xfId="15011"/>
    <cellStyle name="Normal 3 6 2 6 2 2 7" xfId="15012"/>
    <cellStyle name="Normal 3 6 2 6 2 3" xfId="15013"/>
    <cellStyle name="Normal 3 6 2 6 2 3 2" xfId="15014"/>
    <cellStyle name="Normal 3 6 2 6 2 3 2 2" xfId="15015"/>
    <cellStyle name="Normal 3 6 2 6 2 3 3" xfId="15016"/>
    <cellStyle name="Normal 3 6 2 6 2 3 3 2" xfId="15017"/>
    <cellStyle name="Normal 3 6 2 6 2 3 4" xfId="15018"/>
    <cellStyle name="Normal 3 6 2 6 2 3 4 2" xfId="15019"/>
    <cellStyle name="Normal 3 6 2 6 2 3 5" xfId="15020"/>
    <cellStyle name="Normal 3 6 2 6 2 4" xfId="15021"/>
    <cellStyle name="Normal 3 6 2 6 2 4 2" xfId="15022"/>
    <cellStyle name="Normal 3 6 2 6 2 4 2 2" xfId="15023"/>
    <cellStyle name="Normal 3 6 2 6 2 4 3" xfId="15024"/>
    <cellStyle name="Normal 3 6 2 6 2 4 3 2" xfId="15025"/>
    <cellStyle name="Normal 3 6 2 6 2 4 4" xfId="15026"/>
    <cellStyle name="Normal 3 6 2 6 2 4 4 2" xfId="15027"/>
    <cellStyle name="Normal 3 6 2 6 2 4 5" xfId="15028"/>
    <cellStyle name="Normal 3 6 2 6 2 5" xfId="15029"/>
    <cellStyle name="Normal 3 6 2 6 2 5 2" xfId="15030"/>
    <cellStyle name="Normal 3 6 2 6 2 6" xfId="15031"/>
    <cellStyle name="Normal 3 6 2 6 2 6 2" xfId="15032"/>
    <cellStyle name="Normal 3 6 2 6 2 7" xfId="15033"/>
    <cellStyle name="Normal 3 6 2 6 2 7 2" xfId="15034"/>
    <cellStyle name="Normal 3 6 2 6 2 8" xfId="15035"/>
    <cellStyle name="Normal 3 6 2 6 3" xfId="15036"/>
    <cellStyle name="Normal 3 6 2 6 3 2" xfId="15037"/>
    <cellStyle name="Normal 3 6 2 6 3 2 2" xfId="15038"/>
    <cellStyle name="Normal 3 6 2 6 3 2 2 2" xfId="15039"/>
    <cellStyle name="Normal 3 6 2 6 3 2 2 2 2" xfId="15040"/>
    <cellStyle name="Normal 3 6 2 6 3 2 2 3" xfId="15041"/>
    <cellStyle name="Normal 3 6 2 6 3 2 2 3 2" xfId="15042"/>
    <cellStyle name="Normal 3 6 2 6 3 2 2 4" xfId="15043"/>
    <cellStyle name="Normal 3 6 2 6 3 2 2 4 2" xfId="15044"/>
    <cellStyle name="Normal 3 6 2 6 3 2 2 5" xfId="15045"/>
    <cellStyle name="Normal 3 6 2 6 3 2 3" xfId="15046"/>
    <cellStyle name="Normal 3 6 2 6 3 2 3 2" xfId="15047"/>
    <cellStyle name="Normal 3 6 2 6 3 2 3 2 2" xfId="15048"/>
    <cellStyle name="Normal 3 6 2 6 3 2 3 3" xfId="15049"/>
    <cellStyle name="Normal 3 6 2 6 3 2 3 3 2" xfId="15050"/>
    <cellStyle name="Normal 3 6 2 6 3 2 3 4" xfId="15051"/>
    <cellStyle name="Normal 3 6 2 6 3 2 3 4 2" xfId="15052"/>
    <cellStyle name="Normal 3 6 2 6 3 2 3 5" xfId="15053"/>
    <cellStyle name="Normal 3 6 2 6 3 2 4" xfId="15054"/>
    <cellStyle name="Normal 3 6 2 6 3 2 4 2" xfId="15055"/>
    <cellStyle name="Normal 3 6 2 6 3 2 5" xfId="15056"/>
    <cellStyle name="Normal 3 6 2 6 3 2 5 2" xfId="15057"/>
    <cellStyle name="Normal 3 6 2 6 3 2 6" xfId="15058"/>
    <cellStyle name="Normal 3 6 2 6 3 2 6 2" xfId="15059"/>
    <cellStyle name="Normal 3 6 2 6 3 2 7" xfId="15060"/>
    <cellStyle name="Normal 3 6 2 6 3 3" xfId="15061"/>
    <cellStyle name="Normal 3 6 2 6 3 3 2" xfId="15062"/>
    <cellStyle name="Normal 3 6 2 6 3 3 2 2" xfId="15063"/>
    <cellStyle name="Normal 3 6 2 6 3 3 3" xfId="15064"/>
    <cellStyle name="Normal 3 6 2 6 3 3 3 2" xfId="15065"/>
    <cellStyle name="Normal 3 6 2 6 3 3 4" xfId="15066"/>
    <cellStyle name="Normal 3 6 2 6 3 3 4 2" xfId="15067"/>
    <cellStyle name="Normal 3 6 2 6 3 3 5" xfId="15068"/>
    <cellStyle name="Normal 3 6 2 6 3 4" xfId="15069"/>
    <cellStyle name="Normal 3 6 2 6 3 4 2" xfId="15070"/>
    <cellStyle name="Normal 3 6 2 6 3 4 2 2" xfId="15071"/>
    <cellStyle name="Normal 3 6 2 6 3 4 3" xfId="15072"/>
    <cellStyle name="Normal 3 6 2 6 3 4 3 2" xfId="15073"/>
    <cellStyle name="Normal 3 6 2 6 3 4 4" xfId="15074"/>
    <cellStyle name="Normal 3 6 2 6 3 4 4 2" xfId="15075"/>
    <cellStyle name="Normal 3 6 2 6 3 4 5" xfId="15076"/>
    <cellStyle name="Normal 3 6 2 6 3 5" xfId="15077"/>
    <cellStyle name="Normal 3 6 2 6 3 5 2" xfId="15078"/>
    <cellStyle name="Normal 3 6 2 6 3 6" xfId="15079"/>
    <cellStyle name="Normal 3 6 2 6 3 6 2" xfId="15080"/>
    <cellStyle name="Normal 3 6 2 6 3 7" xfId="15081"/>
    <cellStyle name="Normal 3 6 2 6 3 7 2" xfId="15082"/>
    <cellStyle name="Normal 3 6 2 6 3 8" xfId="15083"/>
    <cellStyle name="Normal 3 6 2 6 4" xfId="15084"/>
    <cellStyle name="Normal 3 6 2 6 4 2" xfId="15085"/>
    <cellStyle name="Normal 3 6 2 6 4 2 2" xfId="15086"/>
    <cellStyle name="Normal 3 6 2 6 4 2 2 2" xfId="15087"/>
    <cellStyle name="Normal 3 6 2 6 4 2 2 2 2" xfId="15088"/>
    <cellStyle name="Normal 3 6 2 6 4 2 2 3" xfId="15089"/>
    <cellStyle name="Normal 3 6 2 6 4 2 2 3 2" xfId="15090"/>
    <cellStyle name="Normal 3 6 2 6 4 2 2 4" xfId="15091"/>
    <cellStyle name="Normal 3 6 2 6 4 2 2 4 2" xfId="15092"/>
    <cellStyle name="Normal 3 6 2 6 4 2 2 5" xfId="15093"/>
    <cellStyle name="Normal 3 6 2 6 4 2 3" xfId="15094"/>
    <cellStyle name="Normal 3 6 2 6 4 2 3 2" xfId="15095"/>
    <cellStyle name="Normal 3 6 2 6 4 2 3 2 2" xfId="15096"/>
    <cellStyle name="Normal 3 6 2 6 4 2 3 3" xfId="15097"/>
    <cellStyle name="Normal 3 6 2 6 4 2 3 3 2" xfId="15098"/>
    <cellStyle name="Normal 3 6 2 6 4 2 3 4" xfId="15099"/>
    <cellStyle name="Normal 3 6 2 6 4 2 3 4 2" xfId="15100"/>
    <cellStyle name="Normal 3 6 2 6 4 2 3 5" xfId="15101"/>
    <cellStyle name="Normal 3 6 2 6 4 2 4" xfId="15102"/>
    <cellStyle name="Normal 3 6 2 6 4 2 4 2" xfId="15103"/>
    <cellStyle name="Normal 3 6 2 6 4 2 5" xfId="15104"/>
    <cellStyle name="Normal 3 6 2 6 4 2 5 2" xfId="15105"/>
    <cellStyle name="Normal 3 6 2 6 4 2 6" xfId="15106"/>
    <cellStyle name="Normal 3 6 2 6 4 2 6 2" xfId="15107"/>
    <cellStyle name="Normal 3 6 2 6 4 2 7" xfId="15108"/>
    <cellStyle name="Normal 3 6 2 6 4 3" xfId="15109"/>
    <cellStyle name="Normal 3 6 2 6 4 3 2" xfId="15110"/>
    <cellStyle name="Normal 3 6 2 6 4 3 2 2" xfId="15111"/>
    <cellStyle name="Normal 3 6 2 6 4 3 3" xfId="15112"/>
    <cellStyle name="Normal 3 6 2 6 4 3 3 2" xfId="15113"/>
    <cellStyle name="Normal 3 6 2 6 4 3 4" xfId="15114"/>
    <cellStyle name="Normal 3 6 2 6 4 3 4 2" xfId="15115"/>
    <cellStyle name="Normal 3 6 2 6 4 3 5" xfId="15116"/>
    <cellStyle name="Normal 3 6 2 6 4 4" xfId="15117"/>
    <cellStyle name="Normal 3 6 2 6 4 4 2" xfId="15118"/>
    <cellStyle name="Normal 3 6 2 6 4 4 2 2" xfId="15119"/>
    <cellStyle name="Normal 3 6 2 6 4 4 3" xfId="15120"/>
    <cellStyle name="Normal 3 6 2 6 4 4 3 2" xfId="15121"/>
    <cellStyle name="Normal 3 6 2 6 4 4 4" xfId="15122"/>
    <cellStyle name="Normal 3 6 2 6 4 4 4 2" xfId="15123"/>
    <cellStyle name="Normal 3 6 2 6 4 4 5" xfId="15124"/>
    <cellStyle name="Normal 3 6 2 6 4 5" xfId="15125"/>
    <cellStyle name="Normal 3 6 2 6 4 5 2" xfId="15126"/>
    <cellStyle name="Normal 3 6 2 6 4 6" xfId="15127"/>
    <cellStyle name="Normal 3 6 2 6 4 6 2" xfId="15128"/>
    <cellStyle name="Normal 3 6 2 6 4 7" xfId="15129"/>
    <cellStyle name="Normal 3 6 2 6 4 7 2" xfId="15130"/>
    <cellStyle name="Normal 3 6 2 6 4 8" xfId="15131"/>
    <cellStyle name="Normal 3 6 2 6 5" xfId="15132"/>
    <cellStyle name="Normal 3 6 2 6 5 2" xfId="15133"/>
    <cellStyle name="Normal 3 6 2 6 5 2 2" xfId="15134"/>
    <cellStyle name="Normal 3 6 2 6 5 2 2 2" xfId="15135"/>
    <cellStyle name="Normal 3 6 2 6 5 2 2 2 2" xfId="15136"/>
    <cellStyle name="Normal 3 6 2 6 5 2 2 3" xfId="15137"/>
    <cellStyle name="Normal 3 6 2 6 5 2 2 3 2" xfId="15138"/>
    <cellStyle name="Normal 3 6 2 6 5 2 2 4" xfId="15139"/>
    <cellStyle name="Normal 3 6 2 6 5 2 2 4 2" xfId="15140"/>
    <cellStyle name="Normal 3 6 2 6 5 2 2 5" xfId="15141"/>
    <cellStyle name="Normal 3 6 2 6 5 2 3" xfId="15142"/>
    <cellStyle name="Normal 3 6 2 6 5 2 3 2" xfId="15143"/>
    <cellStyle name="Normal 3 6 2 6 5 2 3 2 2" xfId="15144"/>
    <cellStyle name="Normal 3 6 2 6 5 2 3 3" xfId="15145"/>
    <cellStyle name="Normal 3 6 2 6 5 2 3 3 2" xfId="15146"/>
    <cellStyle name="Normal 3 6 2 6 5 2 3 4" xfId="15147"/>
    <cellStyle name="Normal 3 6 2 6 5 2 3 4 2" xfId="15148"/>
    <cellStyle name="Normal 3 6 2 6 5 2 3 5" xfId="15149"/>
    <cellStyle name="Normal 3 6 2 6 5 2 4" xfId="15150"/>
    <cellStyle name="Normal 3 6 2 6 5 2 4 2" xfId="15151"/>
    <cellStyle name="Normal 3 6 2 6 5 2 5" xfId="15152"/>
    <cellStyle name="Normal 3 6 2 6 5 2 5 2" xfId="15153"/>
    <cellStyle name="Normal 3 6 2 6 5 2 6" xfId="15154"/>
    <cellStyle name="Normal 3 6 2 6 5 2 6 2" xfId="15155"/>
    <cellStyle name="Normal 3 6 2 6 5 2 7" xfId="15156"/>
    <cellStyle name="Normal 3 6 2 6 5 3" xfId="15157"/>
    <cellStyle name="Normal 3 6 2 6 5 3 2" xfId="15158"/>
    <cellStyle name="Normal 3 6 2 6 5 3 2 2" xfId="15159"/>
    <cellStyle name="Normal 3 6 2 6 5 3 3" xfId="15160"/>
    <cellStyle name="Normal 3 6 2 6 5 3 3 2" xfId="15161"/>
    <cellStyle name="Normal 3 6 2 6 5 3 4" xfId="15162"/>
    <cellStyle name="Normal 3 6 2 6 5 3 4 2" xfId="15163"/>
    <cellStyle name="Normal 3 6 2 6 5 3 5" xfId="15164"/>
    <cellStyle name="Normal 3 6 2 6 5 4" xfId="15165"/>
    <cellStyle name="Normal 3 6 2 6 5 4 2" xfId="15166"/>
    <cellStyle name="Normal 3 6 2 6 5 4 2 2" xfId="15167"/>
    <cellStyle name="Normal 3 6 2 6 5 4 3" xfId="15168"/>
    <cellStyle name="Normal 3 6 2 6 5 4 3 2" xfId="15169"/>
    <cellStyle name="Normal 3 6 2 6 5 4 4" xfId="15170"/>
    <cellStyle name="Normal 3 6 2 6 5 4 4 2" xfId="15171"/>
    <cellStyle name="Normal 3 6 2 6 5 4 5" xfId="15172"/>
    <cellStyle name="Normal 3 6 2 6 5 5" xfId="15173"/>
    <cellStyle name="Normal 3 6 2 6 5 5 2" xfId="15174"/>
    <cellStyle name="Normal 3 6 2 6 5 6" xfId="15175"/>
    <cellStyle name="Normal 3 6 2 6 5 6 2" xfId="15176"/>
    <cellStyle name="Normal 3 6 2 6 5 7" xfId="15177"/>
    <cellStyle name="Normal 3 6 2 6 5 7 2" xfId="15178"/>
    <cellStyle name="Normal 3 6 2 6 5 8" xfId="15179"/>
    <cellStyle name="Normal 3 6 2 6 6" xfId="15180"/>
    <cellStyle name="Normal 3 6 2 6 6 2" xfId="15181"/>
    <cellStyle name="Normal 3 6 2 6 6 2 2" xfId="15182"/>
    <cellStyle name="Normal 3 6 2 6 6 2 2 2" xfId="15183"/>
    <cellStyle name="Normal 3 6 2 6 6 2 2 2 2" xfId="15184"/>
    <cellStyle name="Normal 3 6 2 6 6 2 2 3" xfId="15185"/>
    <cellStyle name="Normal 3 6 2 6 6 2 2 3 2" xfId="15186"/>
    <cellStyle name="Normal 3 6 2 6 6 2 2 4" xfId="15187"/>
    <cellStyle name="Normal 3 6 2 6 6 2 2 4 2" xfId="15188"/>
    <cellStyle name="Normal 3 6 2 6 6 2 2 5" xfId="15189"/>
    <cellStyle name="Normal 3 6 2 6 6 2 3" xfId="15190"/>
    <cellStyle name="Normal 3 6 2 6 6 2 3 2" xfId="15191"/>
    <cellStyle name="Normal 3 6 2 6 6 2 3 2 2" xfId="15192"/>
    <cellStyle name="Normal 3 6 2 6 6 2 3 3" xfId="15193"/>
    <cellStyle name="Normal 3 6 2 6 6 2 3 3 2" xfId="15194"/>
    <cellStyle name="Normal 3 6 2 6 6 2 3 4" xfId="15195"/>
    <cellStyle name="Normal 3 6 2 6 6 2 3 4 2" xfId="15196"/>
    <cellStyle name="Normal 3 6 2 6 6 2 3 5" xfId="15197"/>
    <cellStyle name="Normal 3 6 2 6 6 2 4" xfId="15198"/>
    <cellStyle name="Normal 3 6 2 6 6 2 4 2" xfId="15199"/>
    <cellStyle name="Normal 3 6 2 6 6 2 5" xfId="15200"/>
    <cellStyle name="Normal 3 6 2 6 6 2 5 2" xfId="15201"/>
    <cellStyle name="Normal 3 6 2 6 6 2 6" xfId="15202"/>
    <cellStyle name="Normal 3 6 2 6 6 2 6 2" xfId="15203"/>
    <cellStyle name="Normal 3 6 2 6 6 2 7" xfId="15204"/>
    <cellStyle name="Normal 3 6 2 6 6 3" xfId="15205"/>
    <cellStyle name="Normal 3 6 2 6 6 3 2" xfId="15206"/>
    <cellStyle name="Normal 3 6 2 6 6 3 2 2" xfId="15207"/>
    <cellStyle name="Normal 3 6 2 6 6 3 3" xfId="15208"/>
    <cellStyle name="Normal 3 6 2 6 6 3 3 2" xfId="15209"/>
    <cellStyle name="Normal 3 6 2 6 6 3 4" xfId="15210"/>
    <cellStyle name="Normal 3 6 2 6 6 3 4 2" xfId="15211"/>
    <cellStyle name="Normal 3 6 2 6 6 3 5" xfId="15212"/>
    <cellStyle name="Normal 3 6 2 6 6 4" xfId="15213"/>
    <cellStyle name="Normal 3 6 2 6 6 4 2" xfId="15214"/>
    <cellStyle name="Normal 3 6 2 6 6 4 2 2" xfId="15215"/>
    <cellStyle name="Normal 3 6 2 6 6 4 3" xfId="15216"/>
    <cellStyle name="Normal 3 6 2 6 6 4 3 2" xfId="15217"/>
    <cellStyle name="Normal 3 6 2 6 6 4 4" xfId="15218"/>
    <cellStyle name="Normal 3 6 2 6 6 4 4 2" xfId="15219"/>
    <cellStyle name="Normal 3 6 2 6 6 4 5" xfId="15220"/>
    <cellStyle name="Normal 3 6 2 6 6 5" xfId="15221"/>
    <cellStyle name="Normal 3 6 2 6 6 5 2" xfId="15222"/>
    <cellStyle name="Normal 3 6 2 6 6 6" xfId="15223"/>
    <cellStyle name="Normal 3 6 2 6 6 6 2" xfId="15224"/>
    <cellStyle name="Normal 3 6 2 6 6 7" xfId="15225"/>
    <cellStyle name="Normal 3 6 2 6 6 7 2" xfId="15226"/>
    <cellStyle name="Normal 3 6 2 6 6 8" xfId="15227"/>
    <cellStyle name="Normal 3 6 2 6 7" xfId="15228"/>
    <cellStyle name="Normal 3 6 2 6 7 2" xfId="15229"/>
    <cellStyle name="Normal 3 6 2 6 7 2 2" xfId="15230"/>
    <cellStyle name="Normal 3 6 2 6 7 2 2 2" xfId="15231"/>
    <cellStyle name="Normal 3 6 2 6 7 2 3" xfId="15232"/>
    <cellStyle name="Normal 3 6 2 6 7 2 3 2" xfId="15233"/>
    <cellStyle name="Normal 3 6 2 6 7 2 4" xfId="15234"/>
    <cellStyle name="Normal 3 6 2 6 7 2 4 2" xfId="15235"/>
    <cellStyle name="Normal 3 6 2 6 7 2 5" xfId="15236"/>
    <cellStyle name="Normal 3 6 2 6 7 3" xfId="15237"/>
    <cellStyle name="Normal 3 6 2 6 7 3 2" xfId="15238"/>
    <cellStyle name="Normal 3 6 2 6 7 3 2 2" xfId="15239"/>
    <cellStyle name="Normal 3 6 2 6 7 3 3" xfId="15240"/>
    <cellStyle name="Normal 3 6 2 6 7 3 3 2" xfId="15241"/>
    <cellStyle name="Normal 3 6 2 6 7 3 4" xfId="15242"/>
    <cellStyle name="Normal 3 6 2 6 7 3 4 2" xfId="15243"/>
    <cellStyle name="Normal 3 6 2 6 7 3 5" xfId="15244"/>
    <cellStyle name="Normal 3 6 2 6 7 4" xfId="15245"/>
    <cellStyle name="Normal 3 6 2 6 7 4 2" xfId="15246"/>
    <cellStyle name="Normal 3 6 2 6 7 5" xfId="15247"/>
    <cellStyle name="Normal 3 6 2 6 7 5 2" xfId="15248"/>
    <cellStyle name="Normal 3 6 2 6 7 6" xfId="15249"/>
    <cellStyle name="Normal 3 6 2 6 7 6 2" xfId="15250"/>
    <cellStyle name="Normal 3 6 2 6 7 7" xfId="15251"/>
    <cellStyle name="Normal 3 6 2 6 8" xfId="15252"/>
    <cellStyle name="Normal 3 6 2 6 8 2" xfId="15253"/>
    <cellStyle name="Normal 3 6 2 6 8 2 2" xfId="15254"/>
    <cellStyle name="Normal 3 6 2 6 8 3" xfId="15255"/>
    <cellStyle name="Normal 3 6 2 6 8 3 2" xfId="15256"/>
    <cellStyle name="Normal 3 6 2 6 8 4" xfId="15257"/>
    <cellStyle name="Normal 3 6 2 6 8 4 2" xfId="15258"/>
    <cellStyle name="Normal 3 6 2 6 8 5" xfId="15259"/>
    <cellStyle name="Normal 3 6 2 6 9" xfId="15260"/>
    <cellStyle name="Normal 3 6 2 6 9 2" xfId="15261"/>
    <cellStyle name="Normal 3 6 2 6 9 2 2" xfId="15262"/>
    <cellStyle name="Normal 3 6 2 6 9 3" xfId="15263"/>
    <cellStyle name="Normal 3 6 2 6 9 3 2" xfId="15264"/>
    <cellStyle name="Normal 3 6 2 6 9 4" xfId="15265"/>
    <cellStyle name="Normal 3 6 2 6 9 4 2" xfId="15266"/>
    <cellStyle name="Normal 3 6 2 6 9 5" xfId="15267"/>
    <cellStyle name="Normal 3 6 2 7" xfId="15268"/>
    <cellStyle name="Normal 3 6 2 7 2" xfId="15269"/>
    <cellStyle name="Normal 3 6 2 7 2 2" xfId="15270"/>
    <cellStyle name="Normal 3 6 2 7 2 2 2" xfId="15271"/>
    <cellStyle name="Normal 3 6 2 7 2 2 2 2" xfId="15272"/>
    <cellStyle name="Normal 3 6 2 7 2 2 3" xfId="15273"/>
    <cellStyle name="Normal 3 6 2 7 2 2 3 2" xfId="15274"/>
    <cellStyle name="Normal 3 6 2 7 2 2 4" xfId="15275"/>
    <cellStyle name="Normal 3 6 2 7 2 2 4 2" xfId="15276"/>
    <cellStyle name="Normal 3 6 2 7 2 2 5" xfId="15277"/>
    <cellStyle name="Normal 3 6 2 7 2 3" xfId="15278"/>
    <cellStyle name="Normal 3 6 2 7 2 3 2" xfId="15279"/>
    <cellStyle name="Normal 3 6 2 7 2 3 2 2" xfId="15280"/>
    <cellStyle name="Normal 3 6 2 7 2 3 3" xfId="15281"/>
    <cellStyle name="Normal 3 6 2 7 2 3 3 2" xfId="15282"/>
    <cellStyle name="Normal 3 6 2 7 2 3 4" xfId="15283"/>
    <cellStyle name="Normal 3 6 2 7 2 3 4 2" xfId="15284"/>
    <cellStyle name="Normal 3 6 2 7 2 3 5" xfId="15285"/>
    <cellStyle name="Normal 3 6 2 7 2 4" xfId="15286"/>
    <cellStyle name="Normal 3 6 2 7 2 4 2" xfId="15287"/>
    <cellStyle name="Normal 3 6 2 7 2 5" xfId="15288"/>
    <cellStyle name="Normal 3 6 2 7 2 5 2" xfId="15289"/>
    <cellStyle name="Normal 3 6 2 7 2 6" xfId="15290"/>
    <cellStyle name="Normal 3 6 2 7 2 6 2" xfId="15291"/>
    <cellStyle name="Normal 3 6 2 7 2 7" xfId="15292"/>
    <cellStyle name="Normal 3 6 2 7 3" xfId="15293"/>
    <cellStyle name="Normal 3 6 2 7 3 2" xfId="15294"/>
    <cellStyle name="Normal 3 6 2 7 3 2 2" xfId="15295"/>
    <cellStyle name="Normal 3 6 2 7 3 3" xfId="15296"/>
    <cellStyle name="Normal 3 6 2 7 3 3 2" xfId="15297"/>
    <cellStyle name="Normal 3 6 2 7 3 4" xfId="15298"/>
    <cellStyle name="Normal 3 6 2 7 3 4 2" xfId="15299"/>
    <cellStyle name="Normal 3 6 2 7 3 5" xfId="15300"/>
    <cellStyle name="Normal 3 6 2 7 4" xfId="15301"/>
    <cellStyle name="Normal 3 6 2 7 4 2" xfId="15302"/>
    <cellStyle name="Normal 3 6 2 7 4 2 2" xfId="15303"/>
    <cellStyle name="Normal 3 6 2 7 4 3" xfId="15304"/>
    <cellStyle name="Normal 3 6 2 7 4 3 2" xfId="15305"/>
    <cellStyle name="Normal 3 6 2 7 4 4" xfId="15306"/>
    <cellStyle name="Normal 3 6 2 7 4 4 2" xfId="15307"/>
    <cellStyle name="Normal 3 6 2 7 4 5" xfId="15308"/>
    <cellStyle name="Normal 3 6 2 7 5" xfId="15309"/>
    <cellStyle name="Normal 3 6 2 7 5 2" xfId="15310"/>
    <cellStyle name="Normal 3 6 2 7 6" xfId="15311"/>
    <cellStyle name="Normal 3 6 2 7 6 2" xfId="15312"/>
    <cellStyle name="Normal 3 6 2 7 7" xfId="15313"/>
    <cellStyle name="Normal 3 6 2 7 7 2" xfId="15314"/>
    <cellStyle name="Normal 3 6 2 7 8" xfId="15315"/>
    <cellStyle name="Normal 3 6 2 8" xfId="15316"/>
    <cellStyle name="Normal 3 6 2 8 2" xfId="15317"/>
    <cellStyle name="Normal 3 6 2 8 2 2" xfId="15318"/>
    <cellStyle name="Normal 3 6 2 8 2 2 2" xfId="15319"/>
    <cellStyle name="Normal 3 6 2 8 2 2 2 2" xfId="15320"/>
    <cellStyle name="Normal 3 6 2 8 2 2 3" xfId="15321"/>
    <cellStyle name="Normal 3 6 2 8 2 2 3 2" xfId="15322"/>
    <cellStyle name="Normal 3 6 2 8 2 2 4" xfId="15323"/>
    <cellStyle name="Normal 3 6 2 8 2 2 4 2" xfId="15324"/>
    <cellStyle name="Normal 3 6 2 8 2 2 5" xfId="15325"/>
    <cellStyle name="Normal 3 6 2 8 2 3" xfId="15326"/>
    <cellStyle name="Normal 3 6 2 8 2 3 2" xfId="15327"/>
    <cellStyle name="Normal 3 6 2 8 2 3 2 2" xfId="15328"/>
    <cellStyle name="Normal 3 6 2 8 2 3 3" xfId="15329"/>
    <cellStyle name="Normal 3 6 2 8 2 3 3 2" xfId="15330"/>
    <cellStyle name="Normal 3 6 2 8 2 3 4" xfId="15331"/>
    <cellStyle name="Normal 3 6 2 8 2 3 4 2" xfId="15332"/>
    <cellStyle name="Normal 3 6 2 8 2 3 5" xfId="15333"/>
    <cellStyle name="Normal 3 6 2 8 2 4" xfId="15334"/>
    <cellStyle name="Normal 3 6 2 8 2 4 2" xfId="15335"/>
    <cellStyle name="Normal 3 6 2 8 2 5" xfId="15336"/>
    <cellStyle name="Normal 3 6 2 8 2 5 2" xfId="15337"/>
    <cellStyle name="Normal 3 6 2 8 2 6" xfId="15338"/>
    <cellStyle name="Normal 3 6 2 8 2 6 2" xfId="15339"/>
    <cellStyle name="Normal 3 6 2 8 2 7" xfId="15340"/>
    <cellStyle name="Normal 3 6 2 8 3" xfId="15341"/>
    <cellStyle name="Normal 3 6 2 8 3 2" xfId="15342"/>
    <cellStyle name="Normal 3 6 2 8 3 2 2" xfId="15343"/>
    <cellStyle name="Normal 3 6 2 8 3 3" xfId="15344"/>
    <cellStyle name="Normal 3 6 2 8 3 3 2" xfId="15345"/>
    <cellStyle name="Normal 3 6 2 8 3 4" xfId="15346"/>
    <cellStyle name="Normal 3 6 2 8 3 4 2" xfId="15347"/>
    <cellStyle name="Normal 3 6 2 8 3 5" xfId="15348"/>
    <cellStyle name="Normal 3 6 2 8 4" xfId="15349"/>
    <cellStyle name="Normal 3 6 2 8 4 2" xfId="15350"/>
    <cellStyle name="Normal 3 6 2 8 4 2 2" xfId="15351"/>
    <cellStyle name="Normal 3 6 2 8 4 3" xfId="15352"/>
    <cellStyle name="Normal 3 6 2 8 4 3 2" xfId="15353"/>
    <cellStyle name="Normal 3 6 2 8 4 4" xfId="15354"/>
    <cellStyle name="Normal 3 6 2 8 4 4 2" xfId="15355"/>
    <cellStyle name="Normal 3 6 2 8 4 5" xfId="15356"/>
    <cellStyle name="Normal 3 6 2 8 5" xfId="15357"/>
    <cellStyle name="Normal 3 6 2 8 5 2" xfId="15358"/>
    <cellStyle name="Normal 3 6 2 8 6" xfId="15359"/>
    <cellStyle name="Normal 3 6 2 8 6 2" xfId="15360"/>
    <cellStyle name="Normal 3 6 2 8 7" xfId="15361"/>
    <cellStyle name="Normal 3 6 2 8 7 2" xfId="15362"/>
    <cellStyle name="Normal 3 6 2 8 8" xfId="15363"/>
    <cellStyle name="Normal 3 6 2 9" xfId="15364"/>
    <cellStyle name="Normal 3 6 2 9 2" xfId="15365"/>
    <cellStyle name="Normal 3 6 2 9 2 2" xfId="15366"/>
    <cellStyle name="Normal 3 6 2 9 2 2 2" xfId="15367"/>
    <cellStyle name="Normal 3 6 2 9 2 2 2 2" xfId="15368"/>
    <cellStyle name="Normal 3 6 2 9 2 2 3" xfId="15369"/>
    <cellStyle name="Normal 3 6 2 9 2 2 3 2" xfId="15370"/>
    <cellStyle name="Normal 3 6 2 9 2 2 4" xfId="15371"/>
    <cellStyle name="Normal 3 6 2 9 2 2 4 2" xfId="15372"/>
    <cellStyle name="Normal 3 6 2 9 2 2 5" xfId="15373"/>
    <cellStyle name="Normal 3 6 2 9 2 3" xfId="15374"/>
    <cellStyle name="Normal 3 6 2 9 2 3 2" xfId="15375"/>
    <cellStyle name="Normal 3 6 2 9 2 3 2 2" xfId="15376"/>
    <cellStyle name="Normal 3 6 2 9 2 3 3" xfId="15377"/>
    <cellStyle name="Normal 3 6 2 9 2 3 3 2" xfId="15378"/>
    <cellStyle name="Normal 3 6 2 9 2 3 4" xfId="15379"/>
    <cellStyle name="Normal 3 6 2 9 2 3 4 2" xfId="15380"/>
    <cellStyle name="Normal 3 6 2 9 2 3 5" xfId="15381"/>
    <cellStyle name="Normal 3 6 2 9 2 4" xfId="15382"/>
    <cellStyle name="Normal 3 6 2 9 2 4 2" xfId="15383"/>
    <cellStyle name="Normal 3 6 2 9 2 5" xfId="15384"/>
    <cellStyle name="Normal 3 6 2 9 2 5 2" xfId="15385"/>
    <cellStyle name="Normal 3 6 2 9 2 6" xfId="15386"/>
    <cellStyle name="Normal 3 6 2 9 2 6 2" xfId="15387"/>
    <cellStyle name="Normal 3 6 2 9 2 7" xfId="15388"/>
    <cellStyle name="Normal 3 6 2 9 3" xfId="15389"/>
    <cellStyle name="Normal 3 6 2 9 3 2" xfId="15390"/>
    <cellStyle name="Normal 3 6 2 9 3 2 2" xfId="15391"/>
    <cellStyle name="Normal 3 6 2 9 3 3" xfId="15392"/>
    <cellStyle name="Normal 3 6 2 9 3 3 2" xfId="15393"/>
    <cellStyle name="Normal 3 6 2 9 3 4" xfId="15394"/>
    <cellStyle name="Normal 3 6 2 9 3 4 2" xfId="15395"/>
    <cellStyle name="Normal 3 6 2 9 3 5" xfId="15396"/>
    <cellStyle name="Normal 3 6 2 9 4" xfId="15397"/>
    <cellStyle name="Normal 3 6 2 9 4 2" xfId="15398"/>
    <cellStyle name="Normal 3 6 2 9 4 2 2" xfId="15399"/>
    <cellStyle name="Normal 3 6 2 9 4 3" xfId="15400"/>
    <cellStyle name="Normal 3 6 2 9 4 3 2" xfId="15401"/>
    <cellStyle name="Normal 3 6 2 9 4 4" xfId="15402"/>
    <cellStyle name="Normal 3 6 2 9 4 4 2" xfId="15403"/>
    <cellStyle name="Normal 3 6 2 9 4 5" xfId="15404"/>
    <cellStyle name="Normal 3 6 2 9 5" xfId="15405"/>
    <cellStyle name="Normal 3 6 2 9 5 2" xfId="15406"/>
    <cellStyle name="Normal 3 6 2 9 6" xfId="15407"/>
    <cellStyle name="Normal 3 6 2 9 6 2" xfId="15408"/>
    <cellStyle name="Normal 3 6 2 9 7" xfId="15409"/>
    <cellStyle name="Normal 3 6 2 9 7 2" xfId="15410"/>
    <cellStyle name="Normal 3 6 2 9 8" xfId="15411"/>
    <cellStyle name="Normal 3 6 2_Input" xfId="2033"/>
    <cellStyle name="Normal 3 6 3" xfId="1989"/>
    <cellStyle name="Normal 3 6 3 10" xfId="15412"/>
    <cellStyle name="Normal 3 6 3 10 2" xfId="15413"/>
    <cellStyle name="Normal 3 6 3 10 2 2" xfId="15414"/>
    <cellStyle name="Normal 3 6 3 10 3" xfId="15415"/>
    <cellStyle name="Normal 3 6 3 10 3 2" xfId="15416"/>
    <cellStyle name="Normal 3 6 3 10 4" xfId="15417"/>
    <cellStyle name="Normal 3 6 3 10 4 2" xfId="15418"/>
    <cellStyle name="Normal 3 6 3 10 5" xfId="15419"/>
    <cellStyle name="Normal 3 6 3 11" xfId="15420"/>
    <cellStyle name="Normal 3 6 3 11 2" xfId="15421"/>
    <cellStyle name="Normal 3 6 3 12" xfId="15422"/>
    <cellStyle name="Normal 3 6 3 12 2" xfId="15423"/>
    <cellStyle name="Normal 3 6 3 13" xfId="15424"/>
    <cellStyle name="Normal 3 6 3 13 2" xfId="15425"/>
    <cellStyle name="Normal 3 6 3 14" xfId="15426"/>
    <cellStyle name="Normal 3 6 3 2" xfId="15427"/>
    <cellStyle name="Normal 3 6 3 2 10" xfId="15428"/>
    <cellStyle name="Normal 3 6 3 2 10 2" xfId="15429"/>
    <cellStyle name="Normal 3 6 3 2 11" xfId="15430"/>
    <cellStyle name="Normal 3 6 3 2 11 2" xfId="15431"/>
    <cellStyle name="Normal 3 6 3 2 12" xfId="15432"/>
    <cellStyle name="Normal 3 6 3 2 12 2" xfId="15433"/>
    <cellStyle name="Normal 3 6 3 2 13" xfId="15434"/>
    <cellStyle name="Normal 3 6 3 2 2" xfId="15435"/>
    <cellStyle name="Normal 3 6 3 2 2 2" xfId="15436"/>
    <cellStyle name="Normal 3 6 3 2 2 2 2" xfId="15437"/>
    <cellStyle name="Normal 3 6 3 2 2 2 2 2" xfId="15438"/>
    <cellStyle name="Normal 3 6 3 2 2 2 2 2 2" xfId="15439"/>
    <cellStyle name="Normal 3 6 3 2 2 2 2 3" xfId="15440"/>
    <cellStyle name="Normal 3 6 3 2 2 2 2 3 2" xfId="15441"/>
    <cellStyle name="Normal 3 6 3 2 2 2 2 4" xfId="15442"/>
    <cellStyle name="Normal 3 6 3 2 2 2 2 4 2" xfId="15443"/>
    <cellStyle name="Normal 3 6 3 2 2 2 2 5" xfId="15444"/>
    <cellStyle name="Normal 3 6 3 2 2 2 3" xfId="15445"/>
    <cellStyle name="Normal 3 6 3 2 2 2 3 2" xfId="15446"/>
    <cellStyle name="Normal 3 6 3 2 2 2 3 2 2" xfId="15447"/>
    <cellStyle name="Normal 3 6 3 2 2 2 3 3" xfId="15448"/>
    <cellStyle name="Normal 3 6 3 2 2 2 3 3 2" xfId="15449"/>
    <cellStyle name="Normal 3 6 3 2 2 2 3 4" xfId="15450"/>
    <cellStyle name="Normal 3 6 3 2 2 2 3 4 2" xfId="15451"/>
    <cellStyle name="Normal 3 6 3 2 2 2 3 5" xfId="15452"/>
    <cellStyle name="Normal 3 6 3 2 2 2 4" xfId="15453"/>
    <cellStyle name="Normal 3 6 3 2 2 2 4 2" xfId="15454"/>
    <cellStyle name="Normal 3 6 3 2 2 2 5" xfId="15455"/>
    <cellStyle name="Normal 3 6 3 2 2 2 5 2" xfId="15456"/>
    <cellStyle name="Normal 3 6 3 2 2 2 6" xfId="15457"/>
    <cellStyle name="Normal 3 6 3 2 2 2 6 2" xfId="15458"/>
    <cellStyle name="Normal 3 6 3 2 2 2 7" xfId="15459"/>
    <cellStyle name="Normal 3 6 3 2 2 3" xfId="15460"/>
    <cellStyle name="Normal 3 6 3 2 2 3 2" xfId="15461"/>
    <cellStyle name="Normal 3 6 3 2 2 3 2 2" xfId="15462"/>
    <cellStyle name="Normal 3 6 3 2 2 3 3" xfId="15463"/>
    <cellStyle name="Normal 3 6 3 2 2 3 3 2" xfId="15464"/>
    <cellStyle name="Normal 3 6 3 2 2 3 4" xfId="15465"/>
    <cellStyle name="Normal 3 6 3 2 2 3 4 2" xfId="15466"/>
    <cellStyle name="Normal 3 6 3 2 2 3 5" xfId="15467"/>
    <cellStyle name="Normal 3 6 3 2 2 4" xfId="15468"/>
    <cellStyle name="Normal 3 6 3 2 2 4 2" xfId="15469"/>
    <cellStyle name="Normal 3 6 3 2 2 4 2 2" xfId="15470"/>
    <cellStyle name="Normal 3 6 3 2 2 4 3" xfId="15471"/>
    <cellStyle name="Normal 3 6 3 2 2 4 3 2" xfId="15472"/>
    <cellStyle name="Normal 3 6 3 2 2 4 4" xfId="15473"/>
    <cellStyle name="Normal 3 6 3 2 2 4 4 2" xfId="15474"/>
    <cellStyle name="Normal 3 6 3 2 2 4 5" xfId="15475"/>
    <cellStyle name="Normal 3 6 3 2 2 5" xfId="15476"/>
    <cellStyle name="Normal 3 6 3 2 2 5 2" xfId="15477"/>
    <cellStyle name="Normal 3 6 3 2 2 6" xfId="15478"/>
    <cellStyle name="Normal 3 6 3 2 2 6 2" xfId="15479"/>
    <cellStyle name="Normal 3 6 3 2 2 7" xfId="15480"/>
    <cellStyle name="Normal 3 6 3 2 2 7 2" xfId="15481"/>
    <cellStyle name="Normal 3 6 3 2 2 8" xfId="15482"/>
    <cellStyle name="Normal 3 6 3 2 3" xfId="15483"/>
    <cellStyle name="Normal 3 6 3 2 3 2" xfId="15484"/>
    <cellStyle name="Normal 3 6 3 2 3 2 2" xfId="15485"/>
    <cellStyle name="Normal 3 6 3 2 3 2 2 2" xfId="15486"/>
    <cellStyle name="Normal 3 6 3 2 3 2 2 2 2" xfId="15487"/>
    <cellStyle name="Normal 3 6 3 2 3 2 2 3" xfId="15488"/>
    <cellStyle name="Normal 3 6 3 2 3 2 2 3 2" xfId="15489"/>
    <cellStyle name="Normal 3 6 3 2 3 2 2 4" xfId="15490"/>
    <cellStyle name="Normal 3 6 3 2 3 2 2 4 2" xfId="15491"/>
    <cellStyle name="Normal 3 6 3 2 3 2 2 5" xfId="15492"/>
    <cellStyle name="Normal 3 6 3 2 3 2 3" xfId="15493"/>
    <cellStyle name="Normal 3 6 3 2 3 2 3 2" xfId="15494"/>
    <cellStyle name="Normal 3 6 3 2 3 2 3 2 2" xfId="15495"/>
    <cellStyle name="Normal 3 6 3 2 3 2 3 3" xfId="15496"/>
    <cellStyle name="Normal 3 6 3 2 3 2 3 3 2" xfId="15497"/>
    <cellStyle name="Normal 3 6 3 2 3 2 3 4" xfId="15498"/>
    <cellStyle name="Normal 3 6 3 2 3 2 3 4 2" xfId="15499"/>
    <cellStyle name="Normal 3 6 3 2 3 2 3 5" xfId="15500"/>
    <cellStyle name="Normal 3 6 3 2 3 2 4" xfId="15501"/>
    <cellStyle name="Normal 3 6 3 2 3 2 4 2" xfId="15502"/>
    <cellStyle name="Normal 3 6 3 2 3 2 5" xfId="15503"/>
    <cellStyle name="Normal 3 6 3 2 3 2 5 2" xfId="15504"/>
    <cellStyle name="Normal 3 6 3 2 3 2 6" xfId="15505"/>
    <cellStyle name="Normal 3 6 3 2 3 2 6 2" xfId="15506"/>
    <cellStyle name="Normal 3 6 3 2 3 2 7" xfId="15507"/>
    <cellStyle name="Normal 3 6 3 2 3 3" xfId="15508"/>
    <cellStyle name="Normal 3 6 3 2 3 3 2" xfId="15509"/>
    <cellStyle name="Normal 3 6 3 2 3 3 2 2" xfId="15510"/>
    <cellStyle name="Normal 3 6 3 2 3 3 3" xfId="15511"/>
    <cellStyle name="Normal 3 6 3 2 3 3 3 2" xfId="15512"/>
    <cellStyle name="Normal 3 6 3 2 3 3 4" xfId="15513"/>
    <cellStyle name="Normal 3 6 3 2 3 3 4 2" xfId="15514"/>
    <cellStyle name="Normal 3 6 3 2 3 3 5" xfId="15515"/>
    <cellStyle name="Normal 3 6 3 2 3 4" xfId="15516"/>
    <cellStyle name="Normal 3 6 3 2 3 4 2" xfId="15517"/>
    <cellStyle name="Normal 3 6 3 2 3 4 2 2" xfId="15518"/>
    <cellStyle name="Normal 3 6 3 2 3 4 3" xfId="15519"/>
    <cellStyle name="Normal 3 6 3 2 3 4 3 2" xfId="15520"/>
    <cellStyle name="Normal 3 6 3 2 3 4 4" xfId="15521"/>
    <cellStyle name="Normal 3 6 3 2 3 4 4 2" xfId="15522"/>
    <cellStyle name="Normal 3 6 3 2 3 4 5" xfId="15523"/>
    <cellStyle name="Normal 3 6 3 2 3 5" xfId="15524"/>
    <cellStyle name="Normal 3 6 3 2 3 5 2" xfId="15525"/>
    <cellStyle name="Normal 3 6 3 2 3 6" xfId="15526"/>
    <cellStyle name="Normal 3 6 3 2 3 6 2" xfId="15527"/>
    <cellStyle name="Normal 3 6 3 2 3 7" xfId="15528"/>
    <cellStyle name="Normal 3 6 3 2 3 7 2" xfId="15529"/>
    <cellStyle name="Normal 3 6 3 2 3 8" xfId="15530"/>
    <cellStyle name="Normal 3 6 3 2 4" xfId="15531"/>
    <cellStyle name="Normal 3 6 3 2 4 2" xfId="15532"/>
    <cellStyle name="Normal 3 6 3 2 4 2 2" xfId="15533"/>
    <cellStyle name="Normal 3 6 3 2 4 2 2 2" xfId="15534"/>
    <cellStyle name="Normal 3 6 3 2 4 2 2 2 2" xfId="15535"/>
    <cellStyle name="Normal 3 6 3 2 4 2 2 3" xfId="15536"/>
    <cellStyle name="Normal 3 6 3 2 4 2 2 3 2" xfId="15537"/>
    <cellStyle name="Normal 3 6 3 2 4 2 2 4" xfId="15538"/>
    <cellStyle name="Normal 3 6 3 2 4 2 2 4 2" xfId="15539"/>
    <cellStyle name="Normal 3 6 3 2 4 2 2 5" xfId="15540"/>
    <cellStyle name="Normal 3 6 3 2 4 2 3" xfId="15541"/>
    <cellStyle name="Normal 3 6 3 2 4 2 3 2" xfId="15542"/>
    <cellStyle name="Normal 3 6 3 2 4 2 3 2 2" xfId="15543"/>
    <cellStyle name="Normal 3 6 3 2 4 2 3 3" xfId="15544"/>
    <cellStyle name="Normal 3 6 3 2 4 2 3 3 2" xfId="15545"/>
    <cellStyle name="Normal 3 6 3 2 4 2 3 4" xfId="15546"/>
    <cellStyle name="Normal 3 6 3 2 4 2 3 4 2" xfId="15547"/>
    <cellStyle name="Normal 3 6 3 2 4 2 3 5" xfId="15548"/>
    <cellStyle name="Normal 3 6 3 2 4 2 4" xfId="15549"/>
    <cellStyle name="Normal 3 6 3 2 4 2 4 2" xfId="15550"/>
    <cellStyle name="Normal 3 6 3 2 4 2 5" xfId="15551"/>
    <cellStyle name="Normal 3 6 3 2 4 2 5 2" xfId="15552"/>
    <cellStyle name="Normal 3 6 3 2 4 2 6" xfId="15553"/>
    <cellStyle name="Normal 3 6 3 2 4 2 6 2" xfId="15554"/>
    <cellStyle name="Normal 3 6 3 2 4 2 7" xfId="15555"/>
    <cellStyle name="Normal 3 6 3 2 4 3" xfId="15556"/>
    <cellStyle name="Normal 3 6 3 2 4 3 2" xfId="15557"/>
    <cellStyle name="Normal 3 6 3 2 4 3 2 2" xfId="15558"/>
    <cellStyle name="Normal 3 6 3 2 4 3 3" xfId="15559"/>
    <cellStyle name="Normal 3 6 3 2 4 3 3 2" xfId="15560"/>
    <cellStyle name="Normal 3 6 3 2 4 3 4" xfId="15561"/>
    <cellStyle name="Normal 3 6 3 2 4 3 4 2" xfId="15562"/>
    <cellStyle name="Normal 3 6 3 2 4 3 5" xfId="15563"/>
    <cellStyle name="Normal 3 6 3 2 4 4" xfId="15564"/>
    <cellStyle name="Normal 3 6 3 2 4 4 2" xfId="15565"/>
    <cellStyle name="Normal 3 6 3 2 4 4 2 2" xfId="15566"/>
    <cellStyle name="Normal 3 6 3 2 4 4 3" xfId="15567"/>
    <cellStyle name="Normal 3 6 3 2 4 4 3 2" xfId="15568"/>
    <cellStyle name="Normal 3 6 3 2 4 4 4" xfId="15569"/>
    <cellStyle name="Normal 3 6 3 2 4 4 4 2" xfId="15570"/>
    <cellStyle name="Normal 3 6 3 2 4 4 5" xfId="15571"/>
    <cellStyle name="Normal 3 6 3 2 4 5" xfId="15572"/>
    <cellStyle name="Normal 3 6 3 2 4 5 2" xfId="15573"/>
    <cellStyle name="Normal 3 6 3 2 4 6" xfId="15574"/>
    <cellStyle name="Normal 3 6 3 2 4 6 2" xfId="15575"/>
    <cellStyle name="Normal 3 6 3 2 4 7" xfId="15576"/>
    <cellStyle name="Normal 3 6 3 2 4 7 2" xfId="15577"/>
    <cellStyle name="Normal 3 6 3 2 4 8" xfId="15578"/>
    <cellStyle name="Normal 3 6 3 2 5" xfId="15579"/>
    <cellStyle name="Normal 3 6 3 2 5 2" xfId="15580"/>
    <cellStyle name="Normal 3 6 3 2 5 2 2" xfId="15581"/>
    <cellStyle name="Normal 3 6 3 2 5 2 2 2" xfId="15582"/>
    <cellStyle name="Normal 3 6 3 2 5 2 2 2 2" xfId="15583"/>
    <cellStyle name="Normal 3 6 3 2 5 2 2 3" xfId="15584"/>
    <cellStyle name="Normal 3 6 3 2 5 2 2 3 2" xfId="15585"/>
    <cellStyle name="Normal 3 6 3 2 5 2 2 4" xfId="15586"/>
    <cellStyle name="Normal 3 6 3 2 5 2 2 4 2" xfId="15587"/>
    <cellStyle name="Normal 3 6 3 2 5 2 2 5" xfId="15588"/>
    <cellStyle name="Normal 3 6 3 2 5 2 3" xfId="15589"/>
    <cellStyle name="Normal 3 6 3 2 5 2 3 2" xfId="15590"/>
    <cellStyle name="Normal 3 6 3 2 5 2 3 2 2" xfId="15591"/>
    <cellStyle name="Normal 3 6 3 2 5 2 3 3" xfId="15592"/>
    <cellStyle name="Normal 3 6 3 2 5 2 3 3 2" xfId="15593"/>
    <cellStyle name="Normal 3 6 3 2 5 2 3 4" xfId="15594"/>
    <cellStyle name="Normal 3 6 3 2 5 2 3 4 2" xfId="15595"/>
    <cellStyle name="Normal 3 6 3 2 5 2 3 5" xfId="15596"/>
    <cellStyle name="Normal 3 6 3 2 5 2 4" xfId="15597"/>
    <cellStyle name="Normal 3 6 3 2 5 2 4 2" xfId="15598"/>
    <cellStyle name="Normal 3 6 3 2 5 2 5" xfId="15599"/>
    <cellStyle name="Normal 3 6 3 2 5 2 5 2" xfId="15600"/>
    <cellStyle name="Normal 3 6 3 2 5 2 6" xfId="15601"/>
    <cellStyle name="Normal 3 6 3 2 5 2 6 2" xfId="15602"/>
    <cellStyle name="Normal 3 6 3 2 5 2 7" xfId="15603"/>
    <cellStyle name="Normal 3 6 3 2 5 3" xfId="15604"/>
    <cellStyle name="Normal 3 6 3 2 5 3 2" xfId="15605"/>
    <cellStyle name="Normal 3 6 3 2 5 3 2 2" xfId="15606"/>
    <cellStyle name="Normal 3 6 3 2 5 3 3" xfId="15607"/>
    <cellStyle name="Normal 3 6 3 2 5 3 3 2" xfId="15608"/>
    <cellStyle name="Normal 3 6 3 2 5 3 4" xfId="15609"/>
    <cellStyle name="Normal 3 6 3 2 5 3 4 2" xfId="15610"/>
    <cellStyle name="Normal 3 6 3 2 5 3 5" xfId="15611"/>
    <cellStyle name="Normal 3 6 3 2 5 4" xfId="15612"/>
    <cellStyle name="Normal 3 6 3 2 5 4 2" xfId="15613"/>
    <cellStyle name="Normal 3 6 3 2 5 4 2 2" xfId="15614"/>
    <cellStyle name="Normal 3 6 3 2 5 4 3" xfId="15615"/>
    <cellStyle name="Normal 3 6 3 2 5 4 3 2" xfId="15616"/>
    <cellStyle name="Normal 3 6 3 2 5 4 4" xfId="15617"/>
    <cellStyle name="Normal 3 6 3 2 5 4 4 2" xfId="15618"/>
    <cellStyle name="Normal 3 6 3 2 5 4 5" xfId="15619"/>
    <cellStyle name="Normal 3 6 3 2 5 5" xfId="15620"/>
    <cellStyle name="Normal 3 6 3 2 5 5 2" xfId="15621"/>
    <cellStyle name="Normal 3 6 3 2 5 6" xfId="15622"/>
    <cellStyle name="Normal 3 6 3 2 5 6 2" xfId="15623"/>
    <cellStyle name="Normal 3 6 3 2 5 7" xfId="15624"/>
    <cellStyle name="Normal 3 6 3 2 5 7 2" xfId="15625"/>
    <cellStyle name="Normal 3 6 3 2 5 8" xfId="15626"/>
    <cellStyle name="Normal 3 6 3 2 6" xfId="15627"/>
    <cellStyle name="Normal 3 6 3 2 6 2" xfId="15628"/>
    <cellStyle name="Normal 3 6 3 2 6 2 2" xfId="15629"/>
    <cellStyle name="Normal 3 6 3 2 6 2 2 2" xfId="15630"/>
    <cellStyle name="Normal 3 6 3 2 6 2 2 2 2" xfId="15631"/>
    <cellStyle name="Normal 3 6 3 2 6 2 2 3" xfId="15632"/>
    <cellStyle name="Normal 3 6 3 2 6 2 2 3 2" xfId="15633"/>
    <cellStyle name="Normal 3 6 3 2 6 2 2 4" xfId="15634"/>
    <cellStyle name="Normal 3 6 3 2 6 2 2 4 2" xfId="15635"/>
    <cellStyle name="Normal 3 6 3 2 6 2 2 5" xfId="15636"/>
    <cellStyle name="Normal 3 6 3 2 6 2 3" xfId="15637"/>
    <cellStyle name="Normal 3 6 3 2 6 2 3 2" xfId="15638"/>
    <cellStyle name="Normal 3 6 3 2 6 2 3 2 2" xfId="15639"/>
    <cellStyle name="Normal 3 6 3 2 6 2 3 3" xfId="15640"/>
    <cellStyle name="Normal 3 6 3 2 6 2 3 3 2" xfId="15641"/>
    <cellStyle name="Normal 3 6 3 2 6 2 3 4" xfId="15642"/>
    <cellStyle name="Normal 3 6 3 2 6 2 3 4 2" xfId="15643"/>
    <cellStyle name="Normal 3 6 3 2 6 2 3 5" xfId="15644"/>
    <cellStyle name="Normal 3 6 3 2 6 2 4" xfId="15645"/>
    <cellStyle name="Normal 3 6 3 2 6 2 4 2" xfId="15646"/>
    <cellStyle name="Normal 3 6 3 2 6 2 5" xfId="15647"/>
    <cellStyle name="Normal 3 6 3 2 6 2 5 2" xfId="15648"/>
    <cellStyle name="Normal 3 6 3 2 6 2 6" xfId="15649"/>
    <cellStyle name="Normal 3 6 3 2 6 2 6 2" xfId="15650"/>
    <cellStyle name="Normal 3 6 3 2 6 2 7" xfId="15651"/>
    <cellStyle name="Normal 3 6 3 2 6 3" xfId="15652"/>
    <cellStyle name="Normal 3 6 3 2 6 3 2" xfId="15653"/>
    <cellStyle name="Normal 3 6 3 2 6 3 2 2" xfId="15654"/>
    <cellStyle name="Normal 3 6 3 2 6 3 3" xfId="15655"/>
    <cellStyle name="Normal 3 6 3 2 6 3 3 2" xfId="15656"/>
    <cellStyle name="Normal 3 6 3 2 6 3 4" xfId="15657"/>
    <cellStyle name="Normal 3 6 3 2 6 3 4 2" xfId="15658"/>
    <cellStyle name="Normal 3 6 3 2 6 3 5" xfId="15659"/>
    <cellStyle name="Normal 3 6 3 2 6 4" xfId="15660"/>
    <cellStyle name="Normal 3 6 3 2 6 4 2" xfId="15661"/>
    <cellStyle name="Normal 3 6 3 2 6 4 2 2" xfId="15662"/>
    <cellStyle name="Normal 3 6 3 2 6 4 3" xfId="15663"/>
    <cellStyle name="Normal 3 6 3 2 6 4 3 2" xfId="15664"/>
    <cellStyle name="Normal 3 6 3 2 6 4 4" xfId="15665"/>
    <cellStyle name="Normal 3 6 3 2 6 4 4 2" xfId="15666"/>
    <cellStyle name="Normal 3 6 3 2 6 4 5" xfId="15667"/>
    <cellStyle name="Normal 3 6 3 2 6 5" xfId="15668"/>
    <cellStyle name="Normal 3 6 3 2 6 5 2" xfId="15669"/>
    <cellStyle name="Normal 3 6 3 2 6 6" xfId="15670"/>
    <cellStyle name="Normal 3 6 3 2 6 6 2" xfId="15671"/>
    <cellStyle name="Normal 3 6 3 2 6 7" xfId="15672"/>
    <cellStyle name="Normal 3 6 3 2 6 7 2" xfId="15673"/>
    <cellStyle name="Normal 3 6 3 2 6 8" xfId="15674"/>
    <cellStyle name="Normal 3 6 3 2 7" xfId="15675"/>
    <cellStyle name="Normal 3 6 3 2 7 2" xfId="15676"/>
    <cellStyle name="Normal 3 6 3 2 7 2 2" xfId="15677"/>
    <cellStyle name="Normal 3 6 3 2 7 2 2 2" xfId="15678"/>
    <cellStyle name="Normal 3 6 3 2 7 2 3" xfId="15679"/>
    <cellStyle name="Normal 3 6 3 2 7 2 3 2" xfId="15680"/>
    <cellStyle name="Normal 3 6 3 2 7 2 4" xfId="15681"/>
    <cellStyle name="Normal 3 6 3 2 7 2 4 2" xfId="15682"/>
    <cellStyle name="Normal 3 6 3 2 7 2 5" xfId="15683"/>
    <cellStyle name="Normal 3 6 3 2 7 3" xfId="15684"/>
    <cellStyle name="Normal 3 6 3 2 7 3 2" xfId="15685"/>
    <cellStyle name="Normal 3 6 3 2 7 3 2 2" xfId="15686"/>
    <cellStyle name="Normal 3 6 3 2 7 3 3" xfId="15687"/>
    <cellStyle name="Normal 3 6 3 2 7 3 3 2" xfId="15688"/>
    <cellStyle name="Normal 3 6 3 2 7 3 4" xfId="15689"/>
    <cellStyle name="Normal 3 6 3 2 7 3 4 2" xfId="15690"/>
    <cellStyle name="Normal 3 6 3 2 7 3 5" xfId="15691"/>
    <cellStyle name="Normal 3 6 3 2 7 4" xfId="15692"/>
    <cellStyle name="Normal 3 6 3 2 7 4 2" xfId="15693"/>
    <cellStyle name="Normal 3 6 3 2 7 5" xfId="15694"/>
    <cellStyle name="Normal 3 6 3 2 7 5 2" xfId="15695"/>
    <cellStyle name="Normal 3 6 3 2 7 6" xfId="15696"/>
    <cellStyle name="Normal 3 6 3 2 7 6 2" xfId="15697"/>
    <cellStyle name="Normal 3 6 3 2 7 7" xfId="15698"/>
    <cellStyle name="Normal 3 6 3 2 8" xfId="15699"/>
    <cellStyle name="Normal 3 6 3 2 8 2" xfId="15700"/>
    <cellStyle name="Normal 3 6 3 2 8 2 2" xfId="15701"/>
    <cellStyle name="Normal 3 6 3 2 8 3" xfId="15702"/>
    <cellStyle name="Normal 3 6 3 2 8 3 2" xfId="15703"/>
    <cellStyle name="Normal 3 6 3 2 8 4" xfId="15704"/>
    <cellStyle name="Normal 3 6 3 2 8 4 2" xfId="15705"/>
    <cellStyle name="Normal 3 6 3 2 8 5" xfId="15706"/>
    <cellStyle name="Normal 3 6 3 2 9" xfId="15707"/>
    <cellStyle name="Normal 3 6 3 2 9 2" xfId="15708"/>
    <cellStyle name="Normal 3 6 3 2 9 2 2" xfId="15709"/>
    <cellStyle name="Normal 3 6 3 2 9 3" xfId="15710"/>
    <cellStyle name="Normal 3 6 3 2 9 3 2" xfId="15711"/>
    <cellStyle name="Normal 3 6 3 2 9 4" xfId="15712"/>
    <cellStyle name="Normal 3 6 3 2 9 4 2" xfId="15713"/>
    <cellStyle name="Normal 3 6 3 2 9 5" xfId="15714"/>
    <cellStyle name="Normal 3 6 3 3" xfId="15715"/>
    <cellStyle name="Normal 3 6 3 3 2" xfId="15716"/>
    <cellStyle name="Normal 3 6 3 3 2 2" xfId="15717"/>
    <cellStyle name="Normal 3 6 3 3 2 2 2" xfId="15718"/>
    <cellStyle name="Normal 3 6 3 3 2 2 2 2" xfId="15719"/>
    <cellStyle name="Normal 3 6 3 3 2 2 3" xfId="15720"/>
    <cellStyle name="Normal 3 6 3 3 2 2 3 2" xfId="15721"/>
    <cellStyle name="Normal 3 6 3 3 2 2 4" xfId="15722"/>
    <cellStyle name="Normal 3 6 3 3 2 2 4 2" xfId="15723"/>
    <cellStyle name="Normal 3 6 3 3 2 2 5" xfId="15724"/>
    <cellStyle name="Normal 3 6 3 3 2 3" xfId="15725"/>
    <cellStyle name="Normal 3 6 3 3 2 3 2" xfId="15726"/>
    <cellStyle name="Normal 3 6 3 3 2 3 2 2" xfId="15727"/>
    <cellStyle name="Normal 3 6 3 3 2 3 3" xfId="15728"/>
    <cellStyle name="Normal 3 6 3 3 2 3 3 2" xfId="15729"/>
    <cellStyle name="Normal 3 6 3 3 2 3 4" xfId="15730"/>
    <cellStyle name="Normal 3 6 3 3 2 3 4 2" xfId="15731"/>
    <cellStyle name="Normal 3 6 3 3 2 3 5" xfId="15732"/>
    <cellStyle name="Normal 3 6 3 3 2 4" xfId="15733"/>
    <cellStyle name="Normal 3 6 3 3 2 4 2" xfId="15734"/>
    <cellStyle name="Normal 3 6 3 3 2 5" xfId="15735"/>
    <cellStyle name="Normal 3 6 3 3 2 5 2" xfId="15736"/>
    <cellStyle name="Normal 3 6 3 3 2 6" xfId="15737"/>
    <cellStyle name="Normal 3 6 3 3 2 6 2" xfId="15738"/>
    <cellStyle name="Normal 3 6 3 3 2 7" xfId="15739"/>
    <cellStyle name="Normal 3 6 3 3 3" xfId="15740"/>
    <cellStyle name="Normal 3 6 3 3 3 2" xfId="15741"/>
    <cellStyle name="Normal 3 6 3 3 3 2 2" xfId="15742"/>
    <cellStyle name="Normal 3 6 3 3 3 3" xfId="15743"/>
    <cellStyle name="Normal 3 6 3 3 3 3 2" xfId="15744"/>
    <cellStyle name="Normal 3 6 3 3 3 4" xfId="15745"/>
    <cellStyle name="Normal 3 6 3 3 3 4 2" xfId="15746"/>
    <cellStyle name="Normal 3 6 3 3 3 5" xfId="15747"/>
    <cellStyle name="Normal 3 6 3 3 4" xfId="15748"/>
    <cellStyle name="Normal 3 6 3 3 4 2" xfId="15749"/>
    <cellStyle name="Normal 3 6 3 3 4 2 2" xfId="15750"/>
    <cellStyle name="Normal 3 6 3 3 4 3" xfId="15751"/>
    <cellStyle name="Normal 3 6 3 3 4 3 2" xfId="15752"/>
    <cellStyle name="Normal 3 6 3 3 4 4" xfId="15753"/>
    <cellStyle name="Normal 3 6 3 3 4 4 2" xfId="15754"/>
    <cellStyle name="Normal 3 6 3 3 4 5" xfId="15755"/>
    <cellStyle name="Normal 3 6 3 3 5" xfId="15756"/>
    <cellStyle name="Normal 3 6 3 3 5 2" xfId="15757"/>
    <cellStyle name="Normal 3 6 3 3 6" xfId="15758"/>
    <cellStyle name="Normal 3 6 3 3 6 2" xfId="15759"/>
    <cellStyle name="Normal 3 6 3 3 7" xfId="15760"/>
    <cellStyle name="Normal 3 6 3 3 7 2" xfId="15761"/>
    <cellStyle name="Normal 3 6 3 3 8" xfId="15762"/>
    <cellStyle name="Normal 3 6 3 4" xfId="15763"/>
    <cellStyle name="Normal 3 6 3 4 2" xfId="15764"/>
    <cellStyle name="Normal 3 6 3 4 2 2" xfId="15765"/>
    <cellStyle name="Normal 3 6 3 4 2 2 2" xfId="15766"/>
    <cellStyle name="Normal 3 6 3 4 2 2 2 2" xfId="15767"/>
    <cellStyle name="Normal 3 6 3 4 2 2 3" xfId="15768"/>
    <cellStyle name="Normal 3 6 3 4 2 2 3 2" xfId="15769"/>
    <cellStyle name="Normal 3 6 3 4 2 2 4" xfId="15770"/>
    <cellStyle name="Normal 3 6 3 4 2 2 4 2" xfId="15771"/>
    <cellStyle name="Normal 3 6 3 4 2 2 5" xfId="15772"/>
    <cellStyle name="Normal 3 6 3 4 2 3" xfId="15773"/>
    <cellStyle name="Normal 3 6 3 4 2 3 2" xfId="15774"/>
    <cellStyle name="Normal 3 6 3 4 2 3 2 2" xfId="15775"/>
    <cellStyle name="Normal 3 6 3 4 2 3 3" xfId="15776"/>
    <cellStyle name="Normal 3 6 3 4 2 3 3 2" xfId="15777"/>
    <cellStyle name="Normal 3 6 3 4 2 3 4" xfId="15778"/>
    <cellStyle name="Normal 3 6 3 4 2 3 4 2" xfId="15779"/>
    <cellStyle name="Normal 3 6 3 4 2 3 5" xfId="15780"/>
    <cellStyle name="Normal 3 6 3 4 2 4" xfId="15781"/>
    <cellStyle name="Normal 3 6 3 4 2 4 2" xfId="15782"/>
    <cellStyle name="Normal 3 6 3 4 2 5" xfId="15783"/>
    <cellStyle name="Normal 3 6 3 4 2 5 2" xfId="15784"/>
    <cellStyle name="Normal 3 6 3 4 2 6" xfId="15785"/>
    <cellStyle name="Normal 3 6 3 4 2 6 2" xfId="15786"/>
    <cellStyle name="Normal 3 6 3 4 2 7" xfId="15787"/>
    <cellStyle name="Normal 3 6 3 4 3" xfId="15788"/>
    <cellStyle name="Normal 3 6 3 4 3 2" xfId="15789"/>
    <cellStyle name="Normal 3 6 3 4 3 2 2" xfId="15790"/>
    <cellStyle name="Normal 3 6 3 4 3 3" xfId="15791"/>
    <cellStyle name="Normal 3 6 3 4 3 3 2" xfId="15792"/>
    <cellStyle name="Normal 3 6 3 4 3 4" xfId="15793"/>
    <cellStyle name="Normal 3 6 3 4 3 4 2" xfId="15794"/>
    <cellStyle name="Normal 3 6 3 4 3 5" xfId="15795"/>
    <cellStyle name="Normal 3 6 3 4 4" xfId="15796"/>
    <cellStyle name="Normal 3 6 3 4 4 2" xfId="15797"/>
    <cellStyle name="Normal 3 6 3 4 4 2 2" xfId="15798"/>
    <cellStyle name="Normal 3 6 3 4 4 3" xfId="15799"/>
    <cellStyle name="Normal 3 6 3 4 4 3 2" xfId="15800"/>
    <cellStyle name="Normal 3 6 3 4 4 4" xfId="15801"/>
    <cellStyle name="Normal 3 6 3 4 4 4 2" xfId="15802"/>
    <cellStyle name="Normal 3 6 3 4 4 5" xfId="15803"/>
    <cellStyle name="Normal 3 6 3 4 5" xfId="15804"/>
    <cellStyle name="Normal 3 6 3 4 5 2" xfId="15805"/>
    <cellStyle name="Normal 3 6 3 4 6" xfId="15806"/>
    <cellStyle name="Normal 3 6 3 4 6 2" xfId="15807"/>
    <cellStyle name="Normal 3 6 3 4 7" xfId="15808"/>
    <cellStyle name="Normal 3 6 3 4 7 2" xfId="15809"/>
    <cellStyle name="Normal 3 6 3 4 8" xfId="15810"/>
    <cellStyle name="Normal 3 6 3 5" xfId="15811"/>
    <cellStyle name="Normal 3 6 3 5 2" xfId="15812"/>
    <cellStyle name="Normal 3 6 3 5 2 2" xfId="15813"/>
    <cellStyle name="Normal 3 6 3 5 2 2 2" xfId="15814"/>
    <cellStyle name="Normal 3 6 3 5 2 2 2 2" xfId="15815"/>
    <cellStyle name="Normal 3 6 3 5 2 2 3" xfId="15816"/>
    <cellStyle name="Normal 3 6 3 5 2 2 3 2" xfId="15817"/>
    <cellStyle name="Normal 3 6 3 5 2 2 4" xfId="15818"/>
    <cellStyle name="Normal 3 6 3 5 2 2 4 2" xfId="15819"/>
    <cellStyle name="Normal 3 6 3 5 2 2 5" xfId="15820"/>
    <cellStyle name="Normal 3 6 3 5 2 3" xfId="15821"/>
    <cellStyle name="Normal 3 6 3 5 2 3 2" xfId="15822"/>
    <cellStyle name="Normal 3 6 3 5 2 3 2 2" xfId="15823"/>
    <cellStyle name="Normal 3 6 3 5 2 3 3" xfId="15824"/>
    <cellStyle name="Normal 3 6 3 5 2 3 3 2" xfId="15825"/>
    <cellStyle name="Normal 3 6 3 5 2 3 4" xfId="15826"/>
    <cellStyle name="Normal 3 6 3 5 2 3 4 2" xfId="15827"/>
    <cellStyle name="Normal 3 6 3 5 2 3 5" xfId="15828"/>
    <cellStyle name="Normal 3 6 3 5 2 4" xfId="15829"/>
    <cellStyle name="Normal 3 6 3 5 2 4 2" xfId="15830"/>
    <cellStyle name="Normal 3 6 3 5 2 5" xfId="15831"/>
    <cellStyle name="Normal 3 6 3 5 2 5 2" xfId="15832"/>
    <cellStyle name="Normal 3 6 3 5 2 6" xfId="15833"/>
    <cellStyle name="Normal 3 6 3 5 2 6 2" xfId="15834"/>
    <cellStyle name="Normal 3 6 3 5 2 7" xfId="15835"/>
    <cellStyle name="Normal 3 6 3 5 3" xfId="15836"/>
    <cellStyle name="Normal 3 6 3 5 3 2" xfId="15837"/>
    <cellStyle name="Normal 3 6 3 5 3 2 2" xfId="15838"/>
    <cellStyle name="Normal 3 6 3 5 3 3" xfId="15839"/>
    <cellStyle name="Normal 3 6 3 5 3 3 2" xfId="15840"/>
    <cellStyle name="Normal 3 6 3 5 3 4" xfId="15841"/>
    <cellStyle name="Normal 3 6 3 5 3 4 2" xfId="15842"/>
    <cellStyle name="Normal 3 6 3 5 3 5" xfId="15843"/>
    <cellStyle name="Normal 3 6 3 5 4" xfId="15844"/>
    <cellStyle name="Normal 3 6 3 5 4 2" xfId="15845"/>
    <cellStyle name="Normal 3 6 3 5 4 2 2" xfId="15846"/>
    <cellStyle name="Normal 3 6 3 5 4 3" xfId="15847"/>
    <cellStyle name="Normal 3 6 3 5 4 3 2" xfId="15848"/>
    <cellStyle name="Normal 3 6 3 5 4 4" xfId="15849"/>
    <cellStyle name="Normal 3 6 3 5 4 4 2" xfId="15850"/>
    <cellStyle name="Normal 3 6 3 5 4 5" xfId="15851"/>
    <cellStyle name="Normal 3 6 3 5 5" xfId="15852"/>
    <cellStyle name="Normal 3 6 3 5 5 2" xfId="15853"/>
    <cellStyle name="Normal 3 6 3 5 6" xfId="15854"/>
    <cellStyle name="Normal 3 6 3 5 6 2" xfId="15855"/>
    <cellStyle name="Normal 3 6 3 5 7" xfId="15856"/>
    <cellStyle name="Normal 3 6 3 5 7 2" xfId="15857"/>
    <cellStyle name="Normal 3 6 3 5 8" xfId="15858"/>
    <cellStyle name="Normal 3 6 3 6" xfId="15859"/>
    <cellStyle name="Normal 3 6 3 6 2" xfId="15860"/>
    <cellStyle name="Normal 3 6 3 6 2 2" xfId="15861"/>
    <cellStyle name="Normal 3 6 3 6 2 2 2" xfId="15862"/>
    <cellStyle name="Normal 3 6 3 6 2 2 2 2" xfId="15863"/>
    <cellStyle name="Normal 3 6 3 6 2 2 3" xfId="15864"/>
    <cellStyle name="Normal 3 6 3 6 2 2 3 2" xfId="15865"/>
    <cellStyle name="Normal 3 6 3 6 2 2 4" xfId="15866"/>
    <cellStyle name="Normal 3 6 3 6 2 2 4 2" xfId="15867"/>
    <cellStyle name="Normal 3 6 3 6 2 2 5" xfId="15868"/>
    <cellStyle name="Normal 3 6 3 6 2 3" xfId="15869"/>
    <cellStyle name="Normal 3 6 3 6 2 3 2" xfId="15870"/>
    <cellStyle name="Normal 3 6 3 6 2 3 2 2" xfId="15871"/>
    <cellStyle name="Normal 3 6 3 6 2 3 3" xfId="15872"/>
    <cellStyle name="Normal 3 6 3 6 2 3 3 2" xfId="15873"/>
    <cellStyle name="Normal 3 6 3 6 2 3 4" xfId="15874"/>
    <cellStyle name="Normal 3 6 3 6 2 3 4 2" xfId="15875"/>
    <cellStyle name="Normal 3 6 3 6 2 3 5" xfId="15876"/>
    <cellStyle name="Normal 3 6 3 6 2 4" xfId="15877"/>
    <cellStyle name="Normal 3 6 3 6 2 4 2" xfId="15878"/>
    <cellStyle name="Normal 3 6 3 6 2 5" xfId="15879"/>
    <cellStyle name="Normal 3 6 3 6 2 5 2" xfId="15880"/>
    <cellStyle name="Normal 3 6 3 6 2 6" xfId="15881"/>
    <cellStyle name="Normal 3 6 3 6 2 6 2" xfId="15882"/>
    <cellStyle name="Normal 3 6 3 6 2 7" xfId="15883"/>
    <cellStyle name="Normal 3 6 3 6 3" xfId="15884"/>
    <cellStyle name="Normal 3 6 3 6 3 2" xfId="15885"/>
    <cellStyle name="Normal 3 6 3 6 3 2 2" xfId="15886"/>
    <cellStyle name="Normal 3 6 3 6 3 3" xfId="15887"/>
    <cellStyle name="Normal 3 6 3 6 3 3 2" xfId="15888"/>
    <cellStyle name="Normal 3 6 3 6 3 4" xfId="15889"/>
    <cellStyle name="Normal 3 6 3 6 3 4 2" xfId="15890"/>
    <cellStyle name="Normal 3 6 3 6 3 5" xfId="15891"/>
    <cellStyle name="Normal 3 6 3 6 4" xfId="15892"/>
    <cellStyle name="Normal 3 6 3 6 4 2" xfId="15893"/>
    <cellStyle name="Normal 3 6 3 6 4 2 2" xfId="15894"/>
    <cellStyle name="Normal 3 6 3 6 4 3" xfId="15895"/>
    <cellStyle name="Normal 3 6 3 6 4 3 2" xfId="15896"/>
    <cellStyle name="Normal 3 6 3 6 4 4" xfId="15897"/>
    <cellStyle name="Normal 3 6 3 6 4 4 2" xfId="15898"/>
    <cellStyle name="Normal 3 6 3 6 4 5" xfId="15899"/>
    <cellStyle name="Normal 3 6 3 6 5" xfId="15900"/>
    <cellStyle name="Normal 3 6 3 6 5 2" xfId="15901"/>
    <cellStyle name="Normal 3 6 3 6 6" xfId="15902"/>
    <cellStyle name="Normal 3 6 3 6 6 2" xfId="15903"/>
    <cellStyle name="Normal 3 6 3 6 7" xfId="15904"/>
    <cellStyle name="Normal 3 6 3 6 7 2" xfId="15905"/>
    <cellStyle name="Normal 3 6 3 6 8" xfId="15906"/>
    <cellStyle name="Normal 3 6 3 7" xfId="15907"/>
    <cellStyle name="Normal 3 6 3 7 2" xfId="15908"/>
    <cellStyle name="Normal 3 6 3 7 2 2" xfId="15909"/>
    <cellStyle name="Normal 3 6 3 7 2 2 2" xfId="15910"/>
    <cellStyle name="Normal 3 6 3 7 2 2 2 2" xfId="15911"/>
    <cellStyle name="Normal 3 6 3 7 2 2 3" xfId="15912"/>
    <cellStyle name="Normal 3 6 3 7 2 2 3 2" xfId="15913"/>
    <cellStyle name="Normal 3 6 3 7 2 2 4" xfId="15914"/>
    <cellStyle name="Normal 3 6 3 7 2 2 4 2" xfId="15915"/>
    <cellStyle name="Normal 3 6 3 7 2 2 5" xfId="15916"/>
    <cellStyle name="Normal 3 6 3 7 2 3" xfId="15917"/>
    <cellStyle name="Normal 3 6 3 7 2 3 2" xfId="15918"/>
    <cellStyle name="Normal 3 6 3 7 2 3 2 2" xfId="15919"/>
    <cellStyle name="Normal 3 6 3 7 2 3 3" xfId="15920"/>
    <cellStyle name="Normal 3 6 3 7 2 3 3 2" xfId="15921"/>
    <cellStyle name="Normal 3 6 3 7 2 3 4" xfId="15922"/>
    <cellStyle name="Normal 3 6 3 7 2 3 4 2" xfId="15923"/>
    <cellStyle name="Normal 3 6 3 7 2 3 5" xfId="15924"/>
    <cellStyle name="Normal 3 6 3 7 2 4" xfId="15925"/>
    <cellStyle name="Normal 3 6 3 7 2 4 2" xfId="15926"/>
    <cellStyle name="Normal 3 6 3 7 2 5" xfId="15927"/>
    <cellStyle name="Normal 3 6 3 7 2 5 2" xfId="15928"/>
    <cellStyle name="Normal 3 6 3 7 2 6" xfId="15929"/>
    <cellStyle name="Normal 3 6 3 7 2 6 2" xfId="15930"/>
    <cellStyle name="Normal 3 6 3 7 2 7" xfId="15931"/>
    <cellStyle name="Normal 3 6 3 7 3" xfId="15932"/>
    <cellStyle name="Normal 3 6 3 7 3 2" xfId="15933"/>
    <cellStyle name="Normal 3 6 3 7 3 2 2" xfId="15934"/>
    <cellStyle name="Normal 3 6 3 7 3 3" xfId="15935"/>
    <cellStyle name="Normal 3 6 3 7 3 3 2" xfId="15936"/>
    <cellStyle name="Normal 3 6 3 7 3 4" xfId="15937"/>
    <cellStyle name="Normal 3 6 3 7 3 4 2" xfId="15938"/>
    <cellStyle name="Normal 3 6 3 7 3 5" xfId="15939"/>
    <cellStyle name="Normal 3 6 3 7 4" xfId="15940"/>
    <cellStyle name="Normal 3 6 3 7 4 2" xfId="15941"/>
    <cellStyle name="Normal 3 6 3 7 4 2 2" xfId="15942"/>
    <cellStyle name="Normal 3 6 3 7 4 3" xfId="15943"/>
    <cellStyle name="Normal 3 6 3 7 4 3 2" xfId="15944"/>
    <cellStyle name="Normal 3 6 3 7 4 4" xfId="15945"/>
    <cellStyle name="Normal 3 6 3 7 4 4 2" xfId="15946"/>
    <cellStyle name="Normal 3 6 3 7 4 5" xfId="15947"/>
    <cellStyle name="Normal 3 6 3 7 5" xfId="15948"/>
    <cellStyle name="Normal 3 6 3 7 5 2" xfId="15949"/>
    <cellStyle name="Normal 3 6 3 7 6" xfId="15950"/>
    <cellStyle name="Normal 3 6 3 7 6 2" xfId="15951"/>
    <cellStyle name="Normal 3 6 3 7 7" xfId="15952"/>
    <cellStyle name="Normal 3 6 3 7 7 2" xfId="15953"/>
    <cellStyle name="Normal 3 6 3 7 8" xfId="15954"/>
    <cellStyle name="Normal 3 6 3 8" xfId="15955"/>
    <cellStyle name="Normal 3 6 3 8 2" xfId="15956"/>
    <cellStyle name="Normal 3 6 3 8 2 2" xfId="15957"/>
    <cellStyle name="Normal 3 6 3 8 2 2 2" xfId="15958"/>
    <cellStyle name="Normal 3 6 3 8 2 3" xfId="15959"/>
    <cellStyle name="Normal 3 6 3 8 2 3 2" xfId="15960"/>
    <cellStyle name="Normal 3 6 3 8 2 4" xfId="15961"/>
    <cellStyle name="Normal 3 6 3 8 2 4 2" xfId="15962"/>
    <cellStyle name="Normal 3 6 3 8 2 5" xfId="15963"/>
    <cellStyle name="Normal 3 6 3 8 3" xfId="15964"/>
    <cellStyle name="Normal 3 6 3 8 3 2" xfId="15965"/>
    <cellStyle name="Normal 3 6 3 8 3 2 2" xfId="15966"/>
    <cellStyle name="Normal 3 6 3 8 3 3" xfId="15967"/>
    <cellStyle name="Normal 3 6 3 8 3 3 2" xfId="15968"/>
    <cellStyle name="Normal 3 6 3 8 3 4" xfId="15969"/>
    <cellStyle name="Normal 3 6 3 8 3 4 2" xfId="15970"/>
    <cellStyle name="Normal 3 6 3 8 3 5" xfId="15971"/>
    <cellStyle name="Normal 3 6 3 8 4" xfId="15972"/>
    <cellStyle name="Normal 3 6 3 8 4 2" xfId="15973"/>
    <cellStyle name="Normal 3 6 3 8 5" xfId="15974"/>
    <cellStyle name="Normal 3 6 3 8 5 2" xfId="15975"/>
    <cellStyle name="Normal 3 6 3 8 6" xfId="15976"/>
    <cellStyle name="Normal 3 6 3 8 6 2" xfId="15977"/>
    <cellStyle name="Normal 3 6 3 8 7" xfId="15978"/>
    <cellStyle name="Normal 3 6 3 9" xfId="15979"/>
    <cellStyle name="Normal 3 6 3 9 2" xfId="15980"/>
    <cellStyle name="Normal 3 6 3 9 2 2" xfId="15981"/>
    <cellStyle name="Normal 3 6 3 9 3" xfId="15982"/>
    <cellStyle name="Normal 3 6 3 9 3 2" xfId="15983"/>
    <cellStyle name="Normal 3 6 3 9 4" xfId="15984"/>
    <cellStyle name="Normal 3 6 3 9 4 2" xfId="15985"/>
    <cellStyle name="Normal 3 6 3 9 5" xfId="15986"/>
    <cellStyle name="Normal 3 6 4" xfId="15987"/>
    <cellStyle name="Normal 3 6 4 10" xfId="15988"/>
    <cellStyle name="Normal 3 6 4 10 2" xfId="15989"/>
    <cellStyle name="Normal 3 6 4 10 2 2" xfId="15990"/>
    <cellStyle name="Normal 3 6 4 10 3" xfId="15991"/>
    <cellStyle name="Normal 3 6 4 10 3 2" xfId="15992"/>
    <cellStyle name="Normal 3 6 4 10 4" xfId="15993"/>
    <cellStyle name="Normal 3 6 4 10 4 2" xfId="15994"/>
    <cellStyle name="Normal 3 6 4 10 5" xfId="15995"/>
    <cellStyle name="Normal 3 6 4 11" xfId="15996"/>
    <cellStyle name="Normal 3 6 4 11 2" xfId="15997"/>
    <cellStyle name="Normal 3 6 4 12" xfId="15998"/>
    <cellStyle name="Normal 3 6 4 12 2" xfId="15999"/>
    <cellStyle name="Normal 3 6 4 13" xfId="16000"/>
    <cellStyle name="Normal 3 6 4 13 2" xfId="16001"/>
    <cellStyle name="Normal 3 6 4 14" xfId="16002"/>
    <cellStyle name="Normal 3 6 4 2" xfId="16003"/>
    <cellStyle name="Normal 3 6 4 2 10" xfId="16004"/>
    <cellStyle name="Normal 3 6 4 2 10 2" xfId="16005"/>
    <cellStyle name="Normal 3 6 4 2 11" xfId="16006"/>
    <cellStyle name="Normal 3 6 4 2 11 2" xfId="16007"/>
    <cellStyle name="Normal 3 6 4 2 12" xfId="16008"/>
    <cellStyle name="Normal 3 6 4 2 12 2" xfId="16009"/>
    <cellStyle name="Normal 3 6 4 2 13" xfId="16010"/>
    <cellStyle name="Normal 3 6 4 2 2" xfId="16011"/>
    <cellStyle name="Normal 3 6 4 2 2 2" xfId="16012"/>
    <cellStyle name="Normal 3 6 4 2 2 2 2" xfId="16013"/>
    <cellStyle name="Normal 3 6 4 2 2 2 2 2" xfId="16014"/>
    <cellStyle name="Normal 3 6 4 2 2 2 2 2 2" xfId="16015"/>
    <cellStyle name="Normal 3 6 4 2 2 2 2 3" xfId="16016"/>
    <cellStyle name="Normal 3 6 4 2 2 2 2 3 2" xfId="16017"/>
    <cellStyle name="Normal 3 6 4 2 2 2 2 4" xfId="16018"/>
    <cellStyle name="Normal 3 6 4 2 2 2 2 4 2" xfId="16019"/>
    <cellStyle name="Normal 3 6 4 2 2 2 2 5" xfId="16020"/>
    <cellStyle name="Normal 3 6 4 2 2 2 3" xfId="16021"/>
    <cellStyle name="Normal 3 6 4 2 2 2 3 2" xfId="16022"/>
    <cellStyle name="Normal 3 6 4 2 2 2 3 2 2" xfId="16023"/>
    <cellStyle name="Normal 3 6 4 2 2 2 3 3" xfId="16024"/>
    <cellStyle name="Normal 3 6 4 2 2 2 3 3 2" xfId="16025"/>
    <cellStyle name="Normal 3 6 4 2 2 2 3 4" xfId="16026"/>
    <cellStyle name="Normal 3 6 4 2 2 2 3 4 2" xfId="16027"/>
    <cellStyle name="Normal 3 6 4 2 2 2 3 5" xfId="16028"/>
    <cellStyle name="Normal 3 6 4 2 2 2 4" xfId="16029"/>
    <cellStyle name="Normal 3 6 4 2 2 2 4 2" xfId="16030"/>
    <cellStyle name="Normal 3 6 4 2 2 2 5" xfId="16031"/>
    <cellStyle name="Normal 3 6 4 2 2 2 5 2" xfId="16032"/>
    <cellStyle name="Normal 3 6 4 2 2 2 6" xfId="16033"/>
    <cellStyle name="Normal 3 6 4 2 2 2 6 2" xfId="16034"/>
    <cellStyle name="Normal 3 6 4 2 2 2 7" xfId="16035"/>
    <cellStyle name="Normal 3 6 4 2 2 3" xfId="16036"/>
    <cellStyle name="Normal 3 6 4 2 2 3 2" xfId="16037"/>
    <cellStyle name="Normal 3 6 4 2 2 3 2 2" xfId="16038"/>
    <cellStyle name="Normal 3 6 4 2 2 3 3" xfId="16039"/>
    <cellStyle name="Normal 3 6 4 2 2 3 3 2" xfId="16040"/>
    <cellStyle name="Normal 3 6 4 2 2 3 4" xfId="16041"/>
    <cellStyle name="Normal 3 6 4 2 2 3 4 2" xfId="16042"/>
    <cellStyle name="Normal 3 6 4 2 2 3 5" xfId="16043"/>
    <cellStyle name="Normal 3 6 4 2 2 4" xfId="16044"/>
    <cellStyle name="Normal 3 6 4 2 2 4 2" xfId="16045"/>
    <cellStyle name="Normal 3 6 4 2 2 4 2 2" xfId="16046"/>
    <cellStyle name="Normal 3 6 4 2 2 4 3" xfId="16047"/>
    <cellStyle name="Normal 3 6 4 2 2 4 3 2" xfId="16048"/>
    <cellStyle name="Normal 3 6 4 2 2 4 4" xfId="16049"/>
    <cellStyle name="Normal 3 6 4 2 2 4 4 2" xfId="16050"/>
    <cellStyle name="Normal 3 6 4 2 2 4 5" xfId="16051"/>
    <cellStyle name="Normal 3 6 4 2 2 5" xfId="16052"/>
    <cellStyle name="Normal 3 6 4 2 2 5 2" xfId="16053"/>
    <cellStyle name="Normal 3 6 4 2 2 6" xfId="16054"/>
    <cellStyle name="Normal 3 6 4 2 2 6 2" xfId="16055"/>
    <cellStyle name="Normal 3 6 4 2 2 7" xfId="16056"/>
    <cellStyle name="Normal 3 6 4 2 2 7 2" xfId="16057"/>
    <cellStyle name="Normal 3 6 4 2 2 8" xfId="16058"/>
    <cellStyle name="Normal 3 6 4 2 3" xfId="16059"/>
    <cellStyle name="Normal 3 6 4 2 3 2" xfId="16060"/>
    <cellStyle name="Normal 3 6 4 2 3 2 2" xfId="16061"/>
    <cellStyle name="Normal 3 6 4 2 3 2 2 2" xfId="16062"/>
    <cellStyle name="Normal 3 6 4 2 3 2 2 2 2" xfId="16063"/>
    <cellStyle name="Normal 3 6 4 2 3 2 2 3" xfId="16064"/>
    <cellStyle name="Normal 3 6 4 2 3 2 2 3 2" xfId="16065"/>
    <cellStyle name="Normal 3 6 4 2 3 2 2 4" xfId="16066"/>
    <cellStyle name="Normal 3 6 4 2 3 2 2 4 2" xfId="16067"/>
    <cellStyle name="Normal 3 6 4 2 3 2 2 5" xfId="16068"/>
    <cellStyle name="Normal 3 6 4 2 3 2 3" xfId="16069"/>
    <cellStyle name="Normal 3 6 4 2 3 2 3 2" xfId="16070"/>
    <cellStyle name="Normal 3 6 4 2 3 2 3 2 2" xfId="16071"/>
    <cellStyle name="Normal 3 6 4 2 3 2 3 3" xfId="16072"/>
    <cellStyle name="Normal 3 6 4 2 3 2 3 3 2" xfId="16073"/>
    <cellStyle name="Normal 3 6 4 2 3 2 3 4" xfId="16074"/>
    <cellStyle name="Normal 3 6 4 2 3 2 3 4 2" xfId="16075"/>
    <cellStyle name="Normal 3 6 4 2 3 2 3 5" xfId="16076"/>
    <cellStyle name="Normal 3 6 4 2 3 2 4" xfId="16077"/>
    <cellStyle name="Normal 3 6 4 2 3 2 4 2" xfId="16078"/>
    <cellStyle name="Normal 3 6 4 2 3 2 5" xfId="16079"/>
    <cellStyle name="Normal 3 6 4 2 3 2 5 2" xfId="16080"/>
    <cellStyle name="Normal 3 6 4 2 3 2 6" xfId="16081"/>
    <cellStyle name="Normal 3 6 4 2 3 2 6 2" xfId="16082"/>
    <cellStyle name="Normal 3 6 4 2 3 2 7" xfId="16083"/>
    <cellStyle name="Normal 3 6 4 2 3 3" xfId="16084"/>
    <cellStyle name="Normal 3 6 4 2 3 3 2" xfId="16085"/>
    <cellStyle name="Normal 3 6 4 2 3 3 2 2" xfId="16086"/>
    <cellStyle name="Normal 3 6 4 2 3 3 3" xfId="16087"/>
    <cellStyle name="Normal 3 6 4 2 3 3 3 2" xfId="16088"/>
    <cellStyle name="Normal 3 6 4 2 3 3 4" xfId="16089"/>
    <cellStyle name="Normal 3 6 4 2 3 3 4 2" xfId="16090"/>
    <cellStyle name="Normal 3 6 4 2 3 3 5" xfId="16091"/>
    <cellStyle name="Normal 3 6 4 2 3 4" xfId="16092"/>
    <cellStyle name="Normal 3 6 4 2 3 4 2" xfId="16093"/>
    <cellStyle name="Normal 3 6 4 2 3 4 2 2" xfId="16094"/>
    <cellStyle name="Normal 3 6 4 2 3 4 3" xfId="16095"/>
    <cellStyle name="Normal 3 6 4 2 3 4 3 2" xfId="16096"/>
    <cellStyle name="Normal 3 6 4 2 3 4 4" xfId="16097"/>
    <cellStyle name="Normal 3 6 4 2 3 4 4 2" xfId="16098"/>
    <cellStyle name="Normal 3 6 4 2 3 4 5" xfId="16099"/>
    <cellStyle name="Normal 3 6 4 2 3 5" xfId="16100"/>
    <cellStyle name="Normal 3 6 4 2 3 5 2" xfId="16101"/>
    <cellStyle name="Normal 3 6 4 2 3 6" xfId="16102"/>
    <cellStyle name="Normal 3 6 4 2 3 6 2" xfId="16103"/>
    <cellStyle name="Normal 3 6 4 2 3 7" xfId="16104"/>
    <cellStyle name="Normal 3 6 4 2 3 7 2" xfId="16105"/>
    <cellStyle name="Normal 3 6 4 2 3 8" xfId="16106"/>
    <cellStyle name="Normal 3 6 4 2 4" xfId="16107"/>
    <cellStyle name="Normal 3 6 4 2 4 2" xfId="16108"/>
    <cellStyle name="Normal 3 6 4 2 4 2 2" xfId="16109"/>
    <cellStyle name="Normal 3 6 4 2 4 2 2 2" xfId="16110"/>
    <cellStyle name="Normal 3 6 4 2 4 2 2 2 2" xfId="16111"/>
    <cellStyle name="Normal 3 6 4 2 4 2 2 3" xfId="16112"/>
    <cellStyle name="Normal 3 6 4 2 4 2 2 3 2" xfId="16113"/>
    <cellStyle name="Normal 3 6 4 2 4 2 2 4" xfId="16114"/>
    <cellStyle name="Normal 3 6 4 2 4 2 2 4 2" xfId="16115"/>
    <cellStyle name="Normal 3 6 4 2 4 2 2 5" xfId="16116"/>
    <cellStyle name="Normal 3 6 4 2 4 2 3" xfId="16117"/>
    <cellStyle name="Normal 3 6 4 2 4 2 3 2" xfId="16118"/>
    <cellStyle name="Normal 3 6 4 2 4 2 3 2 2" xfId="16119"/>
    <cellStyle name="Normal 3 6 4 2 4 2 3 3" xfId="16120"/>
    <cellStyle name="Normal 3 6 4 2 4 2 3 3 2" xfId="16121"/>
    <cellStyle name="Normal 3 6 4 2 4 2 3 4" xfId="16122"/>
    <cellStyle name="Normal 3 6 4 2 4 2 3 4 2" xfId="16123"/>
    <cellStyle name="Normal 3 6 4 2 4 2 3 5" xfId="16124"/>
    <cellStyle name="Normal 3 6 4 2 4 2 4" xfId="16125"/>
    <cellStyle name="Normal 3 6 4 2 4 2 4 2" xfId="16126"/>
    <cellStyle name="Normal 3 6 4 2 4 2 5" xfId="16127"/>
    <cellStyle name="Normal 3 6 4 2 4 2 5 2" xfId="16128"/>
    <cellStyle name="Normal 3 6 4 2 4 2 6" xfId="16129"/>
    <cellStyle name="Normal 3 6 4 2 4 2 6 2" xfId="16130"/>
    <cellStyle name="Normal 3 6 4 2 4 2 7" xfId="16131"/>
    <cellStyle name="Normal 3 6 4 2 4 3" xfId="16132"/>
    <cellStyle name="Normal 3 6 4 2 4 3 2" xfId="16133"/>
    <cellStyle name="Normal 3 6 4 2 4 3 2 2" xfId="16134"/>
    <cellStyle name="Normal 3 6 4 2 4 3 3" xfId="16135"/>
    <cellStyle name="Normal 3 6 4 2 4 3 3 2" xfId="16136"/>
    <cellStyle name="Normal 3 6 4 2 4 3 4" xfId="16137"/>
    <cellStyle name="Normal 3 6 4 2 4 3 4 2" xfId="16138"/>
    <cellStyle name="Normal 3 6 4 2 4 3 5" xfId="16139"/>
    <cellStyle name="Normal 3 6 4 2 4 4" xfId="16140"/>
    <cellStyle name="Normal 3 6 4 2 4 4 2" xfId="16141"/>
    <cellStyle name="Normal 3 6 4 2 4 4 2 2" xfId="16142"/>
    <cellStyle name="Normal 3 6 4 2 4 4 3" xfId="16143"/>
    <cellStyle name="Normal 3 6 4 2 4 4 3 2" xfId="16144"/>
    <cellStyle name="Normal 3 6 4 2 4 4 4" xfId="16145"/>
    <cellStyle name="Normal 3 6 4 2 4 4 4 2" xfId="16146"/>
    <cellStyle name="Normal 3 6 4 2 4 4 5" xfId="16147"/>
    <cellStyle name="Normal 3 6 4 2 4 5" xfId="16148"/>
    <cellStyle name="Normal 3 6 4 2 4 5 2" xfId="16149"/>
    <cellStyle name="Normal 3 6 4 2 4 6" xfId="16150"/>
    <cellStyle name="Normal 3 6 4 2 4 6 2" xfId="16151"/>
    <cellStyle name="Normal 3 6 4 2 4 7" xfId="16152"/>
    <cellStyle name="Normal 3 6 4 2 4 7 2" xfId="16153"/>
    <cellStyle name="Normal 3 6 4 2 4 8" xfId="16154"/>
    <cellStyle name="Normal 3 6 4 2 5" xfId="16155"/>
    <cellStyle name="Normal 3 6 4 2 5 2" xfId="16156"/>
    <cellStyle name="Normal 3 6 4 2 5 2 2" xfId="16157"/>
    <cellStyle name="Normal 3 6 4 2 5 2 2 2" xfId="16158"/>
    <cellStyle name="Normal 3 6 4 2 5 2 2 2 2" xfId="16159"/>
    <cellStyle name="Normal 3 6 4 2 5 2 2 3" xfId="16160"/>
    <cellStyle name="Normal 3 6 4 2 5 2 2 3 2" xfId="16161"/>
    <cellStyle name="Normal 3 6 4 2 5 2 2 4" xfId="16162"/>
    <cellStyle name="Normal 3 6 4 2 5 2 2 4 2" xfId="16163"/>
    <cellStyle name="Normal 3 6 4 2 5 2 2 5" xfId="16164"/>
    <cellStyle name="Normal 3 6 4 2 5 2 3" xfId="16165"/>
    <cellStyle name="Normal 3 6 4 2 5 2 3 2" xfId="16166"/>
    <cellStyle name="Normal 3 6 4 2 5 2 3 2 2" xfId="16167"/>
    <cellStyle name="Normal 3 6 4 2 5 2 3 3" xfId="16168"/>
    <cellStyle name="Normal 3 6 4 2 5 2 3 3 2" xfId="16169"/>
    <cellStyle name="Normal 3 6 4 2 5 2 3 4" xfId="16170"/>
    <cellStyle name="Normal 3 6 4 2 5 2 3 4 2" xfId="16171"/>
    <cellStyle name="Normal 3 6 4 2 5 2 3 5" xfId="16172"/>
    <cellStyle name="Normal 3 6 4 2 5 2 4" xfId="16173"/>
    <cellStyle name="Normal 3 6 4 2 5 2 4 2" xfId="16174"/>
    <cellStyle name="Normal 3 6 4 2 5 2 5" xfId="16175"/>
    <cellStyle name="Normal 3 6 4 2 5 2 5 2" xfId="16176"/>
    <cellStyle name="Normal 3 6 4 2 5 2 6" xfId="16177"/>
    <cellStyle name="Normal 3 6 4 2 5 2 6 2" xfId="16178"/>
    <cellStyle name="Normal 3 6 4 2 5 2 7" xfId="16179"/>
    <cellStyle name="Normal 3 6 4 2 5 3" xfId="16180"/>
    <cellStyle name="Normal 3 6 4 2 5 3 2" xfId="16181"/>
    <cellStyle name="Normal 3 6 4 2 5 3 2 2" xfId="16182"/>
    <cellStyle name="Normal 3 6 4 2 5 3 3" xfId="16183"/>
    <cellStyle name="Normal 3 6 4 2 5 3 3 2" xfId="16184"/>
    <cellStyle name="Normal 3 6 4 2 5 3 4" xfId="16185"/>
    <cellStyle name="Normal 3 6 4 2 5 3 4 2" xfId="16186"/>
    <cellStyle name="Normal 3 6 4 2 5 3 5" xfId="16187"/>
    <cellStyle name="Normal 3 6 4 2 5 4" xfId="16188"/>
    <cellStyle name="Normal 3 6 4 2 5 4 2" xfId="16189"/>
    <cellStyle name="Normal 3 6 4 2 5 4 2 2" xfId="16190"/>
    <cellStyle name="Normal 3 6 4 2 5 4 3" xfId="16191"/>
    <cellStyle name="Normal 3 6 4 2 5 4 3 2" xfId="16192"/>
    <cellStyle name="Normal 3 6 4 2 5 4 4" xfId="16193"/>
    <cellStyle name="Normal 3 6 4 2 5 4 4 2" xfId="16194"/>
    <cellStyle name="Normal 3 6 4 2 5 4 5" xfId="16195"/>
    <cellStyle name="Normal 3 6 4 2 5 5" xfId="16196"/>
    <cellStyle name="Normal 3 6 4 2 5 5 2" xfId="16197"/>
    <cellStyle name="Normal 3 6 4 2 5 6" xfId="16198"/>
    <cellStyle name="Normal 3 6 4 2 5 6 2" xfId="16199"/>
    <cellStyle name="Normal 3 6 4 2 5 7" xfId="16200"/>
    <cellStyle name="Normal 3 6 4 2 5 7 2" xfId="16201"/>
    <cellStyle name="Normal 3 6 4 2 5 8" xfId="16202"/>
    <cellStyle name="Normal 3 6 4 2 6" xfId="16203"/>
    <cellStyle name="Normal 3 6 4 2 6 2" xfId="16204"/>
    <cellStyle name="Normal 3 6 4 2 6 2 2" xfId="16205"/>
    <cellStyle name="Normal 3 6 4 2 6 2 2 2" xfId="16206"/>
    <cellStyle name="Normal 3 6 4 2 6 2 2 2 2" xfId="16207"/>
    <cellStyle name="Normal 3 6 4 2 6 2 2 3" xfId="16208"/>
    <cellStyle name="Normal 3 6 4 2 6 2 2 3 2" xfId="16209"/>
    <cellStyle name="Normal 3 6 4 2 6 2 2 4" xfId="16210"/>
    <cellStyle name="Normal 3 6 4 2 6 2 2 4 2" xfId="16211"/>
    <cellStyle name="Normal 3 6 4 2 6 2 2 5" xfId="16212"/>
    <cellStyle name="Normal 3 6 4 2 6 2 3" xfId="16213"/>
    <cellStyle name="Normal 3 6 4 2 6 2 3 2" xfId="16214"/>
    <cellStyle name="Normal 3 6 4 2 6 2 3 2 2" xfId="16215"/>
    <cellStyle name="Normal 3 6 4 2 6 2 3 3" xfId="16216"/>
    <cellStyle name="Normal 3 6 4 2 6 2 3 3 2" xfId="16217"/>
    <cellStyle name="Normal 3 6 4 2 6 2 3 4" xfId="16218"/>
    <cellStyle name="Normal 3 6 4 2 6 2 3 4 2" xfId="16219"/>
    <cellStyle name="Normal 3 6 4 2 6 2 3 5" xfId="16220"/>
    <cellStyle name="Normal 3 6 4 2 6 2 4" xfId="16221"/>
    <cellStyle name="Normal 3 6 4 2 6 2 4 2" xfId="16222"/>
    <cellStyle name="Normal 3 6 4 2 6 2 5" xfId="16223"/>
    <cellStyle name="Normal 3 6 4 2 6 2 5 2" xfId="16224"/>
    <cellStyle name="Normal 3 6 4 2 6 2 6" xfId="16225"/>
    <cellStyle name="Normal 3 6 4 2 6 2 6 2" xfId="16226"/>
    <cellStyle name="Normal 3 6 4 2 6 2 7" xfId="16227"/>
    <cellStyle name="Normal 3 6 4 2 6 3" xfId="16228"/>
    <cellStyle name="Normal 3 6 4 2 6 3 2" xfId="16229"/>
    <cellStyle name="Normal 3 6 4 2 6 3 2 2" xfId="16230"/>
    <cellStyle name="Normal 3 6 4 2 6 3 3" xfId="16231"/>
    <cellStyle name="Normal 3 6 4 2 6 3 3 2" xfId="16232"/>
    <cellStyle name="Normal 3 6 4 2 6 3 4" xfId="16233"/>
    <cellStyle name="Normal 3 6 4 2 6 3 4 2" xfId="16234"/>
    <cellStyle name="Normal 3 6 4 2 6 3 5" xfId="16235"/>
    <cellStyle name="Normal 3 6 4 2 6 4" xfId="16236"/>
    <cellStyle name="Normal 3 6 4 2 6 4 2" xfId="16237"/>
    <cellStyle name="Normal 3 6 4 2 6 4 2 2" xfId="16238"/>
    <cellStyle name="Normal 3 6 4 2 6 4 3" xfId="16239"/>
    <cellStyle name="Normal 3 6 4 2 6 4 3 2" xfId="16240"/>
    <cellStyle name="Normal 3 6 4 2 6 4 4" xfId="16241"/>
    <cellStyle name="Normal 3 6 4 2 6 4 4 2" xfId="16242"/>
    <cellStyle name="Normal 3 6 4 2 6 4 5" xfId="16243"/>
    <cellStyle name="Normal 3 6 4 2 6 5" xfId="16244"/>
    <cellStyle name="Normal 3 6 4 2 6 5 2" xfId="16245"/>
    <cellStyle name="Normal 3 6 4 2 6 6" xfId="16246"/>
    <cellStyle name="Normal 3 6 4 2 6 6 2" xfId="16247"/>
    <cellStyle name="Normal 3 6 4 2 6 7" xfId="16248"/>
    <cellStyle name="Normal 3 6 4 2 6 7 2" xfId="16249"/>
    <cellStyle name="Normal 3 6 4 2 6 8" xfId="16250"/>
    <cellStyle name="Normal 3 6 4 2 7" xfId="16251"/>
    <cellStyle name="Normal 3 6 4 2 7 2" xfId="16252"/>
    <cellStyle name="Normal 3 6 4 2 7 2 2" xfId="16253"/>
    <cellStyle name="Normal 3 6 4 2 7 2 2 2" xfId="16254"/>
    <cellStyle name="Normal 3 6 4 2 7 2 3" xfId="16255"/>
    <cellStyle name="Normal 3 6 4 2 7 2 3 2" xfId="16256"/>
    <cellStyle name="Normal 3 6 4 2 7 2 4" xfId="16257"/>
    <cellStyle name="Normal 3 6 4 2 7 2 4 2" xfId="16258"/>
    <cellStyle name="Normal 3 6 4 2 7 2 5" xfId="16259"/>
    <cellStyle name="Normal 3 6 4 2 7 3" xfId="16260"/>
    <cellStyle name="Normal 3 6 4 2 7 3 2" xfId="16261"/>
    <cellStyle name="Normal 3 6 4 2 7 3 2 2" xfId="16262"/>
    <cellStyle name="Normal 3 6 4 2 7 3 3" xfId="16263"/>
    <cellStyle name="Normal 3 6 4 2 7 3 3 2" xfId="16264"/>
    <cellStyle name="Normal 3 6 4 2 7 3 4" xfId="16265"/>
    <cellStyle name="Normal 3 6 4 2 7 3 4 2" xfId="16266"/>
    <cellStyle name="Normal 3 6 4 2 7 3 5" xfId="16267"/>
    <cellStyle name="Normal 3 6 4 2 7 4" xfId="16268"/>
    <cellStyle name="Normal 3 6 4 2 7 4 2" xfId="16269"/>
    <cellStyle name="Normal 3 6 4 2 7 5" xfId="16270"/>
    <cellStyle name="Normal 3 6 4 2 7 5 2" xfId="16271"/>
    <cellStyle name="Normal 3 6 4 2 7 6" xfId="16272"/>
    <cellStyle name="Normal 3 6 4 2 7 6 2" xfId="16273"/>
    <cellStyle name="Normal 3 6 4 2 7 7" xfId="16274"/>
    <cellStyle name="Normal 3 6 4 2 8" xfId="16275"/>
    <cellStyle name="Normal 3 6 4 2 8 2" xfId="16276"/>
    <cellStyle name="Normal 3 6 4 2 8 2 2" xfId="16277"/>
    <cellStyle name="Normal 3 6 4 2 8 3" xfId="16278"/>
    <cellStyle name="Normal 3 6 4 2 8 3 2" xfId="16279"/>
    <cellStyle name="Normal 3 6 4 2 8 4" xfId="16280"/>
    <cellStyle name="Normal 3 6 4 2 8 4 2" xfId="16281"/>
    <cellStyle name="Normal 3 6 4 2 8 5" xfId="16282"/>
    <cellStyle name="Normal 3 6 4 2 9" xfId="16283"/>
    <cellStyle name="Normal 3 6 4 2 9 2" xfId="16284"/>
    <cellStyle name="Normal 3 6 4 2 9 2 2" xfId="16285"/>
    <cellStyle name="Normal 3 6 4 2 9 3" xfId="16286"/>
    <cellStyle name="Normal 3 6 4 2 9 3 2" xfId="16287"/>
    <cellStyle name="Normal 3 6 4 2 9 4" xfId="16288"/>
    <cellStyle name="Normal 3 6 4 2 9 4 2" xfId="16289"/>
    <cellStyle name="Normal 3 6 4 2 9 5" xfId="16290"/>
    <cellStyle name="Normal 3 6 4 3" xfId="16291"/>
    <cellStyle name="Normal 3 6 4 3 2" xfId="16292"/>
    <cellStyle name="Normal 3 6 4 3 2 2" xfId="16293"/>
    <cellStyle name="Normal 3 6 4 3 2 2 2" xfId="16294"/>
    <cellStyle name="Normal 3 6 4 3 2 2 2 2" xfId="16295"/>
    <cellStyle name="Normal 3 6 4 3 2 2 3" xfId="16296"/>
    <cellStyle name="Normal 3 6 4 3 2 2 3 2" xfId="16297"/>
    <cellStyle name="Normal 3 6 4 3 2 2 4" xfId="16298"/>
    <cellStyle name="Normal 3 6 4 3 2 2 4 2" xfId="16299"/>
    <cellStyle name="Normal 3 6 4 3 2 2 5" xfId="16300"/>
    <cellStyle name="Normal 3 6 4 3 2 3" xfId="16301"/>
    <cellStyle name="Normal 3 6 4 3 2 3 2" xfId="16302"/>
    <cellStyle name="Normal 3 6 4 3 2 3 2 2" xfId="16303"/>
    <cellStyle name="Normal 3 6 4 3 2 3 3" xfId="16304"/>
    <cellStyle name="Normal 3 6 4 3 2 3 3 2" xfId="16305"/>
    <cellStyle name="Normal 3 6 4 3 2 3 4" xfId="16306"/>
    <cellStyle name="Normal 3 6 4 3 2 3 4 2" xfId="16307"/>
    <cellStyle name="Normal 3 6 4 3 2 3 5" xfId="16308"/>
    <cellStyle name="Normal 3 6 4 3 2 4" xfId="16309"/>
    <cellStyle name="Normal 3 6 4 3 2 4 2" xfId="16310"/>
    <cellStyle name="Normal 3 6 4 3 2 5" xfId="16311"/>
    <cellStyle name="Normal 3 6 4 3 2 5 2" xfId="16312"/>
    <cellStyle name="Normal 3 6 4 3 2 6" xfId="16313"/>
    <cellStyle name="Normal 3 6 4 3 2 6 2" xfId="16314"/>
    <cellStyle name="Normal 3 6 4 3 2 7" xfId="16315"/>
    <cellStyle name="Normal 3 6 4 3 3" xfId="16316"/>
    <cellStyle name="Normal 3 6 4 3 3 2" xfId="16317"/>
    <cellStyle name="Normal 3 6 4 3 3 2 2" xfId="16318"/>
    <cellStyle name="Normal 3 6 4 3 3 3" xfId="16319"/>
    <cellStyle name="Normal 3 6 4 3 3 3 2" xfId="16320"/>
    <cellStyle name="Normal 3 6 4 3 3 4" xfId="16321"/>
    <cellStyle name="Normal 3 6 4 3 3 4 2" xfId="16322"/>
    <cellStyle name="Normal 3 6 4 3 3 5" xfId="16323"/>
    <cellStyle name="Normal 3 6 4 3 4" xfId="16324"/>
    <cellStyle name="Normal 3 6 4 3 4 2" xfId="16325"/>
    <cellStyle name="Normal 3 6 4 3 4 2 2" xfId="16326"/>
    <cellStyle name="Normal 3 6 4 3 4 3" xfId="16327"/>
    <cellStyle name="Normal 3 6 4 3 4 3 2" xfId="16328"/>
    <cellStyle name="Normal 3 6 4 3 4 4" xfId="16329"/>
    <cellStyle name="Normal 3 6 4 3 4 4 2" xfId="16330"/>
    <cellStyle name="Normal 3 6 4 3 4 5" xfId="16331"/>
    <cellStyle name="Normal 3 6 4 3 5" xfId="16332"/>
    <cellStyle name="Normal 3 6 4 3 5 2" xfId="16333"/>
    <cellStyle name="Normal 3 6 4 3 6" xfId="16334"/>
    <cellStyle name="Normal 3 6 4 3 6 2" xfId="16335"/>
    <cellStyle name="Normal 3 6 4 3 7" xfId="16336"/>
    <cellStyle name="Normal 3 6 4 3 7 2" xfId="16337"/>
    <cellStyle name="Normal 3 6 4 3 8" xfId="16338"/>
    <cellStyle name="Normal 3 6 4 4" xfId="16339"/>
    <cellStyle name="Normal 3 6 4 4 2" xfId="16340"/>
    <cellStyle name="Normal 3 6 4 4 2 2" xfId="16341"/>
    <cellStyle name="Normal 3 6 4 4 2 2 2" xfId="16342"/>
    <cellStyle name="Normal 3 6 4 4 2 2 2 2" xfId="16343"/>
    <cellStyle name="Normal 3 6 4 4 2 2 3" xfId="16344"/>
    <cellStyle name="Normal 3 6 4 4 2 2 3 2" xfId="16345"/>
    <cellStyle name="Normal 3 6 4 4 2 2 4" xfId="16346"/>
    <cellStyle name="Normal 3 6 4 4 2 2 4 2" xfId="16347"/>
    <cellStyle name="Normal 3 6 4 4 2 2 5" xfId="16348"/>
    <cellStyle name="Normal 3 6 4 4 2 3" xfId="16349"/>
    <cellStyle name="Normal 3 6 4 4 2 3 2" xfId="16350"/>
    <cellStyle name="Normal 3 6 4 4 2 3 2 2" xfId="16351"/>
    <cellStyle name="Normal 3 6 4 4 2 3 3" xfId="16352"/>
    <cellStyle name="Normal 3 6 4 4 2 3 3 2" xfId="16353"/>
    <cellStyle name="Normal 3 6 4 4 2 3 4" xfId="16354"/>
    <cellStyle name="Normal 3 6 4 4 2 3 4 2" xfId="16355"/>
    <cellStyle name="Normal 3 6 4 4 2 3 5" xfId="16356"/>
    <cellStyle name="Normal 3 6 4 4 2 4" xfId="16357"/>
    <cellStyle name="Normal 3 6 4 4 2 4 2" xfId="16358"/>
    <cellStyle name="Normal 3 6 4 4 2 5" xfId="16359"/>
    <cellStyle name="Normal 3 6 4 4 2 5 2" xfId="16360"/>
    <cellStyle name="Normal 3 6 4 4 2 6" xfId="16361"/>
    <cellStyle name="Normal 3 6 4 4 2 6 2" xfId="16362"/>
    <cellStyle name="Normal 3 6 4 4 2 7" xfId="16363"/>
    <cellStyle name="Normal 3 6 4 4 3" xfId="16364"/>
    <cellStyle name="Normal 3 6 4 4 3 2" xfId="16365"/>
    <cellStyle name="Normal 3 6 4 4 3 2 2" xfId="16366"/>
    <cellStyle name="Normal 3 6 4 4 3 3" xfId="16367"/>
    <cellStyle name="Normal 3 6 4 4 3 3 2" xfId="16368"/>
    <cellStyle name="Normal 3 6 4 4 3 4" xfId="16369"/>
    <cellStyle name="Normal 3 6 4 4 3 4 2" xfId="16370"/>
    <cellStyle name="Normal 3 6 4 4 3 5" xfId="16371"/>
    <cellStyle name="Normal 3 6 4 4 4" xfId="16372"/>
    <cellStyle name="Normal 3 6 4 4 4 2" xfId="16373"/>
    <cellStyle name="Normal 3 6 4 4 4 2 2" xfId="16374"/>
    <cellStyle name="Normal 3 6 4 4 4 3" xfId="16375"/>
    <cellStyle name="Normal 3 6 4 4 4 3 2" xfId="16376"/>
    <cellStyle name="Normal 3 6 4 4 4 4" xfId="16377"/>
    <cellStyle name="Normal 3 6 4 4 4 4 2" xfId="16378"/>
    <cellStyle name="Normal 3 6 4 4 4 5" xfId="16379"/>
    <cellStyle name="Normal 3 6 4 4 5" xfId="16380"/>
    <cellStyle name="Normal 3 6 4 4 5 2" xfId="16381"/>
    <cellStyle name="Normal 3 6 4 4 6" xfId="16382"/>
    <cellStyle name="Normal 3 6 4 4 6 2" xfId="16383"/>
    <cellStyle name="Normal 3 6 4 4 7" xfId="16384"/>
    <cellStyle name="Normal 3 6 4 4 7 2" xfId="16385"/>
    <cellStyle name="Normal 3 6 4 4 8" xfId="16386"/>
    <cellStyle name="Normal 3 6 4 5" xfId="16387"/>
    <cellStyle name="Normal 3 6 4 5 2" xfId="16388"/>
    <cellStyle name="Normal 3 6 4 5 2 2" xfId="16389"/>
    <cellStyle name="Normal 3 6 4 5 2 2 2" xfId="16390"/>
    <cellStyle name="Normal 3 6 4 5 2 2 2 2" xfId="16391"/>
    <cellStyle name="Normal 3 6 4 5 2 2 3" xfId="16392"/>
    <cellStyle name="Normal 3 6 4 5 2 2 3 2" xfId="16393"/>
    <cellStyle name="Normal 3 6 4 5 2 2 4" xfId="16394"/>
    <cellStyle name="Normal 3 6 4 5 2 2 4 2" xfId="16395"/>
    <cellStyle name="Normal 3 6 4 5 2 2 5" xfId="16396"/>
    <cellStyle name="Normal 3 6 4 5 2 3" xfId="16397"/>
    <cellStyle name="Normal 3 6 4 5 2 3 2" xfId="16398"/>
    <cellStyle name="Normal 3 6 4 5 2 3 2 2" xfId="16399"/>
    <cellStyle name="Normal 3 6 4 5 2 3 3" xfId="16400"/>
    <cellStyle name="Normal 3 6 4 5 2 3 3 2" xfId="16401"/>
    <cellStyle name="Normal 3 6 4 5 2 3 4" xfId="16402"/>
    <cellStyle name="Normal 3 6 4 5 2 3 4 2" xfId="16403"/>
    <cellStyle name="Normal 3 6 4 5 2 3 5" xfId="16404"/>
    <cellStyle name="Normal 3 6 4 5 2 4" xfId="16405"/>
    <cellStyle name="Normal 3 6 4 5 2 4 2" xfId="16406"/>
    <cellStyle name="Normal 3 6 4 5 2 5" xfId="16407"/>
    <cellStyle name="Normal 3 6 4 5 2 5 2" xfId="16408"/>
    <cellStyle name="Normal 3 6 4 5 2 6" xfId="16409"/>
    <cellStyle name="Normal 3 6 4 5 2 6 2" xfId="16410"/>
    <cellStyle name="Normal 3 6 4 5 2 7" xfId="16411"/>
    <cellStyle name="Normal 3 6 4 5 3" xfId="16412"/>
    <cellStyle name="Normal 3 6 4 5 3 2" xfId="16413"/>
    <cellStyle name="Normal 3 6 4 5 3 2 2" xfId="16414"/>
    <cellStyle name="Normal 3 6 4 5 3 3" xfId="16415"/>
    <cellStyle name="Normal 3 6 4 5 3 3 2" xfId="16416"/>
    <cellStyle name="Normal 3 6 4 5 3 4" xfId="16417"/>
    <cellStyle name="Normal 3 6 4 5 3 4 2" xfId="16418"/>
    <cellStyle name="Normal 3 6 4 5 3 5" xfId="16419"/>
    <cellStyle name="Normal 3 6 4 5 4" xfId="16420"/>
    <cellStyle name="Normal 3 6 4 5 4 2" xfId="16421"/>
    <cellStyle name="Normal 3 6 4 5 4 2 2" xfId="16422"/>
    <cellStyle name="Normal 3 6 4 5 4 3" xfId="16423"/>
    <cellStyle name="Normal 3 6 4 5 4 3 2" xfId="16424"/>
    <cellStyle name="Normal 3 6 4 5 4 4" xfId="16425"/>
    <cellStyle name="Normal 3 6 4 5 4 4 2" xfId="16426"/>
    <cellStyle name="Normal 3 6 4 5 4 5" xfId="16427"/>
    <cellStyle name="Normal 3 6 4 5 5" xfId="16428"/>
    <cellStyle name="Normal 3 6 4 5 5 2" xfId="16429"/>
    <cellStyle name="Normal 3 6 4 5 6" xfId="16430"/>
    <cellStyle name="Normal 3 6 4 5 6 2" xfId="16431"/>
    <cellStyle name="Normal 3 6 4 5 7" xfId="16432"/>
    <cellStyle name="Normal 3 6 4 5 7 2" xfId="16433"/>
    <cellStyle name="Normal 3 6 4 5 8" xfId="16434"/>
    <cellStyle name="Normal 3 6 4 6" xfId="16435"/>
    <cellStyle name="Normal 3 6 4 6 2" xfId="16436"/>
    <cellStyle name="Normal 3 6 4 6 2 2" xfId="16437"/>
    <cellStyle name="Normal 3 6 4 6 2 2 2" xfId="16438"/>
    <cellStyle name="Normal 3 6 4 6 2 2 2 2" xfId="16439"/>
    <cellStyle name="Normal 3 6 4 6 2 2 3" xfId="16440"/>
    <cellStyle name="Normal 3 6 4 6 2 2 3 2" xfId="16441"/>
    <cellStyle name="Normal 3 6 4 6 2 2 4" xfId="16442"/>
    <cellStyle name="Normal 3 6 4 6 2 2 4 2" xfId="16443"/>
    <cellStyle name="Normal 3 6 4 6 2 2 5" xfId="16444"/>
    <cellStyle name="Normal 3 6 4 6 2 3" xfId="16445"/>
    <cellStyle name="Normal 3 6 4 6 2 3 2" xfId="16446"/>
    <cellStyle name="Normal 3 6 4 6 2 3 2 2" xfId="16447"/>
    <cellStyle name="Normal 3 6 4 6 2 3 3" xfId="16448"/>
    <cellStyle name="Normal 3 6 4 6 2 3 3 2" xfId="16449"/>
    <cellStyle name="Normal 3 6 4 6 2 3 4" xfId="16450"/>
    <cellStyle name="Normal 3 6 4 6 2 3 4 2" xfId="16451"/>
    <cellStyle name="Normal 3 6 4 6 2 3 5" xfId="16452"/>
    <cellStyle name="Normal 3 6 4 6 2 4" xfId="16453"/>
    <cellStyle name="Normal 3 6 4 6 2 4 2" xfId="16454"/>
    <cellStyle name="Normal 3 6 4 6 2 5" xfId="16455"/>
    <cellStyle name="Normal 3 6 4 6 2 5 2" xfId="16456"/>
    <cellStyle name="Normal 3 6 4 6 2 6" xfId="16457"/>
    <cellStyle name="Normal 3 6 4 6 2 6 2" xfId="16458"/>
    <cellStyle name="Normal 3 6 4 6 2 7" xfId="16459"/>
    <cellStyle name="Normal 3 6 4 6 3" xfId="16460"/>
    <cellStyle name="Normal 3 6 4 6 3 2" xfId="16461"/>
    <cellStyle name="Normal 3 6 4 6 3 2 2" xfId="16462"/>
    <cellStyle name="Normal 3 6 4 6 3 3" xfId="16463"/>
    <cellStyle name="Normal 3 6 4 6 3 3 2" xfId="16464"/>
    <cellStyle name="Normal 3 6 4 6 3 4" xfId="16465"/>
    <cellStyle name="Normal 3 6 4 6 3 4 2" xfId="16466"/>
    <cellStyle name="Normal 3 6 4 6 3 5" xfId="16467"/>
    <cellStyle name="Normal 3 6 4 6 4" xfId="16468"/>
    <cellStyle name="Normal 3 6 4 6 4 2" xfId="16469"/>
    <cellStyle name="Normal 3 6 4 6 4 2 2" xfId="16470"/>
    <cellStyle name="Normal 3 6 4 6 4 3" xfId="16471"/>
    <cellStyle name="Normal 3 6 4 6 4 3 2" xfId="16472"/>
    <cellStyle name="Normal 3 6 4 6 4 4" xfId="16473"/>
    <cellStyle name="Normal 3 6 4 6 4 4 2" xfId="16474"/>
    <cellStyle name="Normal 3 6 4 6 4 5" xfId="16475"/>
    <cellStyle name="Normal 3 6 4 6 5" xfId="16476"/>
    <cellStyle name="Normal 3 6 4 6 5 2" xfId="16477"/>
    <cellStyle name="Normal 3 6 4 6 6" xfId="16478"/>
    <cellStyle name="Normal 3 6 4 6 6 2" xfId="16479"/>
    <cellStyle name="Normal 3 6 4 6 7" xfId="16480"/>
    <cellStyle name="Normal 3 6 4 6 7 2" xfId="16481"/>
    <cellStyle name="Normal 3 6 4 6 8" xfId="16482"/>
    <cellStyle name="Normal 3 6 4 7" xfId="16483"/>
    <cellStyle name="Normal 3 6 4 7 2" xfId="16484"/>
    <cellStyle name="Normal 3 6 4 7 2 2" xfId="16485"/>
    <cellStyle name="Normal 3 6 4 7 2 2 2" xfId="16486"/>
    <cellStyle name="Normal 3 6 4 7 2 2 2 2" xfId="16487"/>
    <cellStyle name="Normal 3 6 4 7 2 2 3" xfId="16488"/>
    <cellStyle name="Normal 3 6 4 7 2 2 3 2" xfId="16489"/>
    <cellStyle name="Normal 3 6 4 7 2 2 4" xfId="16490"/>
    <cellStyle name="Normal 3 6 4 7 2 2 4 2" xfId="16491"/>
    <cellStyle name="Normal 3 6 4 7 2 2 5" xfId="16492"/>
    <cellStyle name="Normal 3 6 4 7 2 3" xfId="16493"/>
    <cellStyle name="Normal 3 6 4 7 2 3 2" xfId="16494"/>
    <cellStyle name="Normal 3 6 4 7 2 3 2 2" xfId="16495"/>
    <cellStyle name="Normal 3 6 4 7 2 3 3" xfId="16496"/>
    <cellStyle name="Normal 3 6 4 7 2 3 3 2" xfId="16497"/>
    <cellStyle name="Normal 3 6 4 7 2 3 4" xfId="16498"/>
    <cellStyle name="Normal 3 6 4 7 2 3 4 2" xfId="16499"/>
    <cellStyle name="Normal 3 6 4 7 2 3 5" xfId="16500"/>
    <cellStyle name="Normal 3 6 4 7 2 4" xfId="16501"/>
    <cellStyle name="Normal 3 6 4 7 2 4 2" xfId="16502"/>
    <cellStyle name="Normal 3 6 4 7 2 5" xfId="16503"/>
    <cellStyle name="Normal 3 6 4 7 2 5 2" xfId="16504"/>
    <cellStyle name="Normal 3 6 4 7 2 6" xfId="16505"/>
    <cellStyle name="Normal 3 6 4 7 2 6 2" xfId="16506"/>
    <cellStyle name="Normal 3 6 4 7 2 7" xfId="16507"/>
    <cellStyle name="Normal 3 6 4 7 3" xfId="16508"/>
    <cellStyle name="Normal 3 6 4 7 3 2" xfId="16509"/>
    <cellStyle name="Normal 3 6 4 7 3 2 2" xfId="16510"/>
    <cellStyle name="Normal 3 6 4 7 3 3" xfId="16511"/>
    <cellStyle name="Normal 3 6 4 7 3 3 2" xfId="16512"/>
    <cellStyle name="Normal 3 6 4 7 3 4" xfId="16513"/>
    <cellStyle name="Normal 3 6 4 7 3 4 2" xfId="16514"/>
    <cellStyle name="Normal 3 6 4 7 3 5" xfId="16515"/>
    <cellStyle name="Normal 3 6 4 7 4" xfId="16516"/>
    <cellStyle name="Normal 3 6 4 7 4 2" xfId="16517"/>
    <cellStyle name="Normal 3 6 4 7 4 2 2" xfId="16518"/>
    <cellStyle name="Normal 3 6 4 7 4 3" xfId="16519"/>
    <cellStyle name="Normal 3 6 4 7 4 3 2" xfId="16520"/>
    <cellStyle name="Normal 3 6 4 7 4 4" xfId="16521"/>
    <cellStyle name="Normal 3 6 4 7 4 4 2" xfId="16522"/>
    <cellStyle name="Normal 3 6 4 7 4 5" xfId="16523"/>
    <cellStyle name="Normal 3 6 4 7 5" xfId="16524"/>
    <cellStyle name="Normal 3 6 4 7 5 2" xfId="16525"/>
    <cellStyle name="Normal 3 6 4 7 6" xfId="16526"/>
    <cellStyle name="Normal 3 6 4 7 6 2" xfId="16527"/>
    <cellStyle name="Normal 3 6 4 7 7" xfId="16528"/>
    <cellStyle name="Normal 3 6 4 7 7 2" xfId="16529"/>
    <cellStyle name="Normal 3 6 4 7 8" xfId="16530"/>
    <cellStyle name="Normal 3 6 4 8" xfId="16531"/>
    <cellStyle name="Normal 3 6 4 8 2" xfId="16532"/>
    <cellStyle name="Normal 3 6 4 8 2 2" xfId="16533"/>
    <cellStyle name="Normal 3 6 4 8 2 2 2" xfId="16534"/>
    <cellStyle name="Normal 3 6 4 8 2 3" xfId="16535"/>
    <cellStyle name="Normal 3 6 4 8 2 3 2" xfId="16536"/>
    <cellStyle name="Normal 3 6 4 8 2 4" xfId="16537"/>
    <cellStyle name="Normal 3 6 4 8 2 4 2" xfId="16538"/>
    <cellStyle name="Normal 3 6 4 8 2 5" xfId="16539"/>
    <cellStyle name="Normal 3 6 4 8 3" xfId="16540"/>
    <cellStyle name="Normal 3 6 4 8 3 2" xfId="16541"/>
    <cellStyle name="Normal 3 6 4 8 3 2 2" xfId="16542"/>
    <cellStyle name="Normal 3 6 4 8 3 3" xfId="16543"/>
    <cellStyle name="Normal 3 6 4 8 3 3 2" xfId="16544"/>
    <cellStyle name="Normal 3 6 4 8 3 4" xfId="16545"/>
    <cellStyle name="Normal 3 6 4 8 3 4 2" xfId="16546"/>
    <cellStyle name="Normal 3 6 4 8 3 5" xfId="16547"/>
    <cellStyle name="Normal 3 6 4 8 4" xfId="16548"/>
    <cellStyle name="Normal 3 6 4 8 4 2" xfId="16549"/>
    <cellStyle name="Normal 3 6 4 8 5" xfId="16550"/>
    <cellStyle name="Normal 3 6 4 8 5 2" xfId="16551"/>
    <cellStyle name="Normal 3 6 4 8 6" xfId="16552"/>
    <cellStyle name="Normal 3 6 4 8 6 2" xfId="16553"/>
    <cellStyle name="Normal 3 6 4 8 7" xfId="16554"/>
    <cellStyle name="Normal 3 6 4 9" xfId="16555"/>
    <cellStyle name="Normal 3 6 4 9 2" xfId="16556"/>
    <cellStyle name="Normal 3 6 4 9 2 2" xfId="16557"/>
    <cellStyle name="Normal 3 6 4 9 3" xfId="16558"/>
    <cellStyle name="Normal 3 6 4 9 3 2" xfId="16559"/>
    <cellStyle name="Normal 3 6 4 9 4" xfId="16560"/>
    <cellStyle name="Normal 3 6 4 9 4 2" xfId="16561"/>
    <cellStyle name="Normal 3 6 4 9 5" xfId="16562"/>
    <cellStyle name="Normal 3 6 5" xfId="16563"/>
    <cellStyle name="Normal 3 6 5 10" xfId="16564"/>
    <cellStyle name="Normal 3 6 5 10 2" xfId="16565"/>
    <cellStyle name="Normal 3 6 5 10 2 2" xfId="16566"/>
    <cellStyle name="Normal 3 6 5 10 3" xfId="16567"/>
    <cellStyle name="Normal 3 6 5 10 3 2" xfId="16568"/>
    <cellStyle name="Normal 3 6 5 10 4" xfId="16569"/>
    <cellStyle name="Normal 3 6 5 10 4 2" xfId="16570"/>
    <cellStyle name="Normal 3 6 5 10 5" xfId="16571"/>
    <cellStyle name="Normal 3 6 5 11" xfId="16572"/>
    <cellStyle name="Normal 3 6 5 11 2" xfId="16573"/>
    <cellStyle name="Normal 3 6 5 12" xfId="16574"/>
    <cellStyle name="Normal 3 6 5 12 2" xfId="16575"/>
    <cellStyle name="Normal 3 6 5 13" xfId="16576"/>
    <cellStyle name="Normal 3 6 5 13 2" xfId="16577"/>
    <cellStyle name="Normal 3 6 5 14" xfId="16578"/>
    <cellStyle name="Normal 3 6 5 2" xfId="16579"/>
    <cellStyle name="Normal 3 6 5 2 10" xfId="16580"/>
    <cellStyle name="Normal 3 6 5 2 10 2" xfId="16581"/>
    <cellStyle name="Normal 3 6 5 2 11" xfId="16582"/>
    <cellStyle name="Normal 3 6 5 2 11 2" xfId="16583"/>
    <cellStyle name="Normal 3 6 5 2 12" xfId="16584"/>
    <cellStyle name="Normal 3 6 5 2 12 2" xfId="16585"/>
    <cellStyle name="Normal 3 6 5 2 13" xfId="16586"/>
    <cellStyle name="Normal 3 6 5 2 2" xfId="16587"/>
    <cellStyle name="Normal 3 6 5 2 2 2" xfId="16588"/>
    <cellStyle name="Normal 3 6 5 2 2 2 2" xfId="16589"/>
    <cellStyle name="Normal 3 6 5 2 2 2 2 2" xfId="16590"/>
    <cellStyle name="Normal 3 6 5 2 2 2 2 2 2" xfId="16591"/>
    <cellStyle name="Normal 3 6 5 2 2 2 2 3" xfId="16592"/>
    <cellStyle name="Normal 3 6 5 2 2 2 2 3 2" xfId="16593"/>
    <cellStyle name="Normal 3 6 5 2 2 2 2 4" xfId="16594"/>
    <cellStyle name="Normal 3 6 5 2 2 2 2 4 2" xfId="16595"/>
    <cellStyle name="Normal 3 6 5 2 2 2 2 5" xfId="16596"/>
    <cellStyle name="Normal 3 6 5 2 2 2 3" xfId="16597"/>
    <cellStyle name="Normal 3 6 5 2 2 2 3 2" xfId="16598"/>
    <cellStyle name="Normal 3 6 5 2 2 2 3 2 2" xfId="16599"/>
    <cellStyle name="Normal 3 6 5 2 2 2 3 3" xfId="16600"/>
    <cellStyle name="Normal 3 6 5 2 2 2 3 3 2" xfId="16601"/>
    <cellStyle name="Normal 3 6 5 2 2 2 3 4" xfId="16602"/>
    <cellStyle name="Normal 3 6 5 2 2 2 3 4 2" xfId="16603"/>
    <cellStyle name="Normal 3 6 5 2 2 2 3 5" xfId="16604"/>
    <cellStyle name="Normal 3 6 5 2 2 2 4" xfId="16605"/>
    <cellStyle name="Normal 3 6 5 2 2 2 4 2" xfId="16606"/>
    <cellStyle name="Normal 3 6 5 2 2 2 5" xfId="16607"/>
    <cellStyle name="Normal 3 6 5 2 2 2 5 2" xfId="16608"/>
    <cellStyle name="Normal 3 6 5 2 2 2 6" xfId="16609"/>
    <cellStyle name="Normal 3 6 5 2 2 2 6 2" xfId="16610"/>
    <cellStyle name="Normal 3 6 5 2 2 2 7" xfId="16611"/>
    <cellStyle name="Normal 3 6 5 2 2 3" xfId="16612"/>
    <cellStyle name="Normal 3 6 5 2 2 3 2" xfId="16613"/>
    <cellStyle name="Normal 3 6 5 2 2 3 2 2" xfId="16614"/>
    <cellStyle name="Normal 3 6 5 2 2 3 3" xfId="16615"/>
    <cellStyle name="Normal 3 6 5 2 2 3 3 2" xfId="16616"/>
    <cellStyle name="Normal 3 6 5 2 2 3 4" xfId="16617"/>
    <cellStyle name="Normal 3 6 5 2 2 3 4 2" xfId="16618"/>
    <cellStyle name="Normal 3 6 5 2 2 3 5" xfId="16619"/>
    <cellStyle name="Normal 3 6 5 2 2 4" xfId="16620"/>
    <cellStyle name="Normal 3 6 5 2 2 4 2" xfId="16621"/>
    <cellStyle name="Normal 3 6 5 2 2 4 2 2" xfId="16622"/>
    <cellStyle name="Normal 3 6 5 2 2 4 3" xfId="16623"/>
    <cellStyle name="Normal 3 6 5 2 2 4 3 2" xfId="16624"/>
    <cellStyle name="Normal 3 6 5 2 2 4 4" xfId="16625"/>
    <cellStyle name="Normal 3 6 5 2 2 4 4 2" xfId="16626"/>
    <cellStyle name="Normal 3 6 5 2 2 4 5" xfId="16627"/>
    <cellStyle name="Normal 3 6 5 2 2 5" xfId="16628"/>
    <cellStyle name="Normal 3 6 5 2 2 5 2" xfId="16629"/>
    <cellStyle name="Normal 3 6 5 2 2 6" xfId="16630"/>
    <cellStyle name="Normal 3 6 5 2 2 6 2" xfId="16631"/>
    <cellStyle name="Normal 3 6 5 2 2 7" xfId="16632"/>
    <cellStyle name="Normal 3 6 5 2 2 7 2" xfId="16633"/>
    <cellStyle name="Normal 3 6 5 2 2 8" xfId="16634"/>
    <cellStyle name="Normal 3 6 5 2 3" xfId="16635"/>
    <cellStyle name="Normal 3 6 5 2 3 2" xfId="16636"/>
    <cellStyle name="Normal 3 6 5 2 3 2 2" xfId="16637"/>
    <cellStyle name="Normal 3 6 5 2 3 2 2 2" xfId="16638"/>
    <cellStyle name="Normal 3 6 5 2 3 2 2 2 2" xfId="16639"/>
    <cellStyle name="Normal 3 6 5 2 3 2 2 3" xfId="16640"/>
    <cellStyle name="Normal 3 6 5 2 3 2 2 3 2" xfId="16641"/>
    <cellStyle name="Normal 3 6 5 2 3 2 2 4" xfId="16642"/>
    <cellStyle name="Normal 3 6 5 2 3 2 2 4 2" xfId="16643"/>
    <cellStyle name="Normal 3 6 5 2 3 2 2 5" xfId="16644"/>
    <cellStyle name="Normal 3 6 5 2 3 2 3" xfId="16645"/>
    <cellStyle name="Normal 3 6 5 2 3 2 3 2" xfId="16646"/>
    <cellStyle name="Normal 3 6 5 2 3 2 3 2 2" xfId="16647"/>
    <cellStyle name="Normal 3 6 5 2 3 2 3 3" xfId="16648"/>
    <cellStyle name="Normal 3 6 5 2 3 2 3 3 2" xfId="16649"/>
    <cellStyle name="Normal 3 6 5 2 3 2 3 4" xfId="16650"/>
    <cellStyle name="Normal 3 6 5 2 3 2 3 4 2" xfId="16651"/>
    <cellStyle name="Normal 3 6 5 2 3 2 3 5" xfId="16652"/>
    <cellStyle name="Normal 3 6 5 2 3 2 4" xfId="16653"/>
    <cellStyle name="Normal 3 6 5 2 3 2 4 2" xfId="16654"/>
    <cellStyle name="Normal 3 6 5 2 3 2 5" xfId="16655"/>
    <cellStyle name="Normal 3 6 5 2 3 2 5 2" xfId="16656"/>
    <cellStyle name="Normal 3 6 5 2 3 2 6" xfId="16657"/>
    <cellStyle name="Normal 3 6 5 2 3 2 6 2" xfId="16658"/>
    <cellStyle name="Normal 3 6 5 2 3 2 7" xfId="16659"/>
    <cellStyle name="Normal 3 6 5 2 3 3" xfId="16660"/>
    <cellStyle name="Normal 3 6 5 2 3 3 2" xfId="16661"/>
    <cellStyle name="Normal 3 6 5 2 3 3 2 2" xfId="16662"/>
    <cellStyle name="Normal 3 6 5 2 3 3 3" xfId="16663"/>
    <cellStyle name="Normal 3 6 5 2 3 3 3 2" xfId="16664"/>
    <cellStyle name="Normal 3 6 5 2 3 3 4" xfId="16665"/>
    <cellStyle name="Normal 3 6 5 2 3 3 4 2" xfId="16666"/>
    <cellStyle name="Normal 3 6 5 2 3 3 5" xfId="16667"/>
    <cellStyle name="Normal 3 6 5 2 3 4" xfId="16668"/>
    <cellStyle name="Normal 3 6 5 2 3 4 2" xfId="16669"/>
    <cellStyle name="Normal 3 6 5 2 3 4 2 2" xfId="16670"/>
    <cellStyle name="Normal 3 6 5 2 3 4 3" xfId="16671"/>
    <cellStyle name="Normal 3 6 5 2 3 4 3 2" xfId="16672"/>
    <cellStyle name="Normal 3 6 5 2 3 4 4" xfId="16673"/>
    <cellStyle name="Normal 3 6 5 2 3 4 4 2" xfId="16674"/>
    <cellStyle name="Normal 3 6 5 2 3 4 5" xfId="16675"/>
    <cellStyle name="Normal 3 6 5 2 3 5" xfId="16676"/>
    <cellStyle name="Normal 3 6 5 2 3 5 2" xfId="16677"/>
    <cellStyle name="Normal 3 6 5 2 3 6" xfId="16678"/>
    <cellStyle name="Normal 3 6 5 2 3 6 2" xfId="16679"/>
    <cellStyle name="Normal 3 6 5 2 3 7" xfId="16680"/>
    <cellStyle name="Normal 3 6 5 2 3 7 2" xfId="16681"/>
    <cellStyle name="Normal 3 6 5 2 3 8" xfId="16682"/>
    <cellStyle name="Normal 3 6 5 2 4" xfId="16683"/>
    <cellStyle name="Normal 3 6 5 2 4 2" xfId="16684"/>
    <cellStyle name="Normal 3 6 5 2 4 2 2" xfId="16685"/>
    <cellStyle name="Normal 3 6 5 2 4 2 2 2" xfId="16686"/>
    <cellStyle name="Normal 3 6 5 2 4 2 2 2 2" xfId="16687"/>
    <cellStyle name="Normal 3 6 5 2 4 2 2 3" xfId="16688"/>
    <cellStyle name="Normal 3 6 5 2 4 2 2 3 2" xfId="16689"/>
    <cellStyle name="Normal 3 6 5 2 4 2 2 4" xfId="16690"/>
    <cellStyle name="Normal 3 6 5 2 4 2 2 4 2" xfId="16691"/>
    <cellStyle name="Normal 3 6 5 2 4 2 2 5" xfId="16692"/>
    <cellStyle name="Normal 3 6 5 2 4 2 3" xfId="16693"/>
    <cellStyle name="Normal 3 6 5 2 4 2 3 2" xfId="16694"/>
    <cellStyle name="Normal 3 6 5 2 4 2 3 2 2" xfId="16695"/>
    <cellStyle name="Normal 3 6 5 2 4 2 3 3" xfId="16696"/>
    <cellStyle name="Normal 3 6 5 2 4 2 3 3 2" xfId="16697"/>
    <cellStyle name="Normal 3 6 5 2 4 2 3 4" xfId="16698"/>
    <cellStyle name="Normal 3 6 5 2 4 2 3 4 2" xfId="16699"/>
    <cellStyle name="Normal 3 6 5 2 4 2 3 5" xfId="16700"/>
    <cellStyle name="Normal 3 6 5 2 4 2 4" xfId="16701"/>
    <cellStyle name="Normal 3 6 5 2 4 2 4 2" xfId="16702"/>
    <cellStyle name="Normal 3 6 5 2 4 2 5" xfId="16703"/>
    <cellStyle name="Normal 3 6 5 2 4 2 5 2" xfId="16704"/>
    <cellStyle name="Normal 3 6 5 2 4 2 6" xfId="16705"/>
    <cellStyle name="Normal 3 6 5 2 4 2 6 2" xfId="16706"/>
    <cellStyle name="Normal 3 6 5 2 4 2 7" xfId="16707"/>
    <cellStyle name="Normal 3 6 5 2 4 3" xfId="16708"/>
    <cellStyle name="Normal 3 6 5 2 4 3 2" xfId="16709"/>
    <cellStyle name="Normal 3 6 5 2 4 3 2 2" xfId="16710"/>
    <cellStyle name="Normal 3 6 5 2 4 3 3" xfId="16711"/>
    <cellStyle name="Normal 3 6 5 2 4 3 3 2" xfId="16712"/>
    <cellStyle name="Normal 3 6 5 2 4 3 4" xfId="16713"/>
    <cellStyle name="Normal 3 6 5 2 4 3 4 2" xfId="16714"/>
    <cellStyle name="Normal 3 6 5 2 4 3 5" xfId="16715"/>
    <cellStyle name="Normal 3 6 5 2 4 4" xfId="16716"/>
    <cellStyle name="Normal 3 6 5 2 4 4 2" xfId="16717"/>
    <cellStyle name="Normal 3 6 5 2 4 4 2 2" xfId="16718"/>
    <cellStyle name="Normal 3 6 5 2 4 4 3" xfId="16719"/>
    <cellStyle name="Normal 3 6 5 2 4 4 3 2" xfId="16720"/>
    <cellStyle name="Normal 3 6 5 2 4 4 4" xfId="16721"/>
    <cellStyle name="Normal 3 6 5 2 4 4 4 2" xfId="16722"/>
    <cellStyle name="Normal 3 6 5 2 4 4 5" xfId="16723"/>
    <cellStyle name="Normal 3 6 5 2 4 5" xfId="16724"/>
    <cellStyle name="Normal 3 6 5 2 4 5 2" xfId="16725"/>
    <cellStyle name="Normal 3 6 5 2 4 6" xfId="16726"/>
    <cellStyle name="Normal 3 6 5 2 4 6 2" xfId="16727"/>
    <cellStyle name="Normal 3 6 5 2 4 7" xfId="16728"/>
    <cellStyle name="Normal 3 6 5 2 4 7 2" xfId="16729"/>
    <cellStyle name="Normal 3 6 5 2 4 8" xfId="16730"/>
    <cellStyle name="Normal 3 6 5 2 5" xfId="16731"/>
    <cellStyle name="Normal 3 6 5 2 5 2" xfId="16732"/>
    <cellStyle name="Normal 3 6 5 2 5 2 2" xfId="16733"/>
    <cellStyle name="Normal 3 6 5 2 5 2 2 2" xfId="16734"/>
    <cellStyle name="Normal 3 6 5 2 5 2 2 2 2" xfId="16735"/>
    <cellStyle name="Normal 3 6 5 2 5 2 2 3" xfId="16736"/>
    <cellStyle name="Normal 3 6 5 2 5 2 2 3 2" xfId="16737"/>
    <cellStyle name="Normal 3 6 5 2 5 2 2 4" xfId="16738"/>
    <cellStyle name="Normal 3 6 5 2 5 2 2 4 2" xfId="16739"/>
    <cellStyle name="Normal 3 6 5 2 5 2 2 5" xfId="16740"/>
    <cellStyle name="Normal 3 6 5 2 5 2 3" xfId="16741"/>
    <cellStyle name="Normal 3 6 5 2 5 2 3 2" xfId="16742"/>
    <cellStyle name="Normal 3 6 5 2 5 2 3 2 2" xfId="16743"/>
    <cellStyle name="Normal 3 6 5 2 5 2 3 3" xfId="16744"/>
    <cellStyle name="Normal 3 6 5 2 5 2 3 3 2" xfId="16745"/>
    <cellStyle name="Normal 3 6 5 2 5 2 3 4" xfId="16746"/>
    <cellStyle name="Normal 3 6 5 2 5 2 3 4 2" xfId="16747"/>
    <cellStyle name="Normal 3 6 5 2 5 2 3 5" xfId="16748"/>
    <cellStyle name="Normal 3 6 5 2 5 2 4" xfId="16749"/>
    <cellStyle name="Normal 3 6 5 2 5 2 4 2" xfId="16750"/>
    <cellStyle name="Normal 3 6 5 2 5 2 5" xfId="16751"/>
    <cellStyle name="Normal 3 6 5 2 5 2 5 2" xfId="16752"/>
    <cellStyle name="Normal 3 6 5 2 5 2 6" xfId="16753"/>
    <cellStyle name="Normal 3 6 5 2 5 2 6 2" xfId="16754"/>
    <cellStyle name="Normal 3 6 5 2 5 2 7" xfId="16755"/>
    <cellStyle name="Normal 3 6 5 2 5 3" xfId="16756"/>
    <cellStyle name="Normal 3 6 5 2 5 3 2" xfId="16757"/>
    <cellStyle name="Normal 3 6 5 2 5 3 2 2" xfId="16758"/>
    <cellStyle name="Normal 3 6 5 2 5 3 3" xfId="16759"/>
    <cellStyle name="Normal 3 6 5 2 5 3 3 2" xfId="16760"/>
    <cellStyle name="Normal 3 6 5 2 5 3 4" xfId="16761"/>
    <cellStyle name="Normal 3 6 5 2 5 3 4 2" xfId="16762"/>
    <cellStyle name="Normal 3 6 5 2 5 3 5" xfId="16763"/>
    <cellStyle name="Normal 3 6 5 2 5 4" xfId="16764"/>
    <cellStyle name="Normal 3 6 5 2 5 4 2" xfId="16765"/>
    <cellStyle name="Normal 3 6 5 2 5 4 2 2" xfId="16766"/>
    <cellStyle name="Normal 3 6 5 2 5 4 3" xfId="16767"/>
    <cellStyle name="Normal 3 6 5 2 5 4 3 2" xfId="16768"/>
    <cellStyle name="Normal 3 6 5 2 5 4 4" xfId="16769"/>
    <cellStyle name="Normal 3 6 5 2 5 4 4 2" xfId="16770"/>
    <cellStyle name="Normal 3 6 5 2 5 4 5" xfId="16771"/>
    <cellStyle name="Normal 3 6 5 2 5 5" xfId="16772"/>
    <cellStyle name="Normal 3 6 5 2 5 5 2" xfId="16773"/>
    <cellStyle name="Normal 3 6 5 2 5 6" xfId="16774"/>
    <cellStyle name="Normal 3 6 5 2 5 6 2" xfId="16775"/>
    <cellStyle name="Normal 3 6 5 2 5 7" xfId="16776"/>
    <cellStyle name="Normal 3 6 5 2 5 7 2" xfId="16777"/>
    <cellStyle name="Normal 3 6 5 2 5 8" xfId="16778"/>
    <cellStyle name="Normal 3 6 5 2 6" xfId="16779"/>
    <cellStyle name="Normal 3 6 5 2 6 2" xfId="16780"/>
    <cellStyle name="Normal 3 6 5 2 6 2 2" xfId="16781"/>
    <cellStyle name="Normal 3 6 5 2 6 2 2 2" xfId="16782"/>
    <cellStyle name="Normal 3 6 5 2 6 2 2 2 2" xfId="16783"/>
    <cellStyle name="Normal 3 6 5 2 6 2 2 3" xfId="16784"/>
    <cellStyle name="Normal 3 6 5 2 6 2 2 3 2" xfId="16785"/>
    <cellStyle name="Normal 3 6 5 2 6 2 2 4" xfId="16786"/>
    <cellStyle name="Normal 3 6 5 2 6 2 2 4 2" xfId="16787"/>
    <cellStyle name="Normal 3 6 5 2 6 2 2 5" xfId="16788"/>
    <cellStyle name="Normal 3 6 5 2 6 2 3" xfId="16789"/>
    <cellStyle name="Normal 3 6 5 2 6 2 3 2" xfId="16790"/>
    <cellStyle name="Normal 3 6 5 2 6 2 3 2 2" xfId="16791"/>
    <cellStyle name="Normal 3 6 5 2 6 2 3 3" xfId="16792"/>
    <cellStyle name="Normal 3 6 5 2 6 2 3 3 2" xfId="16793"/>
    <cellStyle name="Normal 3 6 5 2 6 2 3 4" xfId="16794"/>
    <cellStyle name="Normal 3 6 5 2 6 2 3 4 2" xfId="16795"/>
    <cellStyle name="Normal 3 6 5 2 6 2 3 5" xfId="16796"/>
    <cellStyle name="Normal 3 6 5 2 6 2 4" xfId="16797"/>
    <cellStyle name="Normal 3 6 5 2 6 2 4 2" xfId="16798"/>
    <cellStyle name="Normal 3 6 5 2 6 2 5" xfId="16799"/>
    <cellStyle name="Normal 3 6 5 2 6 2 5 2" xfId="16800"/>
    <cellStyle name="Normal 3 6 5 2 6 2 6" xfId="16801"/>
    <cellStyle name="Normal 3 6 5 2 6 2 6 2" xfId="16802"/>
    <cellStyle name="Normal 3 6 5 2 6 2 7" xfId="16803"/>
    <cellStyle name="Normal 3 6 5 2 6 3" xfId="16804"/>
    <cellStyle name="Normal 3 6 5 2 6 3 2" xfId="16805"/>
    <cellStyle name="Normal 3 6 5 2 6 3 2 2" xfId="16806"/>
    <cellStyle name="Normal 3 6 5 2 6 3 3" xfId="16807"/>
    <cellStyle name="Normal 3 6 5 2 6 3 3 2" xfId="16808"/>
    <cellStyle name="Normal 3 6 5 2 6 3 4" xfId="16809"/>
    <cellStyle name="Normal 3 6 5 2 6 3 4 2" xfId="16810"/>
    <cellStyle name="Normal 3 6 5 2 6 3 5" xfId="16811"/>
    <cellStyle name="Normal 3 6 5 2 6 4" xfId="16812"/>
    <cellStyle name="Normal 3 6 5 2 6 4 2" xfId="16813"/>
    <cellStyle name="Normal 3 6 5 2 6 4 2 2" xfId="16814"/>
    <cellStyle name="Normal 3 6 5 2 6 4 3" xfId="16815"/>
    <cellStyle name="Normal 3 6 5 2 6 4 3 2" xfId="16816"/>
    <cellStyle name="Normal 3 6 5 2 6 4 4" xfId="16817"/>
    <cellStyle name="Normal 3 6 5 2 6 4 4 2" xfId="16818"/>
    <cellStyle name="Normal 3 6 5 2 6 4 5" xfId="16819"/>
    <cellStyle name="Normal 3 6 5 2 6 5" xfId="16820"/>
    <cellStyle name="Normal 3 6 5 2 6 5 2" xfId="16821"/>
    <cellStyle name="Normal 3 6 5 2 6 6" xfId="16822"/>
    <cellStyle name="Normal 3 6 5 2 6 6 2" xfId="16823"/>
    <cellStyle name="Normal 3 6 5 2 6 7" xfId="16824"/>
    <cellStyle name="Normal 3 6 5 2 6 7 2" xfId="16825"/>
    <cellStyle name="Normal 3 6 5 2 6 8" xfId="16826"/>
    <cellStyle name="Normal 3 6 5 2 7" xfId="16827"/>
    <cellStyle name="Normal 3 6 5 2 7 2" xfId="16828"/>
    <cellStyle name="Normal 3 6 5 2 7 2 2" xfId="16829"/>
    <cellStyle name="Normal 3 6 5 2 7 2 2 2" xfId="16830"/>
    <cellStyle name="Normal 3 6 5 2 7 2 3" xfId="16831"/>
    <cellStyle name="Normal 3 6 5 2 7 2 3 2" xfId="16832"/>
    <cellStyle name="Normal 3 6 5 2 7 2 4" xfId="16833"/>
    <cellStyle name="Normal 3 6 5 2 7 2 4 2" xfId="16834"/>
    <cellStyle name="Normal 3 6 5 2 7 2 5" xfId="16835"/>
    <cellStyle name="Normal 3 6 5 2 7 3" xfId="16836"/>
    <cellStyle name="Normal 3 6 5 2 7 3 2" xfId="16837"/>
    <cellStyle name="Normal 3 6 5 2 7 3 2 2" xfId="16838"/>
    <cellStyle name="Normal 3 6 5 2 7 3 3" xfId="16839"/>
    <cellStyle name="Normal 3 6 5 2 7 3 3 2" xfId="16840"/>
    <cellStyle name="Normal 3 6 5 2 7 3 4" xfId="16841"/>
    <cellStyle name="Normal 3 6 5 2 7 3 4 2" xfId="16842"/>
    <cellStyle name="Normal 3 6 5 2 7 3 5" xfId="16843"/>
    <cellStyle name="Normal 3 6 5 2 7 4" xfId="16844"/>
    <cellStyle name="Normal 3 6 5 2 7 4 2" xfId="16845"/>
    <cellStyle name="Normal 3 6 5 2 7 5" xfId="16846"/>
    <cellStyle name="Normal 3 6 5 2 7 5 2" xfId="16847"/>
    <cellStyle name="Normal 3 6 5 2 7 6" xfId="16848"/>
    <cellStyle name="Normal 3 6 5 2 7 6 2" xfId="16849"/>
    <cellStyle name="Normal 3 6 5 2 7 7" xfId="16850"/>
    <cellStyle name="Normal 3 6 5 2 8" xfId="16851"/>
    <cellStyle name="Normal 3 6 5 2 8 2" xfId="16852"/>
    <cellStyle name="Normal 3 6 5 2 8 2 2" xfId="16853"/>
    <cellStyle name="Normal 3 6 5 2 8 3" xfId="16854"/>
    <cellStyle name="Normal 3 6 5 2 8 3 2" xfId="16855"/>
    <cellStyle name="Normal 3 6 5 2 8 4" xfId="16856"/>
    <cellStyle name="Normal 3 6 5 2 8 4 2" xfId="16857"/>
    <cellStyle name="Normal 3 6 5 2 8 5" xfId="16858"/>
    <cellStyle name="Normal 3 6 5 2 9" xfId="16859"/>
    <cellStyle name="Normal 3 6 5 2 9 2" xfId="16860"/>
    <cellStyle name="Normal 3 6 5 2 9 2 2" xfId="16861"/>
    <cellStyle name="Normal 3 6 5 2 9 3" xfId="16862"/>
    <cellStyle name="Normal 3 6 5 2 9 3 2" xfId="16863"/>
    <cellStyle name="Normal 3 6 5 2 9 4" xfId="16864"/>
    <cellStyle name="Normal 3 6 5 2 9 4 2" xfId="16865"/>
    <cellStyle name="Normal 3 6 5 2 9 5" xfId="16866"/>
    <cellStyle name="Normal 3 6 5 3" xfId="16867"/>
    <cellStyle name="Normal 3 6 5 3 2" xfId="16868"/>
    <cellStyle name="Normal 3 6 5 3 2 2" xfId="16869"/>
    <cellStyle name="Normal 3 6 5 3 2 2 2" xfId="16870"/>
    <cellStyle name="Normal 3 6 5 3 2 2 2 2" xfId="16871"/>
    <cellStyle name="Normal 3 6 5 3 2 2 3" xfId="16872"/>
    <cellStyle name="Normal 3 6 5 3 2 2 3 2" xfId="16873"/>
    <cellStyle name="Normal 3 6 5 3 2 2 4" xfId="16874"/>
    <cellStyle name="Normal 3 6 5 3 2 2 4 2" xfId="16875"/>
    <cellStyle name="Normal 3 6 5 3 2 2 5" xfId="16876"/>
    <cellStyle name="Normal 3 6 5 3 2 3" xfId="16877"/>
    <cellStyle name="Normal 3 6 5 3 2 3 2" xfId="16878"/>
    <cellStyle name="Normal 3 6 5 3 2 3 2 2" xfId="16879"/>
    <cellStyle name="Normal 3 6 5 3 2 3 3" xfId="16880"/>
    <cellStyle name="Normal 3 6 5 3 2 3 3 2" xfId="16881"/>
    <cellStyle name="Normal 3 6 5 3 2 3 4" xfId="16882"/>
    <cellStyle name="Normal 3 6 5 3 2 3 4 2" xfId="16883"/>
    <cellStyle name="Normal 3 6 5 3 2 3 5" xfId="16884"/>
    <cellStyle name="Normal 3 6 5 3 2 4" xfId="16885"/>
    <cellStyle name="Normal 3 6 5 3 2 4 2" xfId="16886"/>
    <cellStyle name="Normal 3 6 5 3 2 5" xfId="16887"/>
    <cellStyle name="Normal 3 6 5 3 2 5 2" xfId="16888"/>
    <cellStyle name="Normal 3 6 5 3 2 6" xfId="16889"/>
    <cellStyle name="Normal 3 6 5 3 2 6 2" xfId="16890"/>
    <cellStyle name="Normal 3 6 5 3 2 7" xfId="16891"/>
    <cellStyle name="Normal 3 6 5 3 3" xfId="16892"/>
    <cellStyle name="Normal 3 6 5 3 3 2" xfId="16893"/>
    <cellStyle name="Normal 3 6 5 3 3 2 2" xfId="16894"/>
    <cellStyle name="Normal 3 6 5 3 3 3" xfId="16895"/>
    <cellStyle name="Normal 3 6 5 3 3 3 2" xfId="16896"/>
    <cellStyle name="Normal 3 6 5 3 3 4" xfId="16897"/>
    <cellStyle name="Normal 3 6 5 3 3 4 2" xfId="16898"/>
    <cellStyle name="Normal 3 6 5 3 3 5" xfId="16899"/>
    <cellStyle name="Normal 3 6 5 3 4" xfId="16900"/>
    <cellStyle name="Normal 3 6 5 3 4 2" xfId="16901"/>
    <cellStyle name="Normal 3 6 5 3 4 2 2" xfId="16902"/>
    <cellStyle name="Normal 3 6 5 3 4 3" xfId="16903"/>
    <cellStyle name="Normal 3 6 5 3 4 3 2" xfId="16904"/>
    <cellStyle name="Normal 3 6 5 3 4 4" xfId="16905"/>
    <cellStyle name="Normal 3 6 5 3 4 4 2" xfId="16906"/>
    <cellStyle name="Normal 3 6 5 3 4 5" xfId="16907"/>
    <cellStyle name="Normal 3 6 5 3 5" xfId="16908"/>
    <cellStyle name="Normal 3 6 5 3 5 2" xfId="16909"/>
    <cellStyle name="Normal 3 6 5 3 6" xfId="16910"/>
    <cellStyle name="Normal 3 6 5 3 6 2" xfId="16911"/>
    <cellStyle name="Normal 3 6 5 3 7" xfId="16912"/>
    <cellStyle name="Normal 3 6 5 3 7 2" xfId="16913"/>
    <cellStyle name="Normal 3 6 5 3 8" xfId="16914"/>
    <cellStyle name="Normal 3 6 5 4" xfId="16915"/>
    <cellStyle name="Normal 3 6 5 4 2" xfId="16916"/>
    <cellStyle name="Normal 3 6 5 4 2 2" xfId="16917"/>
    <cellStyle name="Normal 3 6 5 4 2 2 2" xfId="16918"/>
    <cellStyle name="Normal 3 6 5 4 2 2 2 2" xfId="16919"/>
    <cellStyle name="Normal 3 6 5 4 2 2 3" xfId="16920"/>
    <cellStyle name="Normal 3 6 5 4 2 2 3 2" xfId="16921"/>
    <cellStyle name="Normal 3 6 5 4 2 2 4" xfId="16922"/>
    <cellStyle name="Normal 3 6 5 4 2 2 4 2" xfId="16923"/>
    <cellStyle name="Normal 3 6 5 4 2 2 5" xfId="16924"/>
    <cellStyle name="Normal 3 6 5 4 2 3" xfId="16925"/>
    <cellStyle name="Normal 3 6 5 4 2 3 2" xfId="16926"/>
    <cellStyle name="Normal 3 6 5 4 2 3 2 2" xfId="16927"/>
    <cellStyle name="Normal 3 6 5 4 2 3 3" xfId="16928"/>
    <cellStyle name="Normal 3 6 5 4 2 3 3 2" xfId="16929"/>
    <cellStyle name="Normal 3 6 5 4 2 3 4" xfId="16930"/>
    <cellStyle name="Normal 3 6 5 4 2 3 4 2" xfId="16931"/>
    <cellStyle name="Normal 3 6 5 4 2 3 5" xfId="16932"/>
    <cellStyle name="Normal 3 6 5 4 2 4" xfId="16933"/>
    <cellStyle name="Normal 3 6 5 4 2 4 2" xfId="16934"/>
    <cellStyle name="Normal 3 6 5 4 2 5" xfId="16935"/>
    <cellStyle name="Normal 3 6 5 4 2 5 2" xfId="16936"/>
    <cellStyle name="Normal 3 6 5 4 2 6" xfId="16937"/>
    <cellStyle name="Normal 3 6 5 4 2 6 2" xfId="16938"/>
    <cellStyle name="Normal 3 6 5 4 2 7" xfId="16939"/>
    <cellStyle name="Normal 3 6 5 4 3" xfId="16940"/>
    <cellStyle name="Normal 3 6 5 4 3 2" xfId="16941"/>
    <cellStyle name="Normal 3 6 5 4 3 2 2" xfId="16942"/>
    <cellStyle name="Normal 3 6 5 4 3 3" xfId="16943"/>
    <cellStyle name="Normal 3 6 5 4 3 3 2" xfId="16944"/>
    <cellStyle name="Normal 3 6 5 4 3 4" xfId="16945"/>
    <cellStyle name="Normal 3 6 5 4 3 4 2" xfId="16946"/>
    <cellStyle name="Normal 3 6 5 4 3 5" xfId="16947"/>
    <cellStyle name="Normal 3 6 5 4 4" xfId="16948"/>
    <cellStyle name="Normal 3 6 5 4 4 2" xfId="16949"/>
    <cellStyle name="Normal 3 6 5 4 4 2 2" xfId="16950"/>
    <cellStyle name="Normal 3 6 5 4 4 3" xfId="16951"/>
    <cellStyle name="Normal 3 6 5 4 4 3 2" xfId="16952"/>
    <cellStyle name="Normal 3 6 5 4 4 4" xfId="16953"/>
    <cellStyle name="Normal 3 6 5 4 4 4 2" xfId="16954"/>
    <cellStyle name="Normal 3 6 5 4 4 5" xfId="16955"/>
    <cellStyle name="Normal 3 6 5 4 5" xfId="16956"/>
    <cellStyle name="Normal 3 6 5 4 5 2" xfId="16957"/>
    <cellStyle name="Normal 3 6 5 4 6" xfId="16958"/>
    <cellStyle name="Normal 3 6 5 4 6 2" xfId="16959"/>
    <cellStyle name="Normal 3 6 5 4 7" xfId="16960"/>
    <cellStyle name="Normal 3 6 5 4 7 2" xfId="16961"/>
    <cellStyle name="Normal 3 6 5 4 8" xfId="16962"/>
    <cellStyle name="Normal 3 6 5 5" xfId="16963"/>
    <cellStyle name="Normal 3 6 5 5 2" xfId="16964"/>
    <cellStyle name="Normal 3 6 5 5 2 2" xfId="16965"/>
    <cellStyle name="Normal 3 6 5 5 2 2 2" xfId="16966"/>
    <cellStyle name="Normal 3 6 5 5 2 2 2 2" xfId="16967"/>
    <cellStyle name="Normal 3 6 5 5 2 2 3" xfId="16968"/>
    <cellStyle name="Normal 3 6 5 5 2 2 3 2" xfId="16969"/>
    <cellStyle name="Normal 3 6 5 5 2 2 4" xfId="16970"/>
    <cellStyle name="Normal 3 6 5 5 2 2 4 2" xfId="16971"/>
    <cellStyle name="Normal 3 6 5 5 2 2 5" xfId="16972"/>
    <cellStyle name="Normal 3 6 5 5 2 3" xfId="16973"/>
    <cellStyle name="Normal 3 6 5 5 2 3 2" xfId="16974"/>
    <cellStyle name="Normal 3 6 5 5 2 3 2 2" xfId="16975"/>
    <cellStyle name="Normal 3 6 5 5 2 3 3" xfId="16976"/>
    <cellStyle name="Normal 3 6 5 5 2 3 3 2" xfId="16977"/>
    <cellStyle name="Normal 3 6 5 5 2 3 4" xfId="16978"/>
    <cellStyle name="Normal 3 6 5 5 2 3 4 2" xfId="16979"/>
    <cellStyle name="Normal 3 6 5 5 2 3 5" xfId="16980"/>
    <cellStyle name="Normal 3 6 5 5 2 4" xfId="16981"/>
    <cellStyle name="Normal 3 6 5 5 2 4 2" xfId="16982"/>
    <cellStyle name="Normal 3 6 5 5 2 5" xfId="16983"/>
    <cellStyle name="Normal 3 6 5 5 2 5 2" xfId="16984"/>
    <cellStyle name="Normal 3 6 5 5 2 6" xfId="16985"/>
    <cellStyle name="Normal 3 6 5 5 2 6 2" xfId="16986"/>
    <cellStyle name="Normal 3 6 5 5 2 7" xfId="16987"/>
    <cellStyle name="Normal 3 6 5 5 3" xfId="16988"/>
    <cellStyle name="Normal 3 6 5 5 3 2" xfId="16989"/>
    <cellStyle name="Normal 3 6 5 5 3 2 2" xfId="16990"/>
    <cellStyle name="Normal 3 6 5 5 3 3" xfId="16991"/>
    <cellStyle name="Normal 3 6 5 5 3 3 2" xfId="16992"/>
    <cellStyle name="Normal 3 6 5 5 3 4" xfId="16993"/>
    <cellStyle name="Normal 3 6 5 5 3 4 2" xfId="16994"/>
    <cellStyle name="Normal 3 6 5 5 3 5" xfId="16995"/>
    <cellStyle name="Normal 3 6 5 5 4" xfId="16996"/>
    <cellStyle name="Normal 3 6 5 5 4 2" xfId="16997"/>
    <cellStyle name="Normal 3 6 5 5 4 2 2" xfId="16998"/>
    <cellStyle name="Normal 3 6 5 5 4 3" xfId="16999"/>
    <cellStyle name="Normal 3 6 5 5 4 3 2" xfId="17000"/>
    <cellStyle name="Normal 3 6 5 5 4 4" xfId="17001"/>
    <cellStyle name="Normal 3 6 5 5 4 4 2" xfId="17002"/>
    <cellStyle name="Normal 3 6 5 5 4 5" xfId="17003"/>
    <cellStyle name="Normal 3 6 5 5 5" xfId="17004"/>
    <cellStyle name="Normal 3 6 5 5 5 2" xfId="17005"/>
    <cellStyle name="Normal 3 6 5 5 6" xfId="17006"/>
    <cellStyle name="Normal 3 6 5 5 6 2" xfId="17007"/>
    <cellStyle name="Normal 3 6 5 5 7" xfId="17008"/>
    <cellStyle name="Normal 3 6 5 5 7 2" xfId="17009"/>
    <cellStyle name="Normal 3 6 5 5 8" xfId="17010"/>
    <cellStyle name="Normal 3 6 5 6" xfId="17011"/>
    <cellStyle name="Normal 3 6 5 6 2" xfId="17012"/>
    <cellStyle name="Normal 3 6 5 6 2 2" xfId="17013"/>
    <cellStyle name="Normal 3 6 5 6 2 2 2" xfId="17014"/>
    <cellStyle name="Normal 3 6 5 6 2 2 2 2" xfId="17015"/>
    <cellStyle name="Normal 3 6 5 6 2 2 3" xfId="17016"/>
    <cellStyle name="Normal 3 6 5 6 2 2 3 2" xfId="17017"/>
    <cellStyle name="Normal 3 6 5 6 2 2 4" xfId="17018"/>
    <cellStyle name="Normal 3 6 5 6 2 2 4 2" xfId="17019"/>
    <cellStyle name="Normal 3 6 5 6 2 2 5" xfId="17020"/>
    <cellStyle name="Normal 3 6 5 6 2 3" xfId="17021"/>
    <cellStyle name="Normal 3 6 5 6 2 3 2" xfId="17022"/>
    <cellStyle name="Normal 3 6 5 6 2 3 2 2" xfId="17023"/>
    <cellStyle name="Normal 3 6 5 6 2 3 3" xfId="17024"/>
    <cellStyle name="Normal 3 6 5 6 2 3 3 2" xfId="17025"/>
    <cellStyle name="Normal 3 6 5 6 2 3 4" xfId="17026"/>
    <cellStyle name="Normal 3 6 5 6 2 3 4 2" xfId="17027"/>
    <cellStyle name="Normal 3 6 5 6 2 3 5" xfId="17028"/>
    <cellStyle name="Normal 3 6 5 6 2 4" xfId="17029"/>
    <cellStyle name="Normal 3 6 5 6 2 4 2" xfId="17030"/>
    <cellStyle name="Normal 3 6 5 6 2 5" xfId="17031"/>
    <cellStyle name="Normal 3 6 5 6 2 5 2" xfId="17032"/>
    <cellStyle name="Normal 3 6 5 6 2 6" xfId="17033"/>
    <cellStyle name="Normal 3 6 5 6 2 6 2" xfId="17034"/>
    <cellStyle name="Normal 3 6 5 6 2 7" xfId="17035"/>
    <cellStyle name="Normal 3 6 5 6 3" xfId="17036"/>
    <cellStyle name="Normal 3 6 5 6 3 2" xfId="17037"/>
    <cellStyle name="Normal 3 6 5 6 3 2 2" xfId="17038"/>
    <cellStyle name="Normal 3 6 5 6 3 3" xfId="17039"/>
    <cellStyle name="Normal 3 6 5 6 3 3 2" xfId="17040"/>
    <cellStyle name="Normal 3 6 5 6 3 4" xfId="17041"/>
    <cellStyle name="Normal 3 6 5 6 3 4 2" xfId="17042"/>
    <cellStyle name="Normal 3 6 5 6 3 5" xfId="17043"/>
    <cellStyle name="Normal 3 6 5 6 4" xfId="17044"/>
    <cellStyle name="Normal 3 6 5 6 4 2" xfId="17045"/>
    <cellStyle name="Normal 3 6 5 6 4 2 2" xfId="17046"/>
    <cellStyle name="Normal 3 6 5 6 4 3" xfId="17047"/>
    <cellStyle name="Normal 3 6 5 6 4 3 2" xfId="17048"/>
    <cellStyle name="Normal 3 6 5 6 4 4" xfId="17049"/>
    <cellStyle name="Normal 3 6 5 6 4 4 2" xfId="17050"/>
    <cellStyle name="Normal 3 6 5 6 4 5" xfId="17051"/>
    <cellStyle name="Normal 3 6 5 6 5" xfId="17052"/>
    <cellStyle name="Normal 3 6 5 6 5 2" xfId="17053"/>
    <cellStyle name="Normal 3 6 5 6 6" xfId="17054"/>
    <cellStyle name="Normal 3 6 5 6 6 2" xfId="17055"/>
    <cellStyle name="Normal 3 6 5 6 7" xfId="17056"/>
    <cellStyle name="Normal 3 6 5 6 7 2" xfId="17057"/>
    <cellStyle name="Normal 3 6 5 6 8" xfId="17058"/>
    <cellStyle name="Normal 3 6 5 7" xfId="17059"/>
    <cellStyle name="Normal 3 6 5 7 2" xfId="17060"/>
    <cellStyle name="Normal 3 6 5 7 2 2" xfId="17061"/>
    <cellStyle name="Normal 3 6 5 7 2 2 2" xfId="17062"/>
    <cellStyle name="Normal 3 6 5 7 2 2 2 2" xfId="17063"/>
    <cellStyle name="Normal 3 6 5 7 2 2 3" xfId="17064"/>
    <cellStyle name="Normal 3 6 5 7 2 2 3 2" xfId="17065"/>
    <cellStyle name="Normal 3 6 5 7 2 2 4" xfId="17066"/>
    <cellStyle name="Normal 3 6 5 7 2 2 4 2" xfId="17067"/>
    <cellStyle name="Normal 3 6 5 7 2 2 5" xfId="17068"/>
    <cellStyle name="Normal 3 6 5 7 2 3" xfId="17069"/>
    <cellStyle name="Normal 3 6 5 7 2 3 2" xfId="17070"/>
    <cellStyle name="Normal 3 6 5 7 2 3 2 2" xfId="17071"/>
    <cellStyle name="Normal 3 6 5 7 2 3 3" xfId="17072"/>
    <cellStyle name="Normal 3 6 5 7 2 3 3 2" xfId="17073"/>
    <cellStyle name="Normal 3 6 5 7 2 3 4" xfId="17074"/>
    <cellStyle name="Normal 3 6 5 7 2 3 4 2" xfId="17075"/>
    <cellStyle name="Normal 3 6 5 7 2 3 5" xfId="17076"/>
    <cellStyle name="Normal 3 6 5 7 2 4" xfId="17077"/>
    <cellStyle name="Normal 3 6 5 7 2 4 2" xfId="17078"/>
    <cellStyle name="Normal 3 6 5 7 2 5" xfId="17079"/>
    <cellStyle name="Normal 3 6 5 7 2 5 2" xfId="17080"/>
    <cellStyle name="Normal 3 6 5 7 2 6" xfId="17081"/>
    <cellStyle name="Normal 3 6 5 7 2 6 2" xfId="17082"/>
    <cellStyle name="Normal 3 6 5 7 2 7" xfId="17083"/>
    <cellStyle name="Normal 3 6 5 7 3" xfId="17084"/>
    <cellStyle name="Normal 3 6 5 7 3 2" xfId="17085"/>
    <cellStyle name="Normal 3 6 5 7 3 2 2" xfId="17086"/>
    <cellStyle name="Normal 3 6 5 7 3 3" xfId="17087"/>
    <cellStyle name="Normal 3 6 5 7 3 3 2" xfId="17088"/>
    <cellStyle name="Normal 3 6 5 7 3 4" xfId="17089"/>
    <cellStyle name="Normal 3 6 5 7 3 4 2" xfId="17090"/>
    <cellStyle name="Normal 3 6 5 7 3 5" xfId="17091"/>
    <cellStyle name="Normal 3 6 5 7 4" xfId="17092"/>
    <cellStyle name="Normal 3 6 5 7 4 2" xfId="17093"/>
    <cellStyle name="Normal 3 6 5 7 4 2 2" xfId="17094"/>
    <cellStyle name="Normal 3 6 5 7 4 3" xfId="17095"/>
    <cellStyle name="Normal 3 6 5 7 4 3 2" xfId="17096"/>
    <cellStyle name="Normal 3 6 5 7 4 4" xfId="17097"/>
    <cellStyle name="Normal 3 6 5 7 4 4 2" xfId="17098"/>
    <cellStyle name="Normal 3 6 5 7 4 5" xfId="17099"/>
    <cellStyle name="Normal 3 6 5 7 5" xfId="17100"/>
    <cellStyle name="Normal 3 6 5 7 5 2" xfId="17101"/>
    <cellStyle name="Normal 3 6 5 7 6" xfId="17102"/>
    <cellStyle name="Normal 3 6 5 7 6 2" xfId="17103"/>
    <cellStyle name="Normal 3 6 5 7 7" xfId="17104"/>
    <cellStyle name="Normal 3 6 5 7 7 2" xfId="17105"/>
    <cellStyle name="Normal 3 6 5 7 8" xfId="17106"/>
    <cellStyle name="Normal 3 6 5 8" xfId="17107"/>
    <cellStyle name="Normal 3 6 5 8 2" xfId="17108"/>
    <cellStyle name="Normal 3 6 5 8 2 2" xfId="17109"/>
    <cellStyle name="Normal 3 6 5 8 2 2 2" xfId="17110"/>
    <cellStyle name="Normal 3 6 5 8 2 3" xfId="17111"/>
    <cellStyle name="Normal 3 6 5 8 2 3 2" xfId="17112"/>
    <cellStyle name="Normal 3 6 5 8 2 4" xfId="17113"/>
    <cellStyle name="Normal 3 6 5 8 2 4 2" xfId="17114"/>
    <cellStyle name="Normal 3 6 5 8 2 5" xfId="17115"/>
    <cellStyle name="Normal 3 6 5 8 3" xfId="17116"/>
    <cellStyle name="Normal 3 6 5 8 3 2" xfId="17117"/>
    <cellStyle name="Normal 3 6 5 8 3 2 2" xfId="17118"/>
    <cellStyle name="Normal 3 6 5 8 3 3" xfId="17119"/>
    <cellStyle name="Normal 3 6 5 8 3 3 2" xfId="17120"/>
    <cellStyle name="Normal 3 6 5 8 3 4" xfId="17121"/>
    <cellStyle name="Normal 3 6 5 8 3 4 2" xfId="17122"/>
    <cellStyle name="Normal 3 6 5 8 3 5" xfId="17123"/>
    <cellStyle name="Normal 3 6 5 8 4" xfId="17124"/>
    <cellStyle name="Normal 3 6 5 8 4 2" xfId="17125"/>
    <cellStyle name="Normal 3 6 5 8 5" xfId="17126"/>
    <cellStyle name="Normal 3 6 5 8 5 2" xfId="17127"/>
    <cellStyle name="Normal 3 6 5 8 6" xfId="17128"/>
    <cellStyle name="Normal 3 6 5 8 6 2" xfId="17129"/>
    <cellStyle name="Normal 3 6 5 8 7" xfId="17130"/>
    <cellStyle name="Normal 3 6 5 9" xfId="17131"/>
    <cellStyle name="Normal 3 6 5 9 2" xfId="17132"/>
    <cellStyle name="Normal 3 6 5 9 2 2" xfId="17133"/>
    <cellStyle name="Normal 3 6 5 9 3" xfId="17134"/>
    <cellStyle name="Normal 3 6 5 9 3 2" xfId="17135"/>
    <cellStyle name="Normal 3 6 5 9 4" xfId="17136"/>
    <cellStyle name="Normal 3 6 5 9 4 2" xfId="17137"/>
    <cellStyle name="Normal 3 6 5 9 5" xfId="17138"/>
    <cellStyle name="Normal 3 6 6" xfId="17139"/>
    <cellStyle name="Normal 3 6 6 10" xfId="17140"/>
    <cellStyle name="Normal 3 6 6 10 2" xfId="17141"/>
    <cellStyle name="Normal 3 6 6 10 2 2" xfId="17142"/>
    <cellStyle name="Normal 3 6 6 10 3" xfId="17143"/>
    <cellStyle name="Normal 3 6 6 10 3 2" xfId="17144"/>
    <cellStyle name="Normal 3 6 6 10 4" xfId="17145"/>
    <cellStyle name="Normal 3 6 6 10 4 2" xfId="17146"/>
    <cellStyle name="Normal 3 6 6 10 5" xfId="17147"/>
    <cellStyle name="Normal 3 6 6 11" xfId="17148"/>
    <cellStyle name="Normal 3 6 6 11 2" xfId="17149"/>
    <cellStyle name="Normal 3 6 6 12" xfId="17150"/>
    <cellStyle name="Normal 3 6 6 12 2" xfId="17151"/>
    <cellStyle name="Normal 3 6 6 13" xfId="17152"/>
    <cellStyle name="Normal 3 6 6 13 2" xfId="17153"/>
    <cellStyle name="Normal 3 6 6 14" xfId="17154"/>
    <cellStyle name="Normal 3 6 6 2" xfId="17155"/>
    <cellStyle name="Normal 3 6 6 2 10" xfId="17156"/>
    <cellStyle name="Normal 3 6 6 2 10 2" xfId="17157"/>
    <cellStyle name="Normal 3 6 6 2 11" xfId="17158"/>
    <cellStyle name="Normal 3 6 6 2 11 2" xfId="17159"/>
    <cellStyle name="Normal 3 6 6 2 12" xfId="17160"/>
    <cellStyle name="Normal 3 6 6 2 12 2" xfId="17161"/>
    <cellStyle name="Normal 3 6 6 2 13" xfId="17162"/>
    <cellStyle name="Normal 3 6 6 2 2" xfId="17163"/>
    <cellStyle name="Normal 3 6 6 2 2 2" xfId="17164"/>
    <cellStyle name="Normal 3 6 6 2 2 2 2" xfId="17165"/>
    <cellStyle name="Normal 3 6 6 2 2 2 2 2" xfId="17166"/>
    <cellStyle name="Normal 3 6 6 2 2 2 2 2 2" xfId="17167"/>
    <cellStyle name="Normal 3 6 6 2 2 2 2 3" xfId="17168"/>
    <cellStyle name="Normal 3 6 6 2 2 2 2 3 2" xfId="17169"/>
    <cellStyle name="Normal 3 6 6 2 2 2 2 4" xfId="17170"/>
    <cellStyle name="Normal 3 6 6 2 2 2 2 4 2" xfId="17171"/>
    <cellStyle name="Normal 3 6 6 2 2 2 2 5" xfId="17172"/>
    <cellStyle name="Normal 3 6 6 2 2 2 3" xfId="17173"/>
    <cellStyle name="Normal 3 6 6 2 2 2 3 2" xfId="17174"/>
    <cellStyle name="Normal 3 6 6 2 2 2 3 2 2" xfId="17175"/>
    <cellStyle name="Normal 3 6 6 2 2 2 3 3" xfId="17176"/>
    <cellStyle name="Normal 3 6 6 2 2 2 3 3 2" xfId="17177"/>
    <cellStyle name="Normal 3 6 6 2 2 2 3 4" xfId="17178"/>
    <cellStyle name="Normal 3 6 6 2 2 2 3 4 2" xfId="17179"/>
    <cellStyle name="Normal 3 6 6 2 2 2 3 5" xfId="17180"/>
    <cellStyle name="Normal 3 6 6 2 2 2 4" xfId="17181"/>
    <cellStyle name="Normal 3 6 6 2 2 2 4 2" xfId="17182"/>
    <cellStyle name="Normal 3 6 6 2 2 2 5" xfId="17183"/>
    <cellStyle name="Normal 3 6 6 2 2 2 5 2" xfId="17184"/>
    <cellStyle name="Normal 3 6 6 2 2 2 6" xfId="17185"/>
    <cellStyle name="Normal 3 6 6 2 2 2 6 2" xfId="17186"/>
    <cellStyle name="Normal 3 6 6 2 2 2 7" xfId="17187"/>
    <cellStyle name="Normal 3 6 6 2 2 3" xfId="17188"/>
    <cellStyle name="Normal 3 6 6 2 2 3 2" xfId="17189"/>
    <cellStyle name="Normal 3 6 6 2 2 3 2 2" xfId="17190"/>
    <cellStyle name="Normal 3 6 6 2 2 3 3" xfId="17191"/>
    <cellStyle name="Normal 3 6 6 2 2 3 3 2" xfId="17192"/>
    <cellStyle name="Normal 3 6 6 2 2 3 4" xfId="17193"/>
    <cellStyle name="Normal 3 6 6 2 2 3 4 2" xfId="17194"/>
    <cellStyle name="Normal 3 6 6 2 2 3 5" xfId="17195"/>
    <cellStyle name="Normal 3 6 6 2 2 4" xfId="17196"/>
    <cellStyle name="Normal 3 6 6 2 2 4 2" xfId="17197"/>
    <cellStyle name="Normal 3 6 6 2 2 4 2 2" xfId="17198"/>
    <cellStyle name="Normal 3 6 6 2 2 4 3" xfId="17199"/>
    <cellStyle name="Normal 3 6 6 2 2 4 3 2" xfId="17200"/>
    <cellStyle name="Normal 3 6 6 2 2 4 4" xfId="17201"/>
    <cellStyle name="Normal 3 6 6 2 2 4 4 2" xfId="17202"/>
    <cellStyle name="Normal 3 6 6 2 2 4 5" xfId="17203"/>
    <cellStyle name="Normal 3 6 6 2 2 5" xfId="17204"/>
    <cellStyle name="Normal 3 6 6 2 2 5 2" xfId="17205"/>
    <cellStyle name="Normal 3 6 6 2 2 6" xfId="17206"/>
    <cellStyle name="Normal 3 6 6 2 2 6 2" xfId="17207"/>
    <cellStyle name="Normal 3 6 6 2 2 7" xfId="17208"/>
    <cellStyle name="Normal 3 6 6 2 2 7 2" xfId="17209"/>
    <cellStyle name="Normal 3 6 6 2 2 8" xfId="17210"/>
    <cellStyle name="Normal 3 6 6 2 3" xfId="17211"/>
    <cellStyle name="Normal 3 6 6 2 3 2" xfId="17212"/>
    <cellStyle name="Normal 3 6 6 2 3 2 2" xfId="17213"/>
    <cellStyle name="Normal 3 6 6 2 3 2 2 2" xfId="17214"/>
    <cellStyle name="Normal 3 6 6 2 3 2 2 2 2" xfId="17215"/>
    <cellStyle name="Normal 3 6 6 2 3 2 2 3" xfId="17216"/>
    <cellStyle name="Normal 3 6 6 2 3 2 2 3 2" xfId="17217"/>
    <cellStyle name="Normal 3 6 6 2 3 2 2 4" xfId="17218"/>
    <cellStyle name="Normal 3 6 6 2 3 2 2 4 2" xfId="17219"/>
    <cellStyle name="Normal 3 6 6 2 3 2 2 5" xfId="17220"/>
    <cellStyle name="Normal 3 6 6 2 3 2 3" xfId="17221"/>
    <cellStyle name="Normal 3 6 6 2 3 2 3 2" xfId="17222"/>
    <cellStyle name="Normal 3 6 6 2 3 2 3 2 2" xfId="17223"/>
    <cellStyle name="Normal 3 6 6 2 3 2 3 3" xfId="17224"/>
    <cellStyle name="Normal 3 6 6 2 3 2 3 3 2" xfId="17225"/>
    <cellStyle name="Normal 3 6 6 2 3 2 3 4" xfId="17226"/>
    <cellStyle name="Normal 3 6 6 2 3 2 3 4 2" xfId="17227"/>
    <cellStyle name="Normal 3 6 6 2 3 2 3 5" xfId="17228"/>
    <cellStyle name="Normal 3 6 6 2 3 2 4" xfId="17229"/>
    <cellStyle name="Normal 3 6 6 2 3 2 4 2" xfId="17230"/>
    <cellStyle name="Normal 3 6 6 2 3 2 5" xfId="17231"/>
    <cellStyle name="Normal 3 6 6 2 3 2 5 2" xfId="17232"/>
    <cellStyle name="Normal 3 6 6 2 3 2 6" xfId="17233"/>
    <cellStyle name="Normal 3 6 6 2 3 2 6 2" xfId="17234"/>
    <cellStyle name="Normal 3 6 6 2 3 2 7" xfId="17235"/>
    <cellStyle name="Normal 3 6 6 2 3 3" xfId="17236"/>
    <cellStyle name="Normal 3 6 6 2 3 3 2" xfId="17237"/>
    <cellStyle name="Normal 3 6 6 2 3 3 2 2" xfId="17238"/>
    <cellStyle name="Normal 3 6 6 2 3 3 3" xfId="17239"/>
    <cellStyle name="Normal 3 6 6 2 3 3 3 2" xfId="17240"/>
    <cellStyle name="Normal 3 6 6 2 3 3 4" xfId="17241"/>
    <cellStyle name="Normal 3 6 6 2 3 3 4 2" xfId="17242"/>
    <cellStyle name="Normal 3 6 6 2 3 3 5" xfId="17243"/>
    <cellStyle name="Normal 3 6 6 2 3 4" xfId="17244"/>
    <cellStyle name="Normal 3 6 6 2 3 4 2" xfId="17245"/>
    <cellStyle name="Normal 3 6 6 2 3 4 2 2" xfId="17246"/>
    <cellStyle name="Normal 3 6 6 2 3 4 3" xfId="17247"/>
    <cellStyle name="Normal 3 6 6 2 3 4 3 2" xfId="17248"/>
    <cellStyle name="Normal 3 6 6 2 3 4 4" xfId="17249"/>
    <cellStyle name="Normal 3 6 6 2 3 4 4 2" xfId="17250"/>
    <cellStyle name="Normal 3 6 6 2 3 4 5" xfId="17251"/>
    <cellStyle name="Normal 3 6 6 2 3 5" xfId="17252"/>
    <cellStyle name="Normal 3 6 6 2 3 5 2" xfId="17253"/>
    <cellStyle name="Normal 3 6 6 2 3 6" xfId="17254"/>
    <cellStyle name="Normal 3 6 6 2 3 6 2" xfId="17255"/>
    <cellStyle name="Normal 3 6 6 2 3 7" xfId="17256"/>
    <cellStyle name="Normal 3 6 6 2 3 7 2" xfId="17257"/>
    <cellStyle name="Normal 3 6 6 2 3 8" xfId="17258"/>
    <cellStyle name="Normal 3 6 6 2 4" xfId="17259"/>
    <cellStyle name="Normal 3 6 6 2 4 2" xfId="17260"/>
    <cellStyle name="Normal 3 6 6 2 4 2 2" xfId="17261"/>
    <cellStyle name="Normal 3 6 6 2 4 2 2 2" xfId="17262"/>
    <cellStyle name="Normal 3 6 6 2 4 2 2 2 2" xfId="17263"/>
    <cellStyle name="Normal 3 6 6 2 4 2 2 3" xfId="17264"/>
    <cellStyle name="Normal 3 6 6 2 4 2 2 3 2" xfId="17265"/>
    <cellStyle name="Normal 3 6 6 2 4 2 2 4" xfId="17266"/>
    <cellStyle name="Normal 3 6 6 2 4 2 2 4 2" xfId="17267"/>
    <cellStyle name="Normal 3 6 6 2 4 2 2 5" xfId="17268"/>
    <cellStyle name="Normal 3 6 6 2 4 2 3" xfId="17269"/>
    <cellStyle name="Normal 3 6 6 2 4 2 3 2" xfId="17270"/>
    <cellStyle name="Normal 3 6 6 2 4 2 3 2 2" xfId="17271"/>
    <cellStyle name="Normal 3 6 6 2 4 2 3 3" xfId="17272"/>
    <cellStyle name="Normal 3 6 6 2 4 2 3 3 2" xfId="17273"/>
    <cellStyle name="Normal 3 6 6 2 4 2 3 4" xfId="17274"/>
    <cellStyle name="Normal 3 6 6 2 4 2 3 4 2" xfId="17275"/>
    <cellStyle name="Normal 3 6 6 2 4 2 3 5" xfId="17276"/>
    <cellStyle name="Normal 3 6 6 2 4 2 4" xfId="17277"/>
    <cellStyle name="Normal 3 6 6 2 4 2 4 2" xfId="17278"/>
    <cellStyle name="Normal 3 6 6 2 4 2 5" xfId="17279"/>
    <cellStyle name="Normal 3 6 6 2 4 2 5 2" xfId="17280"/>
    <cellStyle name="Normal 3 6 6 2 4 2 6" xfId="17281"/>
    <cellStyle name="Normal 3 6 6 2 4 2 6 2" xfId="17282"/>
    <cellStyle name="Normal 3 6 6 2 4 2 7" xfId="17283"/>
    <cellStyle name="Normal 3 6 6 2 4 3" xfId="17284"/>
    <cellStyle name="Normal 3 6 6 2 4 3 2" xfId="17285"/>
    <cellStyle name="Normal 3 6 6 2 4 3 2 2" xfId="17286"/>
    <cellStyle name="Normal 3 6 6 2 4 3 3" xfId="17287"/>
    <cellStyle name="Normal 3 6 6 2 4 3 3 2" xfId="17288"/>
    <cellStyle name="Normal 3 6 6 2 4 3 4" xfId="17289"/>
    <cellStyle name="Normal 3 6 6 2 4 3 4 2" xfId="17290"/>
    <cellStyle name="Normal 3 6 6 2 4 3 5" xfId="17291"/>
    <cellStyle name="Normal 3 6 6 2 4 4" xfId="17292"/>
    <cellStyle name="Normal 3 6 6 2 4 4 2" xfId="17293"/>
    <cellStyle name="Normal 3 6 6 2 4 4 2 2" xfId="17294"/>
    <cellStyle name="Normal 3 6 6 2 4 4 3" xfId="17295"/>
    <cellStyle name="Normal 3 6 6 2 4 4 3 2" xfId="17296"/>
    <cellStyle name="Normal 3 6 6 2 4 4 4" xfId="17297"/>
    <cellStyle name="Normal 3 6 6 2 4 4 4 2" xfId="17298"/>
    <cellStyle name="Normal 3 6 6 2 4 4 5" xfId="17299"/>
    <cellStyle name="Normal 3 6 6 2 4 5" xfId="17300"/>
    <cellStyle name="Normal 3 6 6 2 4 5 2" xfId="17301"/>
    <cellStyle name="Normal 3 6 6 2 4 6" xfId="17302"/>
    <cellStyle name="Normal 3 6 6 2 4 6 2" xfId="17303"/>
    <cellStyle name="Normal 3 6 6 2 4 7" xfId="17304"/>
    <cellStyle name="Normal 3 6 6 2 4 7 2" xfId="17305"/>
    <cellStyle name="Normal 3 6 6 2 4 8" xfId="17306"/>
    <cellStyle name="Normal 3 6 6 2 5" xfId="17307"/>
    <cellStyle name="Normal 3 6 6 2 5 2" xfId="17308"/>
    <cellStyle name="Normal 3 6 6 2 5 2 2" xfId="17309"/>
    <cellStyle name="Normal 3 6 6 2 5 2 2 2" xfId="17310"/>
    <cellStyle name="Normal 3 6 6 2 5 2 2 2 2" xfId="17311"/>
    <cellStyle name="Normal 3 6 6 2 5 2 2 3" xfId="17312"/>
    <cellStyle name="Normal 3 6 6 2 5 2 2 3 2" xfId="17313"/>
    <cellStyle name="Normal 3 6 6 2 5 2 2 4" xfId="17314"/>
    <cellStyle name="Normal 3 6 6 2 5 2 2 4 2" xfId="17315"/>
    <cellStyle name="Normal 3 6 6 2 5 2 2 5" xfId="17316"/>
    <cellStyle name="Normal 3 6 6 2 5 2 3" xfId="17317"/>
    <cellStyle name="Normal 3 6 6 2 5 2 3 2" xfId="17318"/>
    <cellStyle name="Normal 3 6 6 2 5 2 3 2 2" xfId="17319"/>
    <cellStyle name="Normal 3 6 6 2 5 2 3 3" xfId="17320"/>
    <cellStyle name="Normal 3 6 6 2 5 2 3 3 2" xfId="17321"/>
    <cellStyle name="Normal 3 6 6 2 5 2 3 4" xfId="17322"/>
    <cellStyle name="Normal 3 6 6 2 5 2 3 4 2" xfId="17323"/>
    <cellStyle name="Normal 3 6 6 2 5 2 3 5" xfId="17324"/>
    <cellStyle name="Normal 3 6 6 2 5 2 4" xfId="17325"/>
    <cellStyle name="Normal 3 6 6 2 5 2 4 2" xfId="17326"/>
    <cellStyle name="Normal 3 6 6 2 5 2 5" xfId="17327"/>
    <cellStyle name="Normal 3 6 6 2 5 2 5 2" xfId="17328"/>
    <cellStyle name="Normal 3 6 6 2 5 2 6" xfId="17329"/>
    <cellStyle name="Normal 3 6 6 2 5 2 6 2" xfId="17330"/>
    <cellStyle name="Normal 3 6 6 2 5 2 7" xfId="17331"/>
    <cellStyle name="Normal 3 6 6 2 5 3" xfId="17332"/>
    <cellStyle name="Normal 3 6 6 2 5 3 2" xfId="17333"/>
    <cellStyle name="Normal 3 6 6 2 5 3 2 2" xfId="17334"/>
    <cellStyle name="Normal 3 6 6 2 5 3 3" xfId="17335"/>
    <cellStyle name="Normal 3 6 6 2 5 3 3 2" xfId="17336"/>
    <cellStyle name="Normal 3 6 6 2 5 3 4" xfId="17337"/>
    <cellStyle name="Normal 3 6 6 2 5 3 4 2" xfId="17338"/>
    <cellStyle name="Normal 3 6 6 2 5 3 5" xfId="17339"/>
    <cellStyle name="Normal 3 6 6 2 5 4" xfId="17340"/>
    <cellStyle name="Normal 3 6 6 2 5 4 2" xfId="17341"/>
    <cellStyle name="Normal 3 6 6 2 5 4 2 2" xfId="17342"/>
    <cellStyle name="Normal 3 6 6 2 5 4 3" xfId="17343"/>
    <cellStyle name="Normal 3 6 6 2 5 4 3 2" xfId="17344"/>
    <cellStyle name="Normal 3 6 6 2 5 4 4" xfId="17345"/>
    <cellStyle name="Normal 3 6 6 2 5 4 4 2" xfId="17346"/>
    <cellStyle name="Normal 3 6 6 2 5 4 5" xfId="17347"/>
    <cellStyle name="Normal 3 6 6 2 5 5" xfId="17348"/>
    <cellStyle name="Normal 3 6 6 2 5 5 2" xfId="17349"/>
    <cellStyle name="Normal 3 6 6 2 5 6" xfId="17350"/>
    <cellStyle name="Normal 3 6 6 2 5 6 2" xfId="17351"/>
    <cellStyle name="Normal 3 6 6 2 5 7" xfId="17352"/>
    <cellStyle name="Normal 3 6 6 2 5 7 2" xfId="17353"/>
    <cellStyle name="Normal 3 6 6 2 5 8" xfId="17354"/>
    <cellStyle name="Normal 3 6 6 2 6" xfId="17355"/>
    <cellStyle name="Normal 3 6 6 2 6 2" xfId="17356"/>
    <cellStyle name="Normal 3 6 6 2 6 2 2" xfId="17357"/>
    <cellStyle name="Normal 3 6 6 2 6 2 2 2" xfId="17358"/>
    <cellStyle name="Normal 3 6 6 2 6 2 2 2 2" xfId="17359"/>
    <cellStyle name="Normal 3 6 6 2 6 2 2 3" xfId="17360"/>
    <cellStyle name="Normal 3 6 6 2 6 2 2 3 2" xfId="17361"/>
    <cellStyle name="Normal 3 6 6 2 6 2 2 4" xfId="17362"/>
    <cellStyle name="Normal 3 6 6 2 6 2 2 4 2" xfId="17363"/>
    <cellStyle name="Normal 3 6 6 2 6 2 2 5" xfId="17364"/>
    <cellStyle name="Normal 3 6 6 2 6 2 3" xfId="17365"/>
    <cellStyle name="Normal 3 6 6 2 6 2 3 2" xfId="17366"/>
    <cellStyle name="Normal 3 6 6 2 6 2 3 2 2" xfId="17367"/>
    <cellStyle name="Normal 3 6 6 2 6 2 3 3" xfId="17368"/>
    <cellStyle name="Normal 3 6 6 2 6 2 3 3 2" xfId="17369"/>
    <cellStyle name="Normal 3 6 6 2 6 2 3 4" xfId="17370"/>
    <cellStyle name="Normal 3 6 6 2 6 2 3 4 2" xfId="17371"/>
    <cellStyle name="Normal 3 6 6 2 6 2 3 5" xfId="17372"/>
    <cellStyle name="Normal 3 6 6 2 6 2 4" xfId="17373"/>
    <cellStyle name="Normal 3 6 6 2 6 2 4 2" xfId="17374"/>
    <cellStyle name="Normal 3 6 6 2 6 2 5" xfId="17375"/>
    <cellStyle name="Normal 3 6 6 2 6 2 5 2" xfId="17376"/>
    <cellStyle name="Normal 3 6 6 2 6 2 6" xfId="17377"/>
    <cellStyle name="Normal 3 6 6 2 6 2 6 2" xfId="17378"/>
    <cellStyle name="Normal 3 6 6 2 6 2 7" xfId="17379"/>
    <cellStyle name="Normal 3 6 6 2 6 3" xfId="17380"/>
    <cellStyle name="Normal 3 6 6 2 6 3 2" xfId="17381"/>
    <cellStyle name="Normal 3 6 6 2 6 3 2 2" xfId="17382"/>
    <cellStyle name="Normal 3 6 6 2 6 3 3" xfId="17383"/>
    <cellStyle name="Normal 3 6 6 2 6 3 3 2" xfId="17384"/>
    <cellStyle name="Normal 3 6 6 2 6 3 4" xfId="17385"/>
    <cellStyle name="Normal 3 6 6 2 6 3 4 2" xfId="17386"/>
    <cellStyle name="Normal 3 6 6 2 6 3 5" xfId="17387"/>
    <cellStyle name="Normal 3 6 6 2 6 4" xfId="17388"/>
    <cellStyle name="Normal 3 6 6 2 6 4 2" xfId="17389"/>
    <cellStyle name="Normal 3 6 6 2 6 4 2 2" xfId="17390"/>
    <cellStyle name="Normal 3 6 6 2 6 4 3" xfId="17391"/>
    <cellStyle name="Normal 3 6 6 2 6 4 3 2" xfId="17392"/>
    <cellStyle name="Normal 3 6 6 2 6 4 4" xfId="17393"/>
    <cellStyle name="Normal 3 6 6 2 6 4 4 2" xfId="17394"/>
    <cellStyle name="Normal 3 6 6 2 6 4 5" xfId="17395"/>
    <cellStyle name="Normal 3 6 6 2 6 5" xfId="17396"/>
    <cellStyle name="Normal 3 6 6 2 6 5 2" xfId="17397"/>
    <cellStyle name="Normal 3 6 6 2 6 6" xfId="17398"/>
    <cellStyle name="Normal 3 6 6 2 6 6 2" xfId="17399"/>
    <cellStyle name="Normal 3 6 6 2 6 7" xfId="17400"/>
    <cellStyle name="Normal 3 6 6 2 6 7 2" xfId="17401"/>
    <cellStyle name="Normal 3 6 6 2 6 8" xfId="17402"/>
    <cellStyle name="Normal 3 6 6 2 7" xfId="17403"/>
    <cellStyle name="Normal 3 6 6 2 7 2" xfId="17404"/>
    <cellStyle name="Normal 3 6 6 2 7 2 2" xfId="17405"/>
    <cellStyle name="Normal 3 6 6 2 7 2 2 2" xfId="17406"/>
    <cellStyle name="Normal 3 6 6 2 7 2 3" xfId="17407"/>
    <cellStyle name="Normal 3 6 6 2 7 2 3 2" xfId="17408"/>
    <cellStyle name="Normal 3 6 6 2 7 2 4" xfId="17409"/>
    <cellStyle name="Normal 3 6 6 2 7 2 4 2" xfId="17410"/>
    <cellStyle name="Normal 3 6 6 2 7 2 5" xfId="17411"/>
    <cellStyle name="Normal 3 6 6 2 7 3" xfId="17412"/>
    <cellStyle name="Normal 3 6 6 2 7 3 2" xfId="17413"/>
    <cellStyle name="Normal 3 6 6 2 7 3 2 2" xfId="17414"/>
    <cellStyle name="Normal 3 6 6 2 7 3 3" xfId="17415"/>
    <cellStyle name="Normal 3 6 6 2 7 3 3 2" xfId="17416"/>
    <cellStyle name="Normal 3 6 6 2 7 3 4" xfId="17417"/>
    <cellStyle name="Normal 3 6 6 2 7 3 4 2" xfId="17418"/>
    <cellStyle name="Normal 3 6 6 2 7 3 5" xfId="17419"/>
    <cellStyle name="Normal 3 6 6 2 7 4" xfId="17420"/>
    <cellStyle name="Normal 3 6 6 2 7 4 2" xfId="17421"/>
    <cellStyle name="Normal 3 6 6 2 7 5" xfId="17422"/>
    <cellStyle name="Normal 3 6 6 2 7 5 2" xfId="17423"/>
    <cellStyle name="Normal 3 6 6 2 7 6" xfId="17424"/>
    <cellStyle name="Normal 3 6 6 2 7 6 2" xfId="17425"/>
    <cellStyle name="Normal 3 6 6 2 7 7" xfId="17426"/>
    <cellStyle name="Normal 3 6 6 2 8" xfId="17427"/>
    <cellStyle name="Normal 3 6 6 2 8 2" xfId="17428"/>
    <cellStyle name="Normal 3 6 6 2 8 2 2" xfId="17429"/>
    <cellStyle name="Normal 3 6 6 2 8 3" xfId="17430"/>
    <cellStyle name="Normal 3 6 6 2 8 3 2" xfId="17431"/>
    <cellStyle name="Normal 3 6 6 2 8 4" xfId="17432"/>
    <cellStyle name="Normal 3 6 6 2 8 4 2" xfId="17433"/>
    <cellStyle name="Normal 3 6 6 2 8 5" xfId="17434"/>
    <cellStyle name="Normal 3 6 6 2 9" xfId="17435"/>
    <cellStyle name="Normal 3 6 6 2 9 2" xfId="17436"/>
    <cellStyle name="Normal 3 6 6 2 9 2 2" xfId="17437"/>
    <cellStyle name="Normal 3 6 6 2 9 3" xfId="17438"/>
    <cellStyle name="Normal 3 6 6 2 9 3 2" xfId="17439"/>
    <cellStyle name="Normal 3 6 6 2 9 4" xfId="17440"/>
    <cellStyle name="Normal 3 6 6 2 9 4 2" xfId="17441"/>
    <cellStyle name="Normal 3 6 6 2 9 5" xfId="17442"/>
    <cellStyle name="Normal 3 6 6 3" xfId="17443"/>
    <cellStyle name="Normal 3 6 6 3 2" xfId="17444"/>
    <cellStyle name="Normal 3 6 6 3 2 2" xfId="17445"/>
    <cellStyle name="Normal 3 6 6 3 2 2 2" xfId="17446"/>
    <cellStyle name="Normal 3 6 6 3 2 2 2 2" xfId="17447"/>
    <cellStyle name="Normal 3 6 6 3 2 2 3" xfId="17448"/>
    <cellStyle name="Normal 3 6 6 3 2 2 3 2" xfId="17449"/>
    <cellStyle name="Normal 3 6 6 3 2 2 4" xfId="17450"/>
    <cellStyle name="Normal 3 6 6 3 2 2 4 2" xfId="17451"/>
    <cellStyle name="Normal 3 6 6 3 2 2 5" xfId="17452"/>
    <cellStyle name="Normal 3 6 6 3 2 3" xfId="17453"/>
    <cellStyle name="Normal 3 6 6 3 2 3 2" xfId="17454"/>
    <cellStyle name="Normal 3 6 6 3 2 3 2 2" xfId="17455"/>
    <cellStyle name="Normal 3 6 6 3 2 3 3" xfId="17456"/>
    <cellStyle name="Normal 3 6 6 3 2 3 3 2" xfId="17457"/>
    <cellStyle name="Normal 3 6 6 3 2 3 4" xfId="17458"/>
    <cellStyle name="Normal 3 6 6 3 2 3 4 2" xfId="17459"/>
    <cellStyle name="Normal 3 6 6 3 2 3 5" xfId="17460"/>
    <cellStyle name="Normal 3 6 6 3 2 4" xfId="17461"/>
    <cellStyle name="Normal 3 6 6 3 2 4 2" xfId="17462"/>
    <cellStyle name="Normal 3 6 6 3 2 5" xfId="17463"/>
    <cellStyle name="Normal 3 6 6 3 2 5 2" xfId="17464"/>
    <cellStyle name="Normal 3 6 6 3 2 6" xfId="17465"/>
    <cellStyle name="Normal 3 6 6 3 2 6 2" xfId="17466"/>
    <cellStyle name="Normal 3 6 6 3 2 7" xfId="17467"/>
    <cellStyle name="Normal 3 6 6 3 3" xfId="17468"/>
    <cellStyle name="Normal 3 6 6 3 3 2" xfId="17469"/>
    <cellStyle name="Normal 3 6 6 3 3 2 2" xfId="17470"/>
    <cellStyle name="Normal 3 6 6 3 3 3" xfId="17471"/>
    <cellStyle name="Normal 3 6 6 3 3 3 2" xfId="17472"/>
    <cellStyle name="Normal 3 6 6 3 3 4" xfId="17473"/>
    <cellStyle name="Normal 3 6 6 3 3 4 2" xfId="17474"/>
    <cellStyle name="Normal 3 6 6 3 3 5" xfId="17475"/>
    <cellStyle name="Normal 3 6 6 3 4" xfId="17476"/>
    <cellStyle name="Normal 3 6 6 3 4 2" xfId="17477"/>
    <cellStyle name="Normal 3 6 6 3 4 2 2" xfId="17478"/>
    <cellStyle name="Normal 3 6 6 3 4 3" xfId="17479"/>
    <cellStyle name="Normal 3 6 6 3 4 3 2" xfId="17480"/>
    <cellStyle name="Normal 3 6 6 3 4 4" xfId="17481"/>
    <cellStyle name="Normal 3 6 6 3 4 4 2" xfId="17482"/>
    <cellStyle name="Normal 3 6 6 3 4 5" xfId="17483"/>
    <cellStyle name="Normal 3 6 6 3 5" xfId="17484"/>
    <cellStyle name="Normal 3 6 6 3 5 2" xfId="17485"/>
    <cellStyle name="Normal 3 6 6 3 6" xfId="17486"/>
    <cellStyle name="Normal 3 6 6 3 6 2" xfId="17487"/>
    <cellStyle name="Normal 3 6 6 3 7" xfId="17488"/>
    <cellStyle name="Normal 3 6 6 3 7 2" xfId="17489"/>
    <cellStyle name="Normal 3 6 6 3 8" xfId="17490"/>
    <cellStyle name="Normal 3 6 6 4" xfId="17491"/>
    <cellStyle name="Normal 3 6 6 4 2" xfId="17492"/>
    <cellStyle name="Normal 3 6 6 4 2 2" xfId="17493"/>
    <cellStyle name="Normal 3 6 6 4 2 2 2" xfId="17494"/>
    <cellStyle name="Normal 3 6 6 4 2 2 2 2" xfId="17495"/>
    <cellStyle name="Normal 3 6 6 4 2 2 3" xfId="17496"/>
    <cellStyle name="Normal 3 6 6 4 2 2 3 2" xfId="17497"/>
    <cellStyle name="Normal 3 6 6 4 2 2 4" xfId="17498"/>
    <cellStyle name="Normal 3 6 6 4 2 2 4 2" xfId="17499"/>
    <cellStyle name="Normal 3 6 6 4 2 2 5" xfId="17500"/>
    <cellStyle name="Normal 3 6 6 4 2 3" xfId="17501"/>
    <cellStyle name="Normal 3 6 6 4 2 3 2" xfId="17502"/>
    <cellStyle name="Normal 3 6 6 4 2 3 2 2" xfId="17503"/>
    <cellStyle name="Normal 3 6 6 4 2 3 3" xfId="17504"/>
    <cellStyle name="Normal 3 6 6 4 2 3 3 2" xfId="17505"/>
    <cellStyle name="Normal 3 6 6 4 2 3 4" xfId="17506"/>
    <cellStyle name="Normal 3 6 6 4 2 3 4 2" xfId="17507"/>
    <cellStyle name="Normal 3 6 6 4 2 3 5" xfId="17508"/>
    <cellStyle name="Normal 3 6 6 4 2 4" xfId="17509"/>
    <cellStyle name="Normal 3 6 6 4 2 4 2" xfId="17510"/>
    <cellStyle name="Normal 3 6 6 4 2 5" xfId="17511"/>
    <cellStyle name="Normal 3 6 6 4 2 5 2" xfId="17512"/>
    <cellStyle name="Normal 3 6 6 4 2 6" xfId="17513"/>
    <cellStyle name="Normal 3 6 6 4 2 6 2" xfId="17514"/>
    <cellStyle name="Normal 3 6 6 4 2 7" xfId="17515"/>
    <cellStyle name="Normal 3 6 6 4 3" xfId="17516"/>
    <cellStyle name="Normal 3 6 6 4 3 2" xfId="17517"/>
    <cellStyle name="Normal 3 6 6 4 3 2 2" xfId="17518"/>
    <cellStyle name="Normal 3 6 6 4 3 3" xfId="17519"/>
    <cellStyle name="Normal 3 6 6 4 3 3 2" xfId="17520"/>
    <cellStyle name="Normal 3 6 6 4 3 4" xfId="17521"/>
    <cellStyle name="Normal 3 6 6 4 3 4 2" xfId="17522"/>
    <cellStyle name="Normal 3 6 6 4 3 5" xfId="17523"/>
    <cellStyle name="Normal 3 6 6 4 4" xfId="17524"/>
    <cellStyle name="Normal 3 6 6 4 4 2" xfId="17525"/>
    <cellStyle name="Normal 3 6 6 4 4 2 2" xfId="17526"/>
    <cellStyle name="Normal 3 6 6 4 4 3" xfId="17527"/>
    <cellStyle name="Normal 3 6 6 4 4 3 2" xfId="17528"/>
    <cellStyle name="Normal 3 6 6 4 4 4" xfId="17529"/>
    <cellStyle name="Normal 3 6 6 4 4 4 2" xfId="17530"/>
    <cellStyle name="Normal 3 6 6 4 4 5" xfId="17531"/>
    <cellStyle name="Normal 3 6 6 4 5" xfId="17532"/>
    <cellStyle name="Normal 3 6 6 4 5 2" xfId="17533"/>
    <cellStyle name="Normal 3 6 6 4 6" xfId="17534"/>
    <cellStyle name="Normal 3 6 6 4 6 2" xfId="17535"/>
    <cellStyle name="Normal 3 6 6 4 7" xfId="17536"/>
    <cellStyle name="Normal 3 6 6 4 7 2" xfId="17537"/>
    <cellStyle name="Normal 3 6 6 4 8" xfId="17538"/>
    <cellStyle name="Normal 3 6 6 5" xfId="17539"/>
    <cellStyle name="Normal 3 6 6 5 2" xfId="17540"/>
    <cellStyle name="Normal 3 6 6 5 2 2" xfId="17541"/>
    <cellStyle name="Normal 3 6 6 5 2 2 2" xfId="17542"/>
    <cellStyle name="Normal 3 6 6 5 2 2 2 2" xfId="17543"/>
    <cellStyle name="Normal 3 6 6 5 2 2 3" xfId="17544"/>
    <cellStyle name="Normal 3 6 6 5 2 2 3 2" xfId="17545"/>
    <cellStyle name="Normal 3 6 6 5 2 2 4" xfId="17546"/>
    <cellStyle name="Normal 3 6 6 5 2 2 4 2" xfId="17547"/>
    <cellStyle name="Normal 3 6 6 5 2 2 5" xfId="17548"/>
    <cellStyle name="Normal 3 6 6 5 2 3" xfId="17549"/>
    <cellStyle name="Normal 3 6 6 5 2 3 2" xfId="17550"/>
    <cellStyle name="Normal 3 6 6 5 2 3 2 2" xfId="17551"/>
    <cellStyle name="Normal 3 6 6 5 2 3 3" xfId="17552"/>
    <cellStyle name="Normal 3 6 6 5 2 3 3 2" xfId="17553"/>
    <cellStyle name="Normal 3 6 6 5 2 3 4" xfId="17554"/>
    <cellStyle name="Normal 3 6 6 5 2 3 4 2" xfId="17555"/>
    <cellStyle name="Normal 3 6 6 5 2 3 5" xfId="17556"/>
    <cellStyle name="Normal 3 6 6 5 2 4" xfId="17557"/>
    <cellStyle name="Normal 3 6 6 5 2 4 2" xfId="17558"/>
    <cellStyle name="Normal 3 6 6 5 2 5" xfId="17559"/>
    <cellStyle name="Normal 3 6 6 5 2 5 2" xfId="17560"/>
    <cellStyle name="Normal 3 6 6 5 2 6" xfId="17561"/>
    <cellStyle name="Normal 3 6 6 5 2 6 2" xfId="17562"/>
    <cellStyle name="Normal 3 6 6 5 2 7" xfId="17563"/>
    <cellStyle name="Normal 3 6 6 5 3" xfId="17564"/>
    <cellStyle name="Normal 3 6 6 5 3 2" xfId="17565"/>
    <cellStyle name="Normal 3 6 6 5 3 2 2" xfId="17566"/>
    <cellStyle name="Normal 3 6 6 5 3 3" xfId="17567"/>
    <cellStyle name="Normal 3 6 6 5 3 3 2" xfId="17568"/>
    <cellStyle name="Normal 3 6 6 5 3 4" xfId="17569"/>
    <cellStyle name="Normal 3 6 6 5 3 4 2" xfId="17570"/>
    <cellStyle name="Normal 3 6 6 5 3 5" xfId="17571"/>
    <cellStyle name="Normal 3 6 6 5 4" xfId="17572"/>
    <cellStyle name="Normal 3 6 6 5 4 2" xfId="17573"/>
    <cellStyle name="Normal 3 6 6 5 4 2 2" xfId="17574"/>
    <cellStyle name="Normal 3 6 6 5 4 3" xfId="17575"/>
    <cellStyle name="Normal 3 6 6 5 4 3 2" xfId="17576"/>
    <cellStyle name="Normal 3 6 6 5 4 4" xfId="17577"/>
    <cellStyle name="Normal 3 6 6 5 4 4 2" xfId="17578"/>
    <cellStyle name="Normal 3 6 6 5 4 5" xfId="17579"/>
    <cellStyle name="Normal 3 6 6 5 5" xfId="17580"/>
    <cellStyle name="Normal 3 6 6 5 5 2" xfId="17581"/>
    <cellStyle name="Normal 3 6 6 5 6" xfId="17582"/>
    <cellStyle name="Normal 3 6 6 5 6 2" xfId="17583"/>
    <cellStyle name="Normal 3 6 6 5 7" xfId="17584"/>
    <cellStyle name="Normal 3 6 6 5 7 2" xfId="17585"/>
    <cellStyle name="Normal 3 6 6 5 8" xfId="17586"/>
    <cellStyle name="Normal 3 6 6 6" xfId="17587"/>
    <cellStyle name="Normal 3 6 6 6 2" xfId="17588"/>
    <cellStyle name="Normal 3 6 6 6 2 2" xfId="17589"/>
    <cellStyle name="Normal 3 6 6 6 2 2 2" xfId="17590"/>
    <cellStyle name="Normal 3 6 6 6 2 2 2 2" xfId="17591"/>
    <cellStyle name="Normal 3 6 6 6 2 2 3" xfId="17592"/>
    <cellStyle name="Normal 3 6 6 6 2 2 3 2" xfId="17593"/>
    <cellStyle name="Normal 3 6 6 6 2 2 4" xfId="17594"/>
    <cellStyle name="Normal 3 6 6 6 2 2 4 2" xfId="17595"/>
    <cellStyle name="Normal 3 6 6 6 2 2 5" xfId="17596"/>
    <cellStyle name="Normal 3 6 6 6 2 3" xfId="17597"/>
    <cellStyle name="Normal 3 6 6 6 2 3 2" xfId="17598"/>
    <cellStyle name="Normal 3 6 6 6 2 3 2 2" xfId="17599"/>
    <cellStyle name="Normal 3 6 6 6 2 3 3" xfId="17600"/>
    <cellStyle name="Normal 3 6 6 6 2 3 3 2" xfId="17601"/>
    <cellStyle name="Normal 3 6 6 6 2 3 4" xfId="17602"/>
    <cellStyle name="Normal 3 6 6 6 2 3 4 2" xfId="17603"/>
    <cellStyle name="Normal 3 6 6 6 2 3 5" xfId="17604"/>
    <cellStyle name="Normal 3 6 6 6 2 4" xfId="17605"/>
    <cellStyle name="Normal 3 6 6 6 2 4 2" xfId="17606"/>
    <cellStyle name="Normal 3 6 6 6 2 5" xfId="17607"/>
    <cellStyle name="Normal 3 6 6 6 2 5 2" xfId="17608"/>
    <cellStyle name="Normal 3 6 6 6 2 6" xfId="17609"/>
    <cellStyle name="Normal 3 6 6 6 2 6 2" xfId="17610"/>
    <cellStyle name="Normal 3 6 6 6 2 7" xfId="17611"/>
    <cellStyle name="Normal 3 6 6 6 3" xfId="17612"/>
    <cellStyle name="Normal 3 6 6 6 3 2" xfId="17613"/>
    <cellStyle name="Normal 3 6 6 6 3 2 2" xfId="17614"/>
    <cellStyle name="Normal 3 6 6 6 3 3" xfId="17615"/>
    <cellStyle name="Normal 3 6 6 6 3 3 2" xfId="17616"/>
    <cellStyle name="Normal 3 6 6 6 3 4" xfId="17617"/>
    <cellStyle name="Normal 3 6 6 6 3 4 2" xfId="17618"/>
    <cellStyle name="Normal 3 6 6 6 3 5" xfId="17619"/>
    <cellStyle name="Normal 3 6 6 6 4" xfId="17620"/>
    <cellStyle name="Normal 3 6 6 6 4 2" xfId="17621"/>
    <cellStyle name="Normal 3 6 6 6 4 2 2" xfId="17622"/>
    <cellStyle name="Normal 3 6 6 6 4 3" xfId="17623"/>
    <cellStyle name="Normal 3 6 6 6 4 3 2" xfId="17624"/>
    <cellStyle name="Normal 3 6 6 6 4 4" xfId="17625"/>
    <cellStyle name="Normal 3 6 6 6 4 4 2" xfId="17626"/>
    <cellStyle name="Normal 3 6 6 6 4 5" xfId="17627"/>
    <cellStyle name="Normal 3 6 6 6 5" xfId="17628"/>
    <cellStyle name="Normal 3 6 6 6 5 2" xfId="17629"/>
    <cellStyle name="Normal 3 6 6 6 6" xfId="17630"/>
    <cellStyle name="Normal 3 6 6 6 6 2" xfId="17631"/>
    <cellStyle name="Normal 3 6 6 6 7" xfId="17632"/>
    <cellStyle name="Normal 3 6 6 6 7 2" xfId="17633"/>
    <cellStyle name="Normal 3 6 6 6 8" xfId="17634"/>
    <cellStyle name="Normal 3 6 6 7" xfId="17635"/>
    <cellStyle name="Normal 3 6 6 7 2" xfId="17636"/>
    <cellStyle name="Normal 3 6 6 7 2 2" xfId="17637"/>
    <cellStyle name="Normal 3 6 6 7 2 2 2" xfId="17638"/>
    <cellStyle name="Normal 3 6 6 7 2 2 2 2" xfId="17639"/>
    <cellStyle name="Normal 3 6 6 7 2 2 3" xfId="17640"/>
    <cellStyle name="Normal 3 6 6 7 2 2 3 2" xfId="17641"/>
    <cellStyle name="Normal 3 6 6 7 2 2 4" xfId="17642"/>
    <cellStyle name="Normal 3 6 6 7 2 2 4 2" xfId="17643"/>
    <cellStyle name="Normal 3 6 6 7 2 2 5" xfId="17644"/>
    <cellStyle name="Normal 3 6 6 7 2 3" xfId="17645"/>
    <cellStyle name="Normal 3 6 6 7 2 3 2" xfId="17646"/>
    <cellStyle name="Normal 3 6 6 7 2 3 2 2" xfId="17647"/>
    <cellStyle name="Normal 3 6 6 7 2 3 3" xfId="17648"/>
    <cellStyle name="Normal 3 6 6 7 2 3 3 2" xfId="17649"/>
    <cellStyle name="Normal 3 6 6 7 2 3 4" xfId="17650"/>
    <cellStyle name="Normal 3 6 6 7 2 3 4 2" xfId="17651"/>
    <cellStyle name="Normal 3 6 6 7 2 3 5" xfId="17652"/>
    <cellStyle name="Normal 3 6 6 7 2 4" xfId="17653"/>
    <cellStyle name="Normal 3 6 6 7 2 4 2" xfId="17654"/>
    <cellStyle name="Normal 3 6 6 7 2 5" xfId="17655"/>
    <cellStyle name="Normal 3 6 6 7 2 5 2" xfId="17656"/>
    <cellStyle name="Normal 3 6 6 7 2 6" xfId="17657"/>
    <cellStyle name="Normal 3 6 6 7 2 6 2" xfId="17658"/>
    <cellStyle name="Normal 3 6 6 7 2 7" xfId="17659"/>
    <cellStyle name="Normal 3 6 6 7 3" xfId="17660"/>
    <cellStyle name="Normal 3 6 6 7 3 2" xfId="17661"/>
    <cellStyle name="Normal 3 6 6 7 3 2 2" xfId="17662"/>
    <cellStyle name="Normal 3 6 6 7 3 3" xfId="17663"/>
    <cellStyle name="Normal 3 6 6 7 3 3 2" xfId="17664"/>
    <cellStyle name="Normal 3 6 6 7 3 4" xfId="17665"/>
    <cellStyle name="Normal 3 6 6 7 3 4 2" xfId="17666"/>
    <cellStyle name="Normal 3 6 6 7 3 5" xfId="17667"/>
    <cellStyle name="Normal 3 6 6 7 4" xfId="17668"/>
    <cellStyle name="Normal 3 6 6 7 4 2" xfId="17669"/>
    <cellStyle name="Normal 3 6 6 7 4 2 2" xfId="17670"/>
    <cellStyle name="Normal 3 6 6 7 4 3" xfId="17671"/>
    <cellStyle name="Normal 3 6 6 7 4 3 2" xfId="17672"/>
    <cellStyle name="Normal 3 6 6 7 4 4" xfId="17673"/>
    <cellStyle name="Normal 3 6 6 7 4 4 2" xfId="17674"/>
    <cellStyle name="Normal 3 6 6 7 4 5" xfId="17675"/>
    <cellStyle name="Normal 3 6 6 7 5" xfId="17676"/>
    <cellStyle name="Normal 3 6 6 7 5 2" xfId="17677"/>
    <cellStyle name="Normal 3 6 6 7 6" xfId="17678"/>
    <cellStyle name="Normal 3 6 6 7 6 2" xfId="17679"/>
    <cellStyle name="Normal 3 6 6 7 7" xfId="17680"/>
    <cellStyle name="Normal 3 6 6 7 7 2" xfId="17681"/>
    <cellStyle name="Normal 3 6 6 7 8" xfId="17682"/>
    <cellStyle name="Normal 3 6 6 8" xfId="17683"/>
    <cellStyle name="Normal 3 6 6 8 2" xfId="17684"/>
    <cellStyle name="Normal 3 6 6 8 2 2" xfId="17685"/>
    <cellStyle name="Normal 3 6 6 8 2 2 2" xfId="17686"/>
    <cellStyle name="Normal 3 6 6 8 2 3" xfId="17687"/>
    <cellStyle name="Normal 3 6 6 8 2 3 2" xfId="17688"/>
    <cellStyle name="Normal 3 6 6 8 2 4" xfId="17689"/>
    <cellStyle name="Normal 3 6 6 8 2 4 2" xfId="17690"/>
    <cellStyle name="Normal 3 6 6 8 2 5" xfId="17691"/>
    <cellStyle name="Normal 3 6 6 8 3" xfId="17692"/>
    <cellStyle name="Normal 3 6 6 8 3 2" xfId="17693"/>
    <cellStyle name="Normal 3 6 6 8 3 2 2" xfId="17694"/>
    <cellStyle name="Normal 3 6 6 8 3 3" xfId="17695"/>
    <cellStyle name="Normal 3 6 6 8 3 3 2" xfId="17696"/>
    <cellStyle name="Normal 3 6 6 8 3 4" xfId="17697"/>
    <cellStyle name="Normal 3 6 6 8 3 4 2" xfId="17698"/>
    <cellStyle name="Normal 3 6 6 8 3 5" xfId="17699"/>
    <cellStyle name="Normal 3 6 6 8 4" xfId="17700"/>
    <cellStyle name="Normal 3 6 6 8 4 2" xfId="17701"/>
    <cellStyle name="Normal 3 6 6 8 5" xfId="17702"/>
    <cellStyle name="Normal 3 6 6 8 5 2" xfId="17703"/>
    <cellStyle name="Normal 3 6 6 8 6" xfId="17704"/>
    <cellStyle name="Normal 3 6 6 8 6 2" xfId="17705"/>
    <cellStyle name="Normal 3 6 6 8 7" xfId="17706"/>
    <cellStyle name="Normal 3 6 6 9" xfId="17707"/>
    <cellStyle name="Normal 3 6 6 9 2" xfId="17708"/>
    <cellStyle name="Normal 3 6 6 9 2 2" xfId="17709"/>
    <cellStyle name="Normal 3 6 6 9 3" xfId="17710"/>
    <cellStyle name="Normal 3 6 6 9 3 2" xfId="17711"/>
    <cellStyle name="Normal 3 6 6 9 4" xfId="17712"/>
    <cellStyle name="Normal 3 6 6 9 4 2" xfId="17713"/>
    <cellStyle name="Normal 3 6 6 9 5" xfId="17714"/>
    <cellStyle name="Normal 3 6 7" xfId="17715"/>
    <cellStyle name="Normal 3 6 7 10" xfId="17716"/>
    <cellStyle name="Normal 3 6 7 10 2" xfId="17717"/>
    <cellStyle name="Normal 3 6 7 11" xfId="17718"/>
    <cellStyle name="Normal 3 6 7 11 2" xfId="17719"/>
    <cellStyle name="Normal 3 6 7 12" xfId="17720"/>
    <cellStyle name="Normal 3 6 7 12 2" xfId="17721"/>
    <cellStyle name="Normal 3 6 7 13" xfId="17722"/>
    <cellStyle name="Normal 3 6 7 2" xfId="17723"/>
    <cellStyle name="Normal 3 6 7 2 2" xfId="17724"/>
    <cellStyle name="Normal 3 6 7 2 2 2" xfId="17725"/>
    <cellStyle name="Normal 3 6 7 2 2 2 2" xfId="17726"/>
    <cellStyle name="Normal 3 6 7 2 2 2 2 2" xfId="17727"/>
    <cellStyle name="Normal 3 6 7 2 2 2 3" xfId="17728"/>
    <cellStyle name="Normal 3 6 7 2 2 2 3 2" xfId="17729"/>
    <cellStyle name="Normal 3 6 7 2 2 2 4" xfId="17730"/>
    <cellStyle name="Normal 3 6 7 2 2 2 4 2" xfId="17731"/>
    <cellStyle name="Normal 3 6 7 2 2 2 5" xfId="17732"/>
    <cellStyle name="Normal 3 6 7 2 2 3" xfId="17733"/>
    <cellStyle name="Normal 3 6 7 2 2 3 2" xfId="17734"/>
    <cellStyle name="Normal 3 6 7 2 2 3 2 2" xfId="17735"/>
    <cellStyle name="Normal 3 6 7 2 2 3 3" xfId="17736"/>
    <cellStyle name="Normal 3 6 7 2 2 3 3 2" xfId="17737"/>
    <cellStyle name="Normal 3 6 7 2 2 3 4" xfId="17738"/>
    <cellStyle name="Normal 3 6 7 2 2 3 4 2" xfId="17739"/>
    <cellStyle name="Normal 3 6 7 2 2 3 5" xfId="17740"/>
    <cellStyle name="Normal 3 6 7 2 2 4" xfId="17741"/>
    <cellStyle name="Normal 3 6 7 2 2 4 2" xfId="17742"/>
    <cellStyle name="Normal 3 6 7 2 2 5" xfId="17743"/>
    <cellStyle name="Normal 3 6 7 2 2 5 2" xfId="17744"/>
    <cellStyle name="Normal 3 6 7 2 2 6" xfId="17745"/>
    <cellStyle name="Normal 3 6 7 2 2 6 2" xfId="17746"/>
    <cellStyle name="Normal 3 6 7 2 2 7" xfId="17747"/>
    <cellStyle name="Normal 3 6 7 2 3" xfId="17748"/>
    <cellStyle name="Normal 3 6 7 2 3 2" xfId="17749"/>
    <cellStyle name="Normal 3 6 7 2 3 2 2" xfId="17750"/>
    <cellStyle name="Normal 3 6 7 2 3 3" xfId="17751"/>
    <cellStyle name="Normal 3 6 7 2 3 3 2" xfId="17752"/>
    <cellStyle name="Normal 3 6 7 2 3 4" xfId="17753"/>
    <cellStyle name="Normal 3 6 7 2 3 4 2" xfId="17754"/>
    <cellStyle name="Normal 3 6 7 2 3 5" xfId="17755"/>
    <cellStyle name="Normal 3 6 7 2 4" xfId="17756"/>
    <cellStyle name="Normal 3 6 7 2 4 2" xfId="17757"/>
    <cellStyle name="Normal 3 6 7 2 4 2 2" xfId="17758"/>
    <cellStyle name="Normal 3 6 7 2 4 3" xfId="17759"/>
    <cellStyle name="Normal 3 6 7 2 4 3 2" xfId="17760"/>
    <cellStyle name="Normal 3 6 7 2 4 4" xfId="17761"/>
    <cellStyle name="Normal 3 6 7 2 4 4 2" xfId="17762"/>
    <cellStyle name="Normal 3 6 7 2 4 5" xfId="17763"/>
    <cellStyle name="Normal 3 6 7 2 5" xfId="17764"/>
    <cellStyle name="Normal 3 6 7 2 5 2" xfId="17765"/>
    <cellStyle name="Normal 3 6 7 2 6" xfId="17766"/>
    <cellStyle name="Normal 3 6 7 2 6 2" xfId="17767"/>
    <cellStyle name="Normal 3 6 7 2 7" xfId="17768"/>
    <cellStyle name="Normal 3 6 7 2 7 2" xfId="17769"/>
    <cellStyle name="Normal 3 6 7 2 8" xfId="17770"/>
    <cellStyle name="Normal 3 6 7 3" xfId="17771"/>
    <cellStyle name="Normal 3 6 7 3 2" xfId="17772"/>
    <cellStyle name="Normal 3 6 7 3 2 2" xfId="17773"/>
    <cellStyle name="Normal 3 6 7 3 2 2 2" xfId="17774"/>
    <cellStyle name="Normal 3 6 7 3 2 2 2 2" xfId="17775"/>
    <cellStyle name="Normal 3 6 7 3 2 2 3" xfId="17776"/>
    <cellStyle name="Normal 3 6 7 3 2 2 3 2" xfId="17777"/>
    <cellStyle name="Normal 3 6 7 3 2 2 4" xfId="17778"/>
    <cellStyle name="Normal 3 6 7 3 2 2 4 2" xfId="17779"/>
    <cellStyle name="Normal 3 6 7 3 2 2 5" xfId="17780"/>
    <cellStyle name="Normal 3 6 7 3 2 3" xfId="17781"/>
    <cellStyle name="Normal 3 6 7 3 2 3 2" xfId="17782"/>
    <cellStyle name="Normal 3 6 7 3 2 3 2 2" xfId="17783"/>
    <cellStyle name="Normal 3 6 7 3 2 3 3" xfId="17784"/>
    <cellStyle name="Normal 3 6 7 3 2 3 3 2" xfId="17785"/>
    <cellStyle name="Normal 3 6 7 3 2 3 4" xfId="17786"/>
    <cellStyle name="Normal 3 6 7 3 2 3 4 2" xfId="17787"/>
    <cellStyle name="Normal 3 6 7 3 2 3 5" xfId="17788"/>
    <cellStyle name="Normal 3 6 7 3 2 4" xfId="17789"/>
    <cellStyle name="Normal 3 6 7 3 2 4 2" xfId="17790"/>
    <cellStyle name="Normal 3 6 7 3 2 5" xfId="17791"/>
    <cellStyle name="Normal 3 6 7 3 2 5 2" xfId="17792"/>
    <cellStyle name="Normal 3 6 7 3 2 6" xfId="17793"/>
    <cellStyle name="Normal 3 6 7 3 2 6 2" xfId="17794"/>
    <cellStyle name="Normal 3 6 7 3 2 7" xfId="17795"/>
    <cellStyle name="Normal 3 6 7 3 3" xfId="17796"/>
    <cellStyle name="Normal 3 6 7 3 3 2" xfId="17797"/>
    <cellStyle name="Normal 3 6 7 3 3 2 2" xfId="17798"/>
    <cellStyle name="Normal 3 6 7 3 3 3" xfId="17799"/>
    <cellStyle name="Normal 3 6 7 3 3 3 2" xfId="17800"/>
    <cellStyle name="Normal 3 6 7 3 3 4" xfId="17801"/>
    <cellStyle name="Normal 3 6 7 3 3 4 2" xfId="17802"/>
    <cellStyle name="Normal 3 6 7 3 3 5" xfId="17803"/>
    <cellStyle name="Normal 3 6 7 3 4" xfId="17804"/>
    <cellStyle name="Normal 3 6 7 3 4 2" xfId="17805"/>
    <cellStyle name="Normal 3 6 7 3 4 2 2" xfId="17806"/>
    <cellStyle name="Normal 3 6 7 3 4 3" xfId="17807"/>
    <cellStyle name="Normal 3 6 7 3 4 3 2" xfId="17808"/>
    <cellStyle name="Normal 3 6 7 3 4 4" xfId="17809"/>
    <cellStyle name="Normal 3 6 7 3 4 4 2" xfId="17810"/>
    <cellStyle name="Normal 3 6 7 3 4 5" xfId="17811"/>
    <cellStyle name="Normal 3 6 7 3 5" xfId="17812"/>
    <cellStyle name="Normal 3 6 7 3 5 2" xfId="17813"/>
    <cellStyle name="Normal 3 6 7 3 6" xfId="17814"/>
    <cellStyle name="Normal 3 6 7 3 6 2" xfId="17815"/>
    <cellStyle name="Normal 3 6 7 3 7" xfId="17816"/>
    <cellStyle name="Normal 3 6 7 3 7 2" xfId="17817"/>
    <cellStyle name="Normal 3 6 7 3 8" xfId="17818"/>
    <cellStyle name="Normal 3 6 7 4" xfId="17819"/>
    <cellStyle name="Normal 3 6 7 4 2" xfId="17820"/>
    <cellStyle name="Normal 3 6 7 4 2 2" xfId="17821"/>
    <cellStyle name="Normal 3 6 7 4 2 2 2" xfId="17822"/>
    <cellStyle name="Normal 3 6 7 4 2 2 2 2" xfId="17823"/>
    <cellStyle name="Normal 3 6 7 4 2 2 3" xfId="17824"/>
    <cellStyle name="Normal 3 6 7 4 2 2 3 2" xfId="17825"/>
    <cellStyle name="Normal 3 6 7 4 2 2 4" xfId="17826"/>
    <cellStyle name="Normal 3 6 7 4 2 2 4 2" xfId="17827"/>
    <cellStyle name="Normal 3 6 7 4 2 2 5" xfId="17828"/>
    <cellStyle name="Normal 3 6 7 4 2 3" xfId="17829"/>
    <cellStyle name="Normal 3 6 7 4 2 3 2" xfId="17830"/>
    <cellStyle name="Normal 3 6 7 4 2 3 2 2" xfId="17831"/>
    <cellStyle name="Normal 3 6 7 4 2 3 3" xfId="17832"/>
    <cellStyle name="Normal 3 6 7 4 2 3 3 2" xfId="17833"/>
    <cellStyle name="Normal 3 6 7 4 2 3 4" xfId="17834"/>
    <cellStyle name="Normal 3 6 7 4 2 3 4 2" xfId="17835"/>
    <cellStyle name="Normal 3 6 7 4 2 3 5" xfId="17836"/>
    <cellStyle name="Normal 3 6 7 4 2 4" xfId="17837"/>
    <cellStyle name="Normal 3 6 7 4 2 4 2" xfId="17838"/>
    <cellStyle name="Normal 3 6 7 4 2 5" xfId="17839"/>
    <cellStyle name="Normal 3 6 7 4 2 5 2" xfId="17840"/>
    <cellStyle name="Normal 3 6 7 4 2 6" xfId="17841"/>
    <cellStyle name="Normal 3 6 7 4 2 6 2" xfId="17842"/>
    <cellStyle name="Normal 3 6 7 4 2 7" xfId="17843"/>
    <cellStyle name="Normal 3 6 7 4 3" xfId="17844"/>
    <cellStyle name="Normal 3 6 7 4 3 2" xfId="17845"/>
    <cellStyle name="Normal 3 6 7 4 3 2 2" xfId="17846"/>
    <cellStyle name="Normal 3 6 7 4 3 3" xfId="17847"/>
    <cellStyle name="Normal 3 6 7 4 3 3 2" xfId="17848"/>
    <cellStyle name="Normal 3 6 7 4 3 4" xfId="17849"/>
    <cellStyle name="Normal 3 6 7 4 3 4 2" xfId="17850"/>
    <cellStyle name="Normal 3 6 7 4 3 5" xfId="17851"/>
    <cellStyle name="Normal 3 6 7 4 4" xfId="17852"/>
    <cellStyle name="Normal 3 6 7 4 4 2" xfId="17853"/>
    <cellStyle name="Normal 3 6 7 4 4 2 2" xfId="17854"/>
    <cellStyle name="Normal 3 6 7 4 4 3" xfId="17855"/>
    <cellStyle name="Normal 3 6 7 4 4 3 2" xfId="17856"/>
    <cellStyle name="Normal 3 6 7 4 4 4" xfId="17857"/>
    <cellStyle name="Normal 3 6 7 4 4 4 2" xfId="17858"/>
    <cellStyle name="Normal 3 6 7 4 4 5" xfId="17859"/>
    <cellStyle name="Normal 3 6 7 4 5" xfId="17860"/>
    <cellStyle name="Normal 3 6 7 4 5 2" xfId="17861"/>
    <cellStyle name="Normal 3 6 7 4 6" xfId="17862"/>
    <cellStyle name="Normal 3 6 7 4 6 2" xfId="17863"/>
    <cellStyle name="Normal 3 6 7 4 7" xfId="17864"/>
    <cellStyle name="Normal 3 6 7 4 7 2" xfId="17865"/>
    <cellStyle name="Normal 3 6 7 4 8" xfId="17866"/>
    <cellStyle name="Normal 3 6 7 5" xfId="17867"/>
    <cellStyle name="Normal 3 6 7 5 2" xfId="17868"/>
    <cellStyle name="Normal 3 6 7 5 2 2" xfId="17869"/>
    <cellStyle name="Normal 3 6 7 5 2 2 2" xfId="17870"/>
    <cellStyle name="Normal 3 6 7 5 2 2 2 2" xfId="17871"/>
    <cellStyle name="Normal 3 6 7 5 2 2 3" xfId="17872"/>
    <cellStyle name="Normal 3 6 7 5 2 2 3 2" xfId="17873"/>
    <cellStyle name="Normal 3 6 7 5 2 2 4" xfId="17874"/>
    <cellStyle name="Normal 3 6 7 5 2 2 4 2" xfId="17875"/>
    <cellStyle name="Normal 3 6 7 5 2 2 5" xfId="17876"/>
    <cellStyle name="Normal 3 6 7 5 2 3" xfId="17877"/>
    <cellStyle name="Normal 3 6 7 5 2 3 2" xfId="17878"/>
    <cellStyle name="Normal 3 6 7 5 2 3 2 2" xfId="17879"/>
    <cellStyle name="Normal 3 6 7 5 2 3 3" xfId="17880"/>
    <cellStyle name="Normal 3 6 7 5 2 3 3 2" xfId="17881"/>
    <cellStyle name="Normal 3 6 7 5 2 3 4" xfId="17882"/>
    <cellStyle name="Normal 3 6 7 5 2 3 4 2" xfId="17883"/>
    <cellStyle name="Normal 3 6 7 5 2 3 5" xfId="17884"/>
    <cellStyle name="Normal 3 6 7 5 2 4" xfId="17885"/>
    <cellStyle name="Normal 3 6 7 5 2 4 2" xfId="17886"/>
    <cellStyle name="Normal 3 6 7 5 2 5" xfId="17887"/>
    <cellStyle name="Normal 3 6 7 5 2 5 2" xfId="17888"/>
    <cellStyle name="Normal 3 6 7 5 2 6" xfId="17889"/>
    <cellStyle name="Normal 3 6 7 5 2 6 2" xfId="17890"/>
    <cellStyle name="Normal 3 6 7 5 2 7" xfId="17891"/>
    <cellStyle name="Normal 3 6 7 5 3" xfId="17892"/>
    <cellStyle name="Normal 3 6 7 5 3 2" xfId="17893"/>
    <cellStyle name="Normal 3 6 7 5 3 2 2" xfId="17894"/>
    <cellStyle name="Normal 3 6 7 5 3 3" xfId="17895"/>
    <cellStyle name="Normal 3 6 7 5 3 3 2" xfId="17896"/>
    <cellStyle name="Normal 3 6 7 5 3 4" xfId="17897"/>
    <cellStyle name="Normal 3 6 7 5 3 4 2" xfId="17898"/>
    <cellStyle name="Normal 3 6 7 5 3 5" xfId="17899"/>
    <cellStyle name="Normal 3 6 7 5 4" xfId="17900"/>
    <cellStyle name="Normal 3 6 7 5 4 2" xfId="17901"/>
    <cellStyle name="Normal 3 6 7 5 4 2 2" xfId="17902"/>
    <cellStyle name="Normal 3 6 7 5 4 3" xfId="17903"/>
    <cellStyle name="Normal 3 6 7 5 4 3 2" xfId="17904"/>
    <cellStyle name="Normal 3 6 7 5 4 4" xfId="17905"/>
    <cellStyle name="Normal 3 6 7 5 4 4 2" xfId="17906"/>
    <cellStyle name="Normal 3 6 7 5 4 5" xfId="17907"/>
    <cellStyle name="Normal 3 6 7 5 5" xfId="17908"/>
    <cellStyle name="Normal 3 6 7 5 5 2" xfId="17909"/>
    <cellStyle name="Normal 3 6 7 5 6" xfId="17910"/>
    <cellStyle name="Normal 3 6 7 5 6 2" xfId="17911"/>
    <cellStyle name="Normal 3 6 7 5 7" xfId="17912"/>
    <cellStyle name="Normal 3 6 7 5 7 2" xfId="17913"/>
    <cellStyle name="Normal 3 6 7 5 8" xfId="17914"/>
    <cellStyle name="Normal 3 6 7 6" xfId="17915"/>
    <cellStyle name="Normal 3 6 7 6 2" xfId="17916"/>
    <cellStyle name="Normal 3 6 7 6 2 2" xfId="17917"/>
    <cellStyle name="Normal 3 6 7 6 2 2 2" xfId="17918"/>
    <cellStyle name="Normal 3 6 7 6 2 2 2 2" xfId="17919"/>
    <cellStyle name="Normal 3 6 7 6 2 2 3" xfId="17920"/>
    <cellStyle name="Normal 3 6 7 6 2 2 3 2" xfId="17921"/>
    <cellStyle name="Normal 3 6 7 6 2 2 4" xfId="17922"/>
    <cellStyle name="Normal 3 6 7 6 2 2 4 2" xfId="17923"/>
    <cellStyle name="Normal 3 6 7 6 2 2 5" xfId="17924"/>
    <cellStyle name="Normal 3 6 7 6 2 3" xfId="17925"/>
    <cellStyle name="Normal 3 6 7 6 2 3 2" xfId="17926"/>
    <cellStyle name="Normal 3 6 7 6 2 3 2 2" xfId="17927"/>
    <cellStyle name="Normal 3 6 7 6 2 3 3" xfId="17928"/>
    <cellStyle name="Normal 3 6 7 6 2 3 3 2" xfId="17929"/>
    <cellStyle name="Normal 3 6 7 6 2 3 4" xfId="17930"/>
    <cellStyle name="Normal 3 6 7 6 2 3 4 2" xfId="17931"/>
    <cellStyle name="Normal 3 6 7 6 2 3 5" xfId="17932"/>
    <cellStyle name="Normal 3 6 7 6 2 4" xfId="17933"/>
    <cellStyle name="Normal 3 6 7 6 2 4 2" xfId="17934"/>
    <cellStyle name="Normal 3 6 7 6 2 5" xfId="17935"/>
    <cellStyle name="Normal 3 6 7 6 2 5 2" xfId="17936"/>
    <cellStyle name="Normal 3 6 7 6 2 6" xfId="17937"/>
    <cellStyle name="Normal 3 6 7 6 2 6 2" xfId="17938"/>
    <cellStyle name="Normal 3 6 7 6 2 7" xfId="17939"/>
    <cellStyle name="Normal 3 6 7 6 3" xfId="17940"/>
    <cellStyle name="Normal 3 6 7 6 3 2" xfId="17941"/>
    <cellStyle name="Normal 3 6 7 6 3 2 2" xfId="17942"/>
    <cellStyle name="Normal 3 6 7 6 3 3" xfId="17943"/>
    <cellStyle name="Normal 3 6 7 6 3 3 2" xfId="17944"/>
    <cellStyle name="Normal 3 6 7 6 3 4" xfId="17945"/>
    <cellStyle name="Normal 3 6 7 6 3 4 2" xfId="17946"/>
    <cellStyle name="Normal 3 6 7 6 3 5" xfId="17947"/>
    <cellStyle name="Normal 3 6 7 6 4" xfId="17948"/>
    <cellStyle name="Normal 3 6 7 6 4 2" xfId="17949"/>
    <cellStyle name="Normal 3 6 7 6 4 2 2" xfId="17950"/>
    <cellStyle name="Normal 3 6 7 6 4 3" xfId="17951"/>
    <cellStyle name="Normal 3 6 7 6 4 3 2" xfId="17952"/>
    <cellStyle name="Normal 3 6 7 6 4 4" xfId="17953"/>
    <cellStyle name="Normal 3 6 7 6 4 4 2" xfId="17954"/>
    <cellStyle name="Normal 3 6 7 6 4 5" xfId="17955"/>
    <cellStyle name="Normal 3 6 7 6 5" xfId="17956"/>
    <cellStyle name="Normal 3 6 7 6 5 2" xfId="17957"/>
    <cellStyle name="Normal 3 6 7 6 6" xfId="17958"/>
    <cellStyle name="Normal 3 6 7 6 6 2" xfId="17959"/>
    <cellStyle name="Normal 3 6 7 6 7" xfId="17960"/>
    <cellStyle name="Normal 3 6 7 6 7 2" xfId="17961"/>
    <cellStyle name="Normal 3 6 7 6 8" xfId="17962"/>
    <cellStyle name="Normal 3 6 7 7" xfId="17963"/>
    <cellStyle name="Normal 3 6 7 7 2" xfId="17964"/>
    <cellStyle name="Normal 3 6 7 7 2 2" xfId="17965"/>
    <cellStyle name="Normal 3 6 7 7 2 2 2" xfId="17966"/>
    <cellStyle name="Normal 3 6 7 7 2 3" xfId="17967"/>
    <cellStyle name="Normal 3 6 7 7 2 3 2" xfId="17968"/>
    <cellStyle name="Normal 3 6 7 7 2 4" xfId="17969"/>
    <cellStyle name="Normal 3 6 7 7 2 4 2" xfId="17970"/>
    <cellStyle name="Normal 3 6 7 7 2 5" xfId="17971"/>
    <cellStyle name="Normal 3 6 7 7 3" xfId="17972"/>
    <cellStyle name="Normal 3 6 7 7 3 2" xfId="17973"/>
    <cellStyle name="Normal 3 6 7 7 3 2 2" xfId="17974"/>
    <cellStyle name="Normal 3 6 7 7 3 3" xfId="17975"/>
    <cellStyle name="Normal 3 6 7 7 3 3 2" xfId="17976"/>
    <cellStyle name="Normal 3 6 7 7 3 4" xfId="17977"/>
    <cellStyle name="Normal 3 6 7 7 3 4 2" xfId="17978"/>
    <cellStyle name="Normal 3 6 7 7 3 5" xfId="17979"/>
    <cellStyle name="Normal 3 6 7 7 4" xfId="17980"/>
    <cellStyle name="Normal 3 6 7 7 4 2" xfId="17981"/>
    <cellStyle name="Normal 3 6 7 7 5" xfId="17982"/>
    <cellStyle name="Normal 3 6 7 7 5 2" xfId="17983"/>
    <cellStyle name="Normal 3 6 7 7 6" xfId="17984"/>
    <cellStyle name="Normal 3 6 7 7 6 2" xfId="17985"/>
    <cellStyle name="Normal 3 6 7 7 7" xfId="17986"/>
    <cellStyle name="Normal 3 6 7 8" xfId="17987"/>
    <cellStyle name="Normal 3 6 7 8 2" xfId="17988"/>
    <cellStyle name="Normal 3 6 7 8 2 2" xfId="17989"/>
    <cellStyle name="Normal 3 6 7 8 3" xfId="17990"/>
    <cellStyle name="Normal 3 6 7 8 3 2" xfId="17991"/>
    <cellStyle name="Normal 3 6 7 8 4" xfId="17992"/>
    <cellStyle name="Normal 3 6 7 8 4 2" xfId="17993"/>
    <cellStyle name="Normal 3 6 7 8 5" xfId="17994"/>
    <cellStyle name="Normal 3 6 7 9" xfId="17995"/>
    <cellStyle name="Normal 3 6 7 9 2" xfId="17996"/>
    <cellStyle name="Normal 3 6 7 9 2 2" xfId="17997"/>
    <cellStyle name="Normal 3 6 7 9 3" xfId="17998"/>
    <cellStyle name="Normal 3 6 7 9 3 2" xfId="17999"/>
    <cellStyle name="Normal 3 6 7 9 4" xfId="18000"/>
    <cellStyle name="Normal 3 6 7 9 4 2" xfId="18001"/>
    <cellStyle name="Normal 3 6 7 9 5" xfId="18002"/>
    <cellStyle name="Normal 3 6 8" xfId="18003"/>
    <cellStyle name="Normal 3 6 8 2" xfId="18004"/>
    <cellStyle name="Normal 3 6 8 2 2" xfId="18005"/>
    <cellStyle name="Normal 3 6 8 2 2 2" xfId="18006"/>
    <cellStyle name="Normal 3 6 8 2 2 2 2" xfId="18007"/>
    <cellStyle name="Normal 3 6 8 2 2 3" xfId="18008"/>
    <cellStyle name="Normal 3 6 8 2 2 3 2" xfId="18009"/>
    <cellStyle name="Normal 3 6 8 2 2 4" xfId="18010"/>
    <cellStyle name="Normal 3 6 8 2 2 4 2" xfId="18011"/>
    <cellStyle name="Normal 3 6 8 2 2 5" xfId="18012"/>
    <cellStyle name="Normal 3 6 8 2 3" xfId="18013"/>
    <cellStyle name="Normal 3 6 8 2 3 2" xfId="18014"/>
    <cellStyle name="Normal 3 6 8 2 3 2 2" xfId="18015"/>
    <cellStyle name="Normal 3 6 8 2 3 3" xfId="18016"/>
    <cellStyle name="Normal 3 6 8 2 3 3 2" xfId="18017"/>
    <cellStyle name="Normal 3 6 8 2 3 4" xfId="18018"/>
    <cellStyle name="Normal 3 6 8 2 3 4 2" xfId="18019"/>
    <cellStyle name="Normal 3 6 8 2 3 5" xfId="18020"/>
    <cellStyle name="Normal 3 6 8 2 4" xfId="18021"/>
    <cellStyle name="Normal 3 6 8 2 4 2" xfId="18022"/>
    <cellStyle name="Normal 3 6 8 2 5" xfId="18023"/>
    <cellStyle name="Normal 3 6 8 2 5 2" xfId="18024"/>
    <cellStyle name="Normal 3 6 8 2 6" xfId="18025"/>
    <cellStyle name="Normal 3 6 8 2 6 2" xfId="18026"/>
    <cellStyle name="Normal 3 6 8 2 7" xfId="18027"/>
    <cellStyle name="Normal 3 6 8 3" xfId="18028"/>
    <cellStyle name="Normal 3 6 8 3 2" xfId="18029"/>
    <cellStyle name="Normal 3 6 8 3 2 2" xfId="18030"/>
    <cellStyle name="Normal 3 6 8 3 3" xfId="18031"/>
    <cellStyle name="Normal 3 6 8 3 3 2" xfId="18032"/>
    <cellStyle name="Normal 3 6 8 3 4" xfId="18033"/>
    <cellStyle name="Normal 3 6 8 3 4 2" xfId="18034"/>
    <cellStyle name="Normal 3 6 8 3 5" xfId="18035"/>
    <cellStyle name="Normal 3 6 8 4" xfId="18036"/>
    <cellStyle name="Normal 3 6 8 4 2" xfId="18037"/>
    <cellStyle name="Normal 3 6 8 4 2 2" xfId="18038"/>
    <cellStyle name="Normal 3 6 8 4 3" xfId="18039"/>
    <cellStyle name="Normal 3 6 8 4 3 2" xfId="18040"/>
    <cellStyle name="Normal 3 6 8 4 4" xfId="18041"/>
    <cellStyle name="Normal 3 6 8 4 4 2" xfId="18042"/>
    <cellStyle name="Normal 3 6 8 4 5" xfId="18043"/>
    <cellStyle name="Normal 3 6 8 5" xfId="18044"/>
    <cellStyle name="Normal 3 6 8 5 2" xfId="18045"/>
    <cellStyle name="Normal 3 6 8 6" xfId="18046"/>
    <cellStyle name="Normal 3 6 8 6 2" xfId="18047"/>
    <cellStyle name="Normal 3 6 8 7" xfId="18048"/>
    <cellStyle name="Normal 3 6 8 7 2" xfId="18049"/>
    <cellStyle name="Normal 3 6 8 8" xfId="18050"/>
    <cellStyle name="Normal 3 6 9" xfId="18051"/>
    <cellStyle name="Normal 3 6 9 2" xfId="18052"/>
    <cellStyle name="Normal 3 6 9 2 2" xfId="18053"/>
    <cellStyle name="Normal 3 6 9 2 2 2" xfId="18054"/>
    <cellStyle name="Normal 3 6 9 2 2 2 2" xfId="18055"/>
    <cellStyle name="Normal 3 6 9 2 2 3" xfId="18056"/>
    <cellStyle name="Normal 3 6 9 2 2 3 2" xfId="18057"/>
    <cellStyle name="Normal 3 6 9 2 2 4" xfId="18058"/>
    <cellStyle name="Normal 3 6 9 2 2 4 2" xfId="18059"/>
    <cellStyle name="Normal 3 6 9 2 2 5" xfId="18060"/>
    <cellStyle name="Normal 3 6 9 2 3" xfId="18061"/>
    <cellStyle name="Normal 3 6 9 2 3 2" xfId="18062"/>
    <cellStyle name="Normal 3 6 9 2 3 2 2" xfId="18063"/>
    <cellStyle name="Normal 3 6 9 2 3 3" xfId="18064"/>
    <cellStyle name="Normal 3 6 9 2 3 3 2" xfId="18065"/>
    <cellStyle name="Normal 3 6 9 2 3 4" xfId="18066"/>
    <cellStyle name="Normal 3 6 9 2 3 4 2" xfId="18067"/>
    <cellStyle name="Normal 3 6 9 2 3 5" xfId="18068"/>
    <cellStyle name="Normal 3 6 9 2 4" xfId="18069"/>
    <cellStyle name="Normal 3 6 9 2 4 2" xfId="18070"/>
    <cellStyle name="Normal 3 6 9 2 5" xfId="18071"/>
    <cellStyle name="Normal 3 6 9 2 5 2" xfId="18072"/>
    <cellStyle name="Normal 3 6 9 2 6" xfId="18073"/>
    <cellStyle name="Normal 3 6 9 2 6 2" xfId="18074"/>
    <cellStyle name="Normal 3 6 9 2 7" xfId="18075"/>
    <cellStyle name="Normal 3 6 9 3" xfId="18076"/>
    <cellStyle name="Normal 3 6 9 3 2" xfId="18077"/>
    <cellStyle name="Normal 3 6 9 3 2 2" xfId="18078"/>
    <cellStyle name="Normal 3 6 9 3 3" xfId="18079"/>
    <cellStyle name="Normal 3 6 9 3 3 2" xfId="18080"/>
    <cellStyle name="Normal 3 6 9 3 4" xfId="18081"/>
    <cellStyle name="Normal 3 6 9 3 4 2" xfId="18082"/>
    <cellStyle name="Normal 3 6 9 3 5" xfId="18083"/>
    <cellStyle name="Normal 3 6 9 4" xfId="18084"/>
    <cellStyle name="Normal 3 6 9 4 2" xfId="18085"/>
    <cellStyle name="Normal 3 6 9 4 2 2" xfId="18086"/>
    <cellStyle name="Normal 3 6 9 4 3" xfId="18087"/>
    <cellStyle name="Normal 3 6 9 4 3 2" xfId="18088"/>
    <cellStyle name="Normal 3 6 9 4 4" xfId="18089"/>
    <cellStyle name="Normal 3 6 9 4 4 2" xfId="18090"/>
    <cellStyle name="Normal 3 6 9 4 5" xfId="18091"/>
    <cellStyle name="Normal 3 6 9 5" xfId="18092"/>
    <cellStyle name="Normal 3 6 9 5 2" xfId="18093"/>
    <cellStyle name="Normal 3 6 9 6" xfId="18094"/>
    <cellStyle name="Normal 3 6 9 6 2" xfId="18095"/>
    <cellStyle name="Normal 3 6 9 7" xfId="18096"/>
    <cellStyle name="Normal 3 6 9 7 2" xfId="18097"/>
    <cellStyle name="Normal 3 6 9 8" xfId="18098"/>
    <cellStyle name="Normal 3 6_Input" xfId="1487"/>
    <cellStyle name="Normal 3 7" xfId="836"/>
    <cellStyle name="Normal 3 7 2" xfId="1400"/>
    <cellStyle name="Normal 3 7 2 2" xfId="2006"/>
    <cellStyle name="Normal 3 7 2 3" xfId="39496"/>
    <cellStyle name="Normal 3 7 2_Input" xfId="2034"/>
    <cellStyle name="Normal 3 7 3" xfId="1990"/>
    <cellStyle name="Normal 3 7 4" xfId="3572"/>
    <cellStyle name="Normal 3 7 5" xfId="3695"/>
    <cellStyle name="Normal 3 7 6" xfId="18099"/>
    <cellStyle name="Normal 3 7_Input" xfId="1488"/>
    <cellStyle name="Normal 3 8" xfId="841"/>
    <cellStyle name="Normal 3 8 10" xfId="18100"/>
    <cellStyle name="Normal 3 8 10 2" xfId="18101"/>
    <cellStyle name="Normal 3 8 10 2 2" xfId="18102"/>
    <cellStyle name="Normal 3 8 10 2 2 2" xfId="18103"/>
    <cellStyle name="Normal 3 8 10 2 2 2 2" xfId="18104"/>
    <cellStyle name="Normal 3 8 10 2 2 3" xfId="18105"/>
    <cellStyle name="Normal 3 8 10 2 2 3 2" xfId="18106"/>
    <cellStyle name="Normal 3 8 10 2 2 4" xfId="18107"/>
    <cellStyle name="Normal 3 8 10 2 2 4 2" xfId="18108"/>
    <cellStyle name="Normal 3 8 10 2 2 5" xfId="18109"/>
    <cellStyle name="Normal 3 8 10 2 3" xfId="18110"/>
    <cellStyle name="Normal 3 8 10 2 3 2" xfId="18111"/>
    <cellStyle name="Normal 3 8 10 2 3 2 2" xfId="18112"/>
    <cellStyle name="Normal 3 8 10 2 3 3" xfId="18113"/>
    <cellStyle name="Normal 3 8 10 2 3 3 2" xfId="18114"/>
    <cellStyle name="Normal 3 8 10 2 3 4" xfId="18115"/>
    <cellStyle name="Normal 3 8 10 2 3 4 2" xfId="18116"/>
    <cellStyle name="Normal 3 8 10 2 3 5" xfId="18117"/>
    <cellStyle name="Normal 3 8 10 2 4" xfId="18118"/>
    <cellStyle name="Normal 3 8 10 2 4 2" xfId="18119"/>
    <cellStyle name="Normal 3 8 10 2 5" xfId="18120"/>
    <cellStyle name="Normal 3 8 10 2 5 2" xfId="18121"/>
    <cellStyle name="Normal 3 8 10 2 6" xfId="18122"/>
    <cellStyle name="Normal 3 8 10 2 6 2" xfId="18123"/>
    <cellStyle name="Normal 3 8 10 2 7" xfId="18124"/>
    <cellStyle name="Normal 3 8 10 3" xfId="18125"/>
    <cellStyle name="Normal 3 8 10 3 2" xfId="18126"/>
    <cellStyle name="Normal 3 8 10 3 2 2" xfId="18127"/>
    <cellStyle name="Normal 3 8 10 3 3" xfId="18128"/>
    <cellStyle name="Normal 3 8 10 3 3 2" xfId="18129"/>
    <cellStyle name="Normal 3 8 10 3 4" xfId="18130"/>
    <cellStyle name="Normal 3 8 10 3 4 2" xfId="18131"/>
    <cellStyle name="Normal 3 8 10 3 5" xfId="18132"/>
    <cellStyle name="Normal 3 8 10 4" xfId="18133"/>
    <cellStyle name="Normal 3 8 10 4 2" xfId="18134"/>
    <cellStyle name="Normal 3 8 10 4 2 2" xfId="18135"/>
    <cellStyle name="Normal 3 8 10 4 3" xfId="18136"/>
    <cellStyle name="Normal 3 8 10 4 3 2" xfId="18137"/>
    <cellStyle name="Normal 3 8 10 4 4" xfId="18138"/>
    <cellStyle name="Normal 3 8 10 4 4 2" xfId="18139"/>
    <cellStyle name="Normal 3 8 10 4 5" xfId="18140"/>
    <cellStyle name="Normal 3 8 10 5" xfId="18141"/>
    <cellStyle name="Normal 3 8 10 5 2" xfId="18142"/>
    <cellStyle name="Normal 3 8 10 6" xfId="18143"/>
    <cellStyle name="Normal 3 8 10 6 2" xfId="18144"/>
    <cellStyle name="Normal 3 8 10 7" xfId="18145"/>
    <cellStyle name="Normal 3 8 10 7 2" xfId="18146"/>
    <cellStyle name="Normal 3 8 10 8" xfId="18147"/>
    <cellStyle name="Normal 3 8 11" xfId="18148"/>
    <cellStyle name="Normal 3 8 11 2" xfId="18149"/>
    <cellStyle name="Normal 3 8 11 2 2" xfId="18150"/>
    <cellStyle name="Normal 3 8 11 2 2 2" xfId="18151"/>
    <cellStyle name="Normal 3 8 11 2 2 2 2" xfId="18152"/>
    <cellStyle name="Normal 3 8 11 2 2 3" xfId="18153"/>
    <cellStyle name="Normal 3 8 11 2 2 3 2" xfId="18154"/>
    <cellStyle name="Normal 3 8 11 2 2 4" xfId="18155"/>
    <cellStyle name="Normal 3 8 11 2 2 4 2" xfId="18156"/>
    <cellStyle name="Normal 3 8 11 2 2 5" xfId="18157"/>
    <cellStyle name="Normal 3 8 11 2 3" xfId="18158"/>
    <cellStyle name="Normal 3 8 11 2 3 2" xfId="18159"/>
    <cellStyle name="Normal 3 8 11 2 3 2 2" xfId="18160"/>
    <cellStyle name="Normal 3 8 11 2 3 3" xfId="18161"/>
    <cellStyle name="Normal 3 8 11 2 3 3 2" xfId="18162"/>
    <cellStyle name="Normal 3 8 11 2 3 4" xfId="18163"/>
    <cellStyle name="Normal 3 8 11 2 3 4 2" xfId="18164"/>
    <cellStyle name="Normal 3 8 11 2 3 5" xfId="18165"/>
    <cellStyle name="Normal 3 8 11 2 4" xfId="18166"/>
    <cellStyle name="Normal 3 8 11 2 4 2" xfId="18167"/>
    <cellStyle name="Normal 3 8 11 2 5" xfId="18168"/>
    <cellStyle name="Normal 3 8 11 2 5 2" xfId="18169"/>
    <cellStyle name="Normal 3 8 11 2 6" xfId="18170"/>
    <cellStyle name="Normal 3 8 11 2 6 2" xfId="18171"/>
    <cellStyle name="Normal 3 8 11 2 7" xfId="18172"/>
    <cellStyle name="Normal 3 8 11 3" xfId="18173"/>
    <cellStyle name="Normal 3 8 11 3 2" xfId="18174"/>
    <cellStyle name="Normal 3 8 11 3 2 2" xfId="18175"/>
    <cellStyle name="Normal 3 8 11 3 3" xfId="18176"/>
    <cellStyle name="Normal 3 8 11 3 3 2" xfId="18177"/>
    <cellStyle name="Normal 3 8 11 3 4" xfId="18178"/>
    <cellStyle name="Normal 3 8 11 3 4 2" xfId="18179"/>
    <cellStyle name="Normal 3 8 11 3 5" xfId="18180"/>
    <cellStyle name="Normal 3 8 11 4" xfId="18181"/>
    <cellStyle name="Normal 3 8 11 4 2" xfId="18182"/>
    <cellStyle name="Normal 3 8 11 4 2 2" xfId="18183"/>
    <cellStyle name="Normal 3 8 11 4 3" xfId="18184"/>
    <cellStyle name="Normal 3 8 11 4 3 2" xfId="18185"/>
    <cellStyle name="Normal 3 8 11 4 4" xfId="18186"/>
    <cellStyle name="Normal 3 8 11 4 4 2" xfId="18187"/>
    <cellStyle name="Normal 3 8 11 4 5" xfId="18188"/>
    <cellStyle name="Normal 3 8 11 5" xfId="18189"/>
    <cellStyle name="Normal 3 8 11 5 2" xfId="18190"/>
    <cellStyle name="Normal 3 8 11 6" xfId="18191"/>
    <cellStyle name="Normal 3 8 11 6 2" xfId="18192"/>
    <cellStyle name="Normal 3 8 11 7" xfId="18193"/>
    <cellStyle name="Normal 3 8 11 7 2" xfId="18194"/>
    <cellStyle name="Normal 3 8 11 8" xfId="18195"/>
    <cellStyle name="Normal 3 8 12" xfId="18196"/>
    <cellStyle name="Normal 3 8 12 2" xfId="18197"/>
    <cellStyle name="Normal 3 8 12 2 2" xfId="18198"/>
    <cellStyle name="Normal 3 8 12 2 2 2" xfId="18199"/>
    <cellStyle name="Normal 3 8 12 2 3" xfId="18200"/>
    <cellStyle name="Normal 3 8 12 2 3 2" xfId="18201"/>
    <cellStyle name="Normal 3 8 12 2 4" xfId="18202"/>
    <cellStyle name="Normal 3 8 12 2 4 2" xfId="18203"/>
    <cellStyle name="Normal 3 8 12 2 5" xfId="18204"/>
    <cellStyle name="Normal 3 8 12 3" xfId="18205"/>
    <cellStyle name="Normal 3 8 12 3 2" xfId="18206"/>
    <cellStyle name="Normal 3 8 12 3 2 2" xfId="18207"/>
    <cellStyle name="Normal 3 8 12 3 3" xfId="18208"/>
    <cellStyle name="Normal 3 8 12 3 3 2" xfId="18209"/>
    <cellStyle name="Normal 3 8 12 3 4" xfId="18210"/>
    <cellStyle name="Normal 3 8 12 3 4 2" xfId="18211"/>
    <cellStyle name="Normal 3 8 12 3 5" xfId="18212"/>
    <cellStyle name="Normal 3 8 12 4" xfId="18213"/>
    <cellStyle name="Normal 3 8 12 4 2" xfId="18214"/>
    <cellStyle name="Normal 3 8 12 5" xfId="18215"/>
    <cellStyle name="Normal 3 8 12 5 2" xfId="18216"/>
    <cellStyle name="Normal 3 8 12 6" xfId="18217"/>
    <cellStyle name="Normal 3 8 12 6 2" xfId="18218"/>
    <cellStyle name="Normal 3 8 12 7" xfId="18219"/>
    <cellStyle name="Normal 3 8 13" xfId="18220"/>
    <cellStyle name="Normal 3 8 13 2" xfId="18221"/>
    <cellStyle name="Normal 3 8 13 2 2" xfId="18222"/>
    <cellStyle name="Normal 3 8 13 3" xfId="18223"/>
    <cellStyle name="Normal 3 8 13 3 2" xfId="18224"/>
    <cellStyle name="Normal 3 8 13 4" xfId="18225"/>
    <cellStyle name="Normal 3 8 13 4 2" xfId="18226"/>
    <cellStyle name="Normal 3 8 13 5" xfId="18227"/>
    <cellStyle name="Normal 3 8 14" xfId="18228"/>
    <cellStyle name="Normal 3 8 14 2" xfId="18229"/>
    <cellStyle name="Normal 3 8 14 2 2" xfId="18230"/>
    <cellStyle name="Normal 3 8 14 3" xfId="18231"/>
    <cellStyle name="Normal 3 8 14 3 2" xfId="18232"/>
    <cellStyle name="Normal 3 8 14 4" xfId="18233"/>
    <cellStyle name="Normal 3 8 14 4 2" xfId="18234"/>
    <cellStyle name="Normal 3 8 14 5" xfId="18235"/>
    <cellStyle name="Normal 3 8 15" xfId="18236"/>
    <cellStyle name="Normal 3 8 15 2" xfId="18237"/>
    <cellStyle name="Normal 3 8 16" xfId="18238"/>
    <cellStyle name="Normal 3 8 16 2" xfId="18239"/>
    <cellStyle name="Normal 3 8 17" xfId="18240"/>
    <cellStyle name="Normal 3 8 17 2" xfId="18241"/>
    <cellStyle name="Normal 3 8 18" xfId="18242"/>
    <cellStyle name="Normal 3 8 2" xfId="1401"/>
    <cellStyle name="Normal 3 8 2 10" xfId="18243"/>
    <cellStyle name="Normal 3 8 2 10 2" xfId="18244"/>
    <cellStyle name="Normal 3 8 2 10 2 2" xfId="18245"/>
    <cellStyle name="Normal 3 8 2 10 3" xfId="18246"/>
    <cellStyle name="Normal 3 8 2 10 3 2" xfId="18247"/>
    <cellStyle name="Normal 3 8 2 10 4" xfId="18248"/>
    <cellStyle name="Normal 3 8 2 10 4 2" xfId="18249"/>
    <cellStyle name="Normal 3 8 2 10 5" xfId="18250"/>
    <cellStyle name="Normal 3 8 2 11" xfId="18251"/>
    <cellStyle name="Normal 3 8 2 11 2" xfId="18252"/>
    <cellStyle name="Normal 3 8 2 12" xfId="18253"/>
    <cellStyle name="Normal 3 8 2 12 2" xfId="18254"/>
    <cellStyle name="Normal 3 8 2 13" xfId="18255"/>
    <cellStyle name="Normal 3 8 2 13 2" xfId="18256"/>
    <cellStyle name="Normal 3 8 2 14" xfId="18257"/>
    <cellStyle name="Normal 3 8 2 2" xfId="2007"/>
    <cellStyle name="Normal 3 8 2 2 10" xfId="18258"/>
    <cellStyle name="Normal 3 8 2 2 10 2" xfId="18259"/>
    <cellStyle name="Normal 3 8 2 2 11" xfId="18260"/>
    <cellStyle name="Normal 3 8 2 2 11 2" xfId="18261"/>
    <cellStyle name="Normal 3 8 2 2 12" xfId="18262"/>
    <cellStyle name="Normal 3 8 2 2 12 2" xfId="18263"/>
    <cellStyle name="Normal 3 8 2 2 13" xfId="18264"/>
    <cellStyle name="Normal 3 8 2 2 2" xfId="18265"/>
    <cellStyle name="Normal 3 8 2 2 2 2" xfId="18266"/>
    <cellStyle name="Normal 3 8 2 2 2 2 2" xfId="18267"/>
    <cellStyle name="Normal 3 8 2 2 2 2 2 2" xfId="18268"/>
    <cellStyle name="Normal 3 8 2 2 2 2 2 2 2" xfId="18269"/>
    <cellStyle name="Normal 3 8 2 2 2 2 2 3" xfId="18270"/>
    <cellStyle name="Normal 3 8 2 2 2 2 2 3 2" xfId="18271"/>
    <cellStyle name="Normal 3 8 2 2 2 2 2 4" xfId="18272"/>
    <cellStyle name="Normal 3 8 2 2 2 2 2 4 2" xfId="18273"/>
    <cellStyle name="Normal 3 8 2 2 2 2 2 5" xfId="18274"/>
    <cellStyle name="Normal 3 8 2 2 2 2 3" xfId="18275"/>
    <cellStyle name="Normal 3 8 2 2 2 2 3 2" xfId="18276"/>
    <cellStyle name="Normal 3 8 2 2 2 2 3 2 2" xfId="18277"/>
    <cellStyle name="Normal 3 8 2 2 2 2 3 3" xfId="18278"/>
    <cellStyle name="Normal 3 8 2 2 2 2 3 3 2" xfId="18279"/>
    <cellStyle name="Normal 3 8 2 2 2 2 3 4" xfId="18280"/>
    <cellStyle name="Normal 3 8 2 2 2 2 3 4 2" xfId="18281"/>
    <cellStyle name="Normal 3 8 2 2 2 2 3 5" xfId="18282"/>
    <cellStyle name="Normal 3 8 2 2 2 2 4" xfId="18283"/>
    <cellStyle name="Normal 3 8 2 2 2 2 4 2" xfId="18284"/>
    <cellStyle name="Normal 3 8 2 2 2 2 5" xfId="18285"/>
    <cellStyle name="Normal 3 8 2 2 2 2 5 2" xfId="18286"/>
    <cellStyle name="Normal 3 8 2 2 2 2 6" xfId="18287"/>
    <cellStyle name="Normal 3 8 2 2 2 2 6 2" xfId="18288"/>
    <cellStyle name="Normal 3 8 2 2 2 2 7" xfId="18289"/>
    <cellStyle name="Normal 3 8 2 2 2 3" xfId="18290"/>
    <cellStyle name="Normal 3 8 2 2 2 3 2" xfId="18291"/>
    <cellStyle name="Normal 3 8 2 2 2 3 2 2" xfId="18292"/>
    <cellStyle name="Normal 3 8 2 2 2 3 3" xfId="18293"/>
    <cellStyle name="Normal 3 8 2 2 2 3 3 2" xfId="18294"/>
    <cellStyle name="Normal 3 8 2 2 2 3 4" xfId="18295"/>
    <cellStyle name="Normal 3 8 2 2 2 3 4 2" xfId="18296"/>
    <cellStyle name="Normal 3 8 2 2 2 3 5" xfId="18297"/>
    <cellStyle name="Normal 3 8 2 2 2 4" xfId="18298"/>
    <cellStyle name="Normal 3 8 2 2 2 4 2" xfId="18299"/>
    <cellStyle name="Normal 3 8 2 2 2 4 2 2" xfId="18300"/>
    <cellStyle name="Normal 3 8 2 2 2 4 3" xfId="18301"/>
    <cellStyle name="Normal 3 8 2 2 2 4 3 2" xfId="18302"/>
    <cellStyle name="Normal 3 8 2 2 2 4 4" xfId="18303"/>
    <cellStyle name="Normal 3 8 2 2 2 4 4 2" xfId="18304"/>
    <cellStyle name="Normal 3 8 2 2 2 4 5" xfId="18305"/>
    <cellStyle name="Normal 3 8 2 2 2 5" xfId="18306"/>
    <cellStyle name="Normal 3 8 2 2 2 5 2" xfId="18307"/>
    <cellStyle name="Normal 3 8 2 2 2 6" xfId="18308"/>
    <cellStyle name="Normal 3 8 2 2 2 6 2" xfId="18309"/>
    <cellStyle name="Normal 3 8 2 2 2 7" xfId="18310"/>
    <cellStyle name="Normal 3 8 2 2 2 7 2" xfId="18311"/>
    <cellStyle name="Normal 3 8 2 2 2 8" xfId="18312"/>
    <cellStyle name="Normal 3 8 2 2 3" xfId="18313"/>
    <cellStyle name="Normal 3 8 2 2 3 2" xfId="18314"/>
    <cellStyle name="Normal 3 8 2 2 3 2 2" xfId="18315"/>
    <cellStyle name="Normal 3 8 2 2 3 2 2 2" xfId="18316"/>
    <cellStyle name="Normal 3 8 2 2 3 2 2 2 2" xfId="18317"/>
    <cellStyle name="Normal 3 8 2 2 3 2 2 3" xfId="18318"/>
    <cellStyle name="Normal 3 8 2 2 3 2 2 3 2" xfId="18319"/>
    <cellStyle name="Normal 3 8 2 2 3 2 2 4" xfId="18320"/>
    <cellStyle name="Normal 3 8 2 2 3 2 2 4 2" xfId="18321"/>
    <cellStyle name="Normal 3 8 2 2 3 2 2 5" xfId="18322"/>
    <cellStyle name="Normal 3 8 2 2 3 2 3" xfId="18323"/>
    <cellStyle name="Normal 3 8 2 2 3 2 3 2" xfId="18324"/>
    <cellStyle name="Normal 3 8 2 2 3 2 3 2 2" xfId="18325"/>
    <cellStyle name="Normal 3 8 2 2 3 2 3 3" xfId="18326"/>
    <cellStyle name="Normal 3 8 2 2 3 2 3 3 2" xfId="18327"/>
    <cellStyle name="Normal 3 8 2 2 3 2 3 4" xfId="18328"/>
    <cellStyle name="Normal 3 8 2 2 3 2 3 4 2" xfId="18329"/>
    <cellStyle name="Normal 3 8 2 2 3 2 3 5" xfId="18330"/>
    <cellStyle name="Normal 3 8 2 2 3 2 4" xfId="18331"/>
    <cellStyle name="Normal 3 8 2 2 3 2 4 2" xfId="18332"/>
    <cellStyle name="Normal 3 8 2 2 3 2 5" xfId="18333"/>
    <cellStyle name="Normal 3 8 2 2 3 2 5 2" xfId="18334"/>
    <cellStyle name="Normal 3 8 2 2 3 2 6" xfId="18335"/>
    <cellStyle name="Normal 3 8 2 2 3 2 6 2" xfId="18336"/>
    <cellStyle name="Normal 3 8 2 2 3 2 7" xfId="18337"/>
    <cellStyle name="Normal 3 8 2 2 3 3" xfId="18338"/>
    <cellStyle name="Normal 3 8 2 2 3 3 2" xfId="18339"/>
    <cellStyle name="Normal 3 8 2 2 3 3 2 2" xfId="18340"/>
    <cellStyle name="Normal 3 8 2 2 3 3 3" xfId="18341"/>
    <cellStyle name="Normal 3 8 2 2 3 3 3 2" xfId="18342"/>
    <cellStyle name="Normal 3 8 2 2 3 3 4" xfId="18343"/>
    <cellStyle name="Normal 3 8 2 2 3 3 4 2" xfId="18344"/>
    <cellStyle name="Normal 3 8 2 2 3 3 5" xfId="18345"/>
    <cellStyle name="Normal 3 8 2 2 3 4" xfId="18346"/>
    <cellStyle name="Normal 3 8 2 2 3 4 2" xfId="18347"/>
    <cellStyle name="Normal 3 8 2 2 3 4 2 2" xfId="18348"/>
    <cellStyle name="Normal 3 8 2 2 3 4 3" xfId="18349"/>
    <cellStyle name="Normal 3 8 2 2 3 4 3 2" xfId="18350"/>
    <cellStyle name="Normal 3 8 2 2 3 4 4" xfId="18351"/>
    <cellStyle name="Normal 3 8 2 2 3 4 4 2" xfId="18352"/>
    <cellStyle name="Normal 3 8 2 2 3 4 5" xfId="18353"/>
    <cellStyle name="Normal 3 8 2 2 3 5" xfId="18354"/>
    <cellStyle name="Normal 3 8 2 2 3 5 2" xfId="18355"/>
    <cellStyle name="Normal 3 8 2 2 3 6" xfId="18356"/>
    <cellStyle name="Normal 3 8 2 2 3 6 2" xfId="18357"/>
    <cellStyle name="Normal 3 8 2 2 3 7" xfId="18358"/>
    <cellStyle name="Normal 3 8 2 2 3 7 2" xfId="18359"/>
    <cellStyle name="Normal 3 8 2 2 3 8" xfId="18360"/>
    <cellStyle name="Normal 3 8 2 2 4" xfId="18361"/>
    <cellStyle name="Normal 3 8 2 2 4 2" xfId="18362"/>
    <cellStyle name="Normal 3 8 2 2 4 2 2" xfId="18363"/>
    <cellStyle name="Normal 3 8 2 2 4 2 2 2" xfId="18364"/>
    <cellStyle name="Normal 3 8 2 2 4 2 2 2 2" xfId="18365"/>
    <cellStyle name="Normal 3 8 2 2 4 2 2 3" xfId="18366"/>
    <cellStyle name="Normal 3 8 2 2 4 2 2 3 2" xfId="18367"/>
    <cellStyle name="Normal 3 8 2 2 4 2 2 4" xfId="18368"/>
    <cellStyle name="Normal 3 8 2 2 4 2 2 4 2" xfId="18369"/>
    <cellStyle name="Normal 3 8 2 2 4 2 2 5" xfId="18370"/>
    <cellStyle name="Normal 3 8 2 2 4 2 3" xfId="18371"/>
    <cellStyle name="Normal 3 8 2 2 4 2 3 2" xfId="18372"/>
    <cellStyle name="Normal 3 8 2 2 4 2 3 2 2" xfId="18373"/>
    <cellStyle name="Normal 3 8 2 2 4 2 3 3" xfId="18374"/>
    <cellStyle name="Normal 3 8 2 2 4 2 3 3 2" xfId="18375"/>
    <cellStyle name="Normal 3 8 2 2 4 2 3 4" xfId="18376"/>
    <cellStyle name="Normal 3 8 2 2 4 2 3 4 2" xfId="18377"/>
    <cellStyle name="Normal 3 8 2 2 4 2 3 5" xfId="18378"/>
    <cellStyle name="Normal 3 8 2 2 4 2 4" xfId="18379"/>
    <cellStyle name="Normal 3 8 2 2 4 2 4 2" xfId="18380"/>
    <cellStyle name="Normal 3 8 2 2 4 2 5" xfId="18381"/>
    <cellStyle name="Normal 3 8 2 2 4 2 5 2" xfId="18382"/>
    <cellStyle name="Normal 3 8 2 2 4 2 6" xfId="18383"/>
    <cellStyle name="Normal 3 8 2 2 4 2 6 2" xfId="18384"/>
    <cellStyle name="Normal 3 8 2 2 4 2 7" xfId="18385"/>
    <cellStyle name="Normal 3 8 2 2 4 3" xfId="18386"/>
    <cellStyle name="Normal 3 8 2 2 4 3 2" xfId="18387"/>
    <cellStyle name="Normal 3 8 2 2 4 3 2 2" xfId="18388"/>
    <cellStyle name="Normal 3 8 2 2 4 3 3" xfId="18389"/>
    <cellStyle name="Normal 3 8 2 2 4 3 3 2" xfId="18390"/>
    <cellStyle name="Normal 3 8 2 2 4 3 4" xfId="18391"/>
    <cellStyle name="Normal 3 8 2 2 4 3 4 2" xfId="18392"/>
    <cellStyle name="Normal 3 8 2 2 4 3 5" xfId="18393"/>
    <cellStyle name="Normal 3 8 2 2 4 4" xfId="18394"/>
    <cellStyle name="Normal 3 8 2 2 4 4 2" xfId="18395"/>
    <cellStyle name="Normal 3 8 2 2 4 4 2 2" xfId="18396"/>
    <cellStyle name="Normal 3 8 2 2 4 4 3" xfId="18397"/>
    <cellStyle name="Normal 3 8 2 2 4 4 3 2" xfId="18398"/>
    <cellStyle name="Normal 3 8 2 2 4 4 4" xfId="18399"/>
    <cellStyle name="Normal 3 8 2 2 4 4 4 2" xfId="18400"/>
    <cellStyle name="Normal 3 8 2 2 4 4 5" xfId="18401"/>
    <cellStyle name="Normal 3 8 2 2 4 5" xfId="18402"/>
    <cellStyle name="Normal 3 8 2 2 4 5 2" xfId="18403"/>
    <cellStyle name="Normal 3 8 2 2 4 6" xfId="18404"/>
    <cellStyle name="Normal 3 8 2 2 4 6 2" xfId="18405"/>
    <cellStyle name="Normal 3 8 2 2 4 7" xfId="18406"/>
    <cellStyle name="Normal 3 8 2 2 4 7 2" xfId="18407"/>
    <cellStyle name="Normal 3 8 2 2 4 8" xfId="18408"/>
    <cellStyle name="Normal 3 8 2 2 5" xfId="18409"/>
    <cellStyle name="Normal 3 8 2 2 5 2" xfId="18410"/>
    <cellStyle name="Normal 3 8 2 2 5 2 2" xfId="18411"/>
    <cellStyle name="Normal 3 8 2 2 5 2 2 2" xfId="18412"/>
    <cellStyle name="Normal 3 8 2 2 5 2 2 2 2" xfId="18413"/>
    <cellStyle name="Normal 3 8 2 2 5 2 2 3" xfId="18414"/>
    <cellStyle name="Normal 3 8 2 2 5 2 2 3 2" xfId="18415"/>
    <cellStyle name="Normal 3 8 2 2 5 2 2 4" xfId="18416"/>
    <cellStyle name="Normal 3 8 2 2 5 2 2 4 2" xfId="18417"/>
    <cellStyle name="Normal 3 8 2 2 5 2 2 5" xfId="18418"/>
    <cellStyle name="Normal 3 8 2 2 5 2 3" xfId="18419"/>
    <cellStyle name="Normal 3 8 2 2 5 2 3 2" xfId="18420"/>
    <cellStyle name="Normal 3 8 2 2 5 2 3 2 2" xfId="18421"/>
    <cellStyle name="Normal 3 8 2 2 5 2 3 3" xfId="18422"/>
    <cellStyle name="Normal 3 8 2 2 5 2 3 3 2" xfId="18423"/>
    <cellStyle name="Normal 3 8 2 2 5 2 3 4" xfId="18424"/>
    <cellStyle name="Normal 3 8 2 2 5 2 3 4 2" xfId="18425"/>
    <cellStyle name="Normal 3 8 2 2 5 2 3 5" xfId="18426"/>
    <cellStyle name="Normal 3 8 2 2 5 2 4" xfId="18427"/>
    <cellStyle name="Normal 3 8 2 2 5 2 4 2" xfId="18428"/>
    <cellStyle name="Normal 3 8 2 2 5 2 5" xfId="18429"/>
    <cellStyle name="Normal 3 8 2 2 5 2 5 2" xfId="18430"/>
    <cellStyle name="Normal 3 8 2 2 5 2 6" xfId="18431"/>
    <cellStyle name="Normal 3 8 2 2 5 2 6 2" xfId="18432"/>
    <cellStyle name="Normal 3 8 2 2 5 2 7" xfId="18433"/>
    <cellStyle name="Normal 3 8 2 2 5 3" xfId="18434"/>
    <cellStyle name="Normal 3 8 2 2 5 3 2" xfId="18435"/>
    <cellStyle name="Normal 3 8 2 2 5 3 2 2" xfId="18436"/>
    <cellStyle name="Normal 3 8 2 2 5 3 3" xfId="18437"/>
    <cellStyle name="Normal 3 8 2 2 5 3 3 2" xfId="18438"/>
    <cellStyle name="Normal 3 8 2 2 5 3 4" xfId="18439"/>
    <cellStyle name="Normal 3 8 2 2 5 3 4 2" xfId="18440"/>
    <cellStyle name="Normal 3 8 2 2 5 3 5" xfId="18441"/>
    <cellStyle name="Normal 3 8 2 2 5 4" xfId="18442"/>
    <cellStyle name="Normal 3 8 2 2 5 4 2" xfId="18443"/>
    <cellStyle name="Normal 3 8 2 2 5 4 2 2" xfId="18444"/>
    <cellStyle name="Normal 3 8 2 2 5 4 3" xfId="18445"/>
    <cellStyle name="Normal 3 8 2 2 5 4 3 2" xfId="18446"/>
    <cellStyle name="Normal 3 8 2 2 5 4 4" xfId="18447"/>
    <cellStyle name="Normal 3 8 2 2 5 4 4 2" xfId="18448"/>
    <cellStyle name="Normal 3 8 2 2 5 4 5" xfId="18449"/>
    <cellStyle name="Normal 3 8 2 2 5 5" xfId="18450"/>
    <cellStyle name="Normal 3 8 2 2 5 5 2" xfId="18451"/>
    <cellStyle name="Normal 3 8 2 2 5 6" xfId="18452"/>
    <cellStyle name="Normal 3 8 2 2 5 6 2" xfId="18453"/>
    <cellStyle name="Normal 3 8 2 2 5 7" xfId="18454"/>
    <cellStyle name="Normal 3 8 2 2 5 7 2" xfId="18455"/>
    <cellStyle name="Normal 3 8 2 2 5 8" xfId="18456"/>
    <cellStyle name="Normal 3 8 2 2 6" xfId="18457"/>
    <cellStyle name="Normal 3 8 2 2 6 2" xfId="18458"/>
    <cellStyle name="Normal 3 8 2 2 6 2 2" xfId="18459"/>
    <cellStyle name="Normal 3 8 2 2 6 2 2 2" xfId="18460"/>
    <cellStyle name="Normal 3 8 2 2 6 2 2 2 2" xfId="18461"/>
    <cellStyle name="Normal 3 8 2 2 6 2 2 3" xfId="18462"/>
    <cellStyle name="Normal 3 8 2 2 6 2 2 3 2" xfId="18463"/>
    <cellStyle name="Normal 3 8 2 2 6 2 2 4" xfId="18464"/>
    <cellStyle name="Normal 3 8 2 2 6 2 2 4 2" xfId="18465"/>
    <cellStyle name="Normal 3 8 2 2 6 2 2 5" xfId="18466"/>
    <cellStyle name="Normal 3 8 2 2 6 2 3" xfId="18467"/>
    <cellStyle name="Normal 3 8 2 2 6 2 3 2" xfId="18468"/>
    <cellStyle name="Normal 3 8 2 2 6 2 3 2 2" xfId="18469"/>
    <cellStyle name="Normal 3 8 2 2 6 2 3 3" xfId="18470"/>
    <cellStyle name="Normal 3 8 2 2 6 2 3 3 2" xfId="18471"/>
    <cellStyle name="Normal 3 8 2 2 6 2 3 4" xfId="18472"/>
    <cellStyle name="Normal 3 8 2 2 6 2 3 4 2" xfId="18473"/>
    <cellStyle name="Normal 3 8 2 2 6 2 3 5" xfId="18474"/>
    <cellStyle name="Normal 3 8 2 2 6 2 4" xfId="18475"/>
    <cellStyle name="Normal 3 8 2 2 6 2 4 2" xfId="18476"/>
    <cellStyle name="Normal 3 8 2 2 6 2 5" xfId="18477"/>
    <cellStyle name="Normal 3 8 2 2 6 2 5 2" xfId="18478"/>
    <cellStyle name="Normal 3 8 2 2 6 2 6" xfId="18479"/>
    <cellStyle name="Normal 3 8 2 2 6 2 6 2" xfId="18480"/>
    <cellStyle name="Normal 3 8 2 2 6 2 7" xfId="18481"/>
    <cellStyle name="Normal 3 8 2 2 6 3" xfId="18482"/>
    <cellStyle name="Normal 3 8 2 2 6 3 2" xfId="18483"/>
    <cellStyle name="Normal 3 8 2 2 6 3 2 2" xfId="18484"/>
    <cellStyle name="Normal 3 8 2 2 6 3 3" xfId="18485"/>
    <cellStyle name="Normal 3 8 2 2 6 3 3 2" xfId="18486"/>
    <cellStyle name="Normal 3 8 2 2 6 3 4" xfId="18487"/>
    <cellStyle name="Normal 3 8 2 2 6 3 4 2" xfId="18488"/>
    <cellStyle name="Normal 3 8 2 2 6 3 5" xfId="18489"/>
    <cellStyle name="Normal 3 8 2 2 6 4" xfId="18490"/>
    <cellStyle name="Normal 3 8 2 2 6 4 2" xfId="18491"/>
    <cellStyle name="Normal 3 8 2 2 6 4 2 2" xfId="18492"/>
    <cellStyle name="Normal 3 8 2 2 6 4 3" xfId="18493"/>
    <cellStyle name="Normal 3 8 2 2 6 4 3 2" xfId="18494"/>
    <cellStyle name="Normal 3 8 2 2 6 4 4" xfId="18495"/>
    <cellStyle name="Normal 3 8 2 2 6 4 4 2" xfId="18496"/>
    <cellStyle name="Normal 3 8 2 2 6 4 5" xfId="18497"/>
    <cellStyle name="Normal 3 8 2 2 6 5" xfId="18498"/>
    <cellStyle name="Normal 3 8 2 2 6 5 2" xfId="18499"/>
    <cellStyle name="Normal 3 8 2 2 6 6" xfId="18500"/>
    <cellStyle name="Normal 3 8 2 2 6 6 2" xfId="18501"/>
    <cellStyle name="Normal 3 8 2 2 6 7" xfId="18502"/>
    <cellStyle name="Normal 3 8 2 2 6 7 2" xfId="18503"/>
    <cellStyle name="Normal 3 8 2 2 6 8" xfId="18504"/>
    <cellStyle name="Normal 3 8 2 2 7" xfId="18505"/>
    <cellStyle name="Normal 3 8 2 2 7 2" xfId="18506"/>
    <cellStyle name="Normal 3 8 2 2 7 2 2" xfId="18507"/>
    <cellStyle name="Normal 3 8 2 2 7 2 2 2" xfId="18508"/>
    <cellStyle name="Normal 3 8 2 2 7 2 3" xfId="18509"/>
    <cellStyle name="Normal 3 8 2 2 7 2 3 2" xfId="18510"/>
    <cellStyle name="Normal 3 8 2 2 7 2 4" xfId="18511"/>
    <cellStyle name="Normal 3 8 2 2 7 2 4 2" xfId="18512"/>
    <cellStyle name="Normal 3 8 2 2 7 2 5" xfId="18513"/>
    <cellStyle name="Normal 3 8 2 2 7 3" xfId="18514"/>
    <cellStyle name="Normal 3 8 2 2 7 3 2" xfId="18515"/>
    <cellStyle name="Normal 3 8 2 2 7 3 2 2" xfId="18516"/>
    <cellStyle name="Normal 3 8 2 2 7 3 3" xfId="18517"/>
    <cellStyle name="Normal 3 8 2 2 7 3 3 2" xfId="18518"/>
    <cellStyle name="Normal 3 8 2 2 7 3 4" xfId="18519"/>
    <cellStyle name="Normal 3 8 2 2 7 3 4 2" xfId="18520"/>
    <cellStyle name="Normal 3 8 2 2 7 3 5" xfId="18521"/>
    <cellStyle name="Normal 3 8 2 2 7 4" xfId="18522"/>
    <cellStyle name="Normal 3 8 2 2 7 4 2" xfId="18523"/>
    <cellStyle name="Normal 3 8 2 2 7 5" xfId="18524"/>
    <cellStyle name="Normal 3 8 2 2 7 5 2" xfId="18525"/>
    <cellStyle name="Normal 3 8 2 2 7 6" xfId="18526"/>
    <cellStyle name="Normal 3 8 2 2 7 6 2" xfId="18527"/>
    <cellStyle name="Normal 3 8 2 2 7 7" xfId="18528"/>
    <cellStyle name="Normal 3 8 2 2 8" xfId="18529"/>
    <cellStyle name="Normal 3 8 2 2 8 2" xfId="18530"/>
    <cellStyle name="Normal 3 8 2 2 8 2 2" xfId="18531"/>
    <cellStyle name="Normal 3 8 2 2 8 3" xfId="18532"/>
    <cellStyle name="Normal 3 8 2 2 8 3 2" xfId="18533"/>
    <cellStyle name="Normal 3 8 2 2 8 4" xfId="18534"/>
    <cellStyle name="Normal 3 8 2 2 8 4 2" xfId="18535"/>
    <cellStyle name="Normal 3 8 2 2 8 5" xfId="18536"/>
    <cellStyle name="Normal 3 8 2 2 9" xfId="18537"/>
    <cellStyle name="Normal 3 8 2 2 9 2" xfId="18538"/>
    <cellStyle name="Normal 3 8 2 2 9 2 2" xfId="18539"/>
    <cellStyle name="Normal 3 8 2 2 9 3" xfId="18540"/>
    <cellStyle name="Normal 3 8 2 2 9 3 2" xfId="18541"/>
    <cellStyle name="Normal 3 8 2 2 9 4" xfId="18542"/>
    <cellStyle name="Normal 3 8 2 2 9 4 2" xfId="18543"/>
    <cellStyle name="Normal 3 8 2 2 9 5" xfId="18544"/>
    <cellStyle name="Normal 3 8 2 3" xfId="18545"/>
    <cellStyle name="Normal 3 8 2 3 2" xfId="18546"/>
    <cellStyle name="Normal 3 8 2 3 2 2" xfId="18547"/>
    <cellStyle name="Normal 3 8 2 3 2 2 2" xfId="18548"/>
    <cellStyle name="Normal 3 8 2 3 2 2 2 2" xfId="18549"/>
    <cellStyle name="Normal 3 8 2 3 2 2 3" xfId="18550"/>
    <cellStyle name="Normal 3 8 2 3 2 2 3 2" xfId="18551"/>
    <cellStyle name="Normal 3 8 2 3 2 2 4" xfId="18552"/>
    <cellStyle name="Normal 3 8 2 3 2 2 4 2" xfId="18553"/>
    <cellStyle name="Normal 3 8 2 3 2 2 5" xfId="18554"/>
    <cellStyle name="Normal 3 8 2 3 2 3" xfId="18555"/>
    <cellStyle name="Normal 3 8 2 3 2 3 2" xfId="18556"/>
    <cellStyle name="Normal 3 8 2 3 2 3 2 2" xfId="18557"/>
    <cellStyle name="Normal 3 8 2 3 2 3 3" xfId="18558"/>
    <cellStyle name="Normal 3 8 2 3 2 3 3 2" xfId="18559"/>
    <cellStyle name="Normal 3 8 2 3 2 3 4" xfId="18560"/>
    <cellStyle name="Normal 3 8 2 3 2 3 4 2" xfId="18561"/>
    <cellStyle name="Normal 3 8 2 3 2 3 5" xfId="18562"/>
    <cellStyle name="Normal 3 8 2 3 2 4" xfId="18563"/>
    <cellStyle name="Normal 3 8 2 3 2 4 2" xfId="18564"/>
    <cellStyle name="Normal 3 8 2 3 2 5" xfId="18565"/>
    <cellStyle name="Normal 3 8 2 3 2 5 2" xfId="18566"/>
    <cellStyle name="Normal 3 8 2 3 2 6" xfId="18567"/>
    <cellStyle name="Normal 3 8 2 3 2 6 2" xfId="18568"/>
    <cellStyle name="Normal 3 8 2 3 2 7" xfId="18569"/>
    <cellStyle name="Normal 3 8 2 3 3" xfId="18570"/>
    <cellStyle name="Normal 3 8 2 3 3 2" xfId="18571"/>
    <cellStyle name="Normal 3 8 2 3 3 2 2" xfId="18572"/>
    <cellStyle name="Normal 3 8 2 3 3 3" xfId="18573"/>
    <cellStyle name="Normal 3 8 2 3 3 3 2" xfId="18574"/>
    <cellStyle name="Normal 3 8 2 3 3 4" xfId="18575"/>
    <cellStyle name="Normal 3 8 2 3 3 4 2" xfId="18576"/>
    <cellStyle name="Normal 3 8 2 3 3 5" xfId="18577"/>
    <cellStyle name="Normal 3 8 2 3 4" xfId="18578"/>
    <cellStyle name="Normal 3 8 2 3 4 2" xfId="18579"/>
    <cellStyle name="Normal 3 8 2 3 4 2 2" xfId="18580"/>
    <cellStyle name="Normal 3 8 2 3 4 3" xfId="18581"/>
    <cellStyle name="Normal 3 8 2 3 4 3 2" xfId="18582"/>
    <cellStyle name="Normal 3 8 2 3 4 4" xfId="18583"/>
    <cellStyle name="Normal 3 8 2 3 4 4 2" xfId="18584"/>
    <cellStyle name="Normal 3 8 2 3 4 5" xfId="18585"/>
    <cellStyle name="Normal 3 8 2 3 5" xfId="18586"/>
    <cellStyle name="Normal 3 8 2 3 5 2" xfId="18587"/>
    <cellStyle name="Normal 3 8 2 3 6" xfId="18588"/>
    <cellStyle name="Normal 3 8 2 3 6 2" xfId="18589"/>
    <cellStyle name="Normal 3 8 2 3 7" xfId="18590"/>
    <cellStyle name="Normal 3 8 2 3 7 2" xfId="18591"/>
    <cellStyle name="Normal 3 8 2 3 8" xfId="18592"/>
    <cellStyle name="Normal 3 8 2 4" xfId="18593"/>
    <cellStyle name="Normal 3 8 2 4 2" xfId="18594"/>
    <cellStyle name="Normal 3 8 2 4 2 2" xfId="18595"/>
    <cellStyle name="Normal 3 8 2 4 2 2 2" xfId="18596"/>
    <cellStyle name="Normal 3 8 2 4 2 2 2 2" xfId="18597"/>
    <cellStyle name="Normal 3 8 2 4 2 2 3" xfId="18598"/>
    <cellStyle name="Normal 3 8 2 4 2 2 3 2" xfId="18599"/>
    <cellStyle name="Normal 3 8 2 4 2 2 4" xfId="18600"/>
    <cellStyle name="Normal 3 8 2 4 2 2 4 2" xfId="18601"/>
    <cellStyle name="Normal 3 8 2 4 2 2 5" xfId="18602"/>
    <cellStyle name="Normal 3 8 2 4 2 3" xfId="18603"/>
    <cellStyle name="Normal 3 8 2 4 2 3 2" xfId="18604"/>
    <cellStyle name="Normal 3 8 2 4 2 3 2 2" xfId="18605"/>
    <cellStyle name="Normal 3 8 2 4 2 3 3" xfId="18606"/>
    <cellStyle name="Normal 3 8 2 4 2 3 3 2" xfId="18607"/>
    <cellStyle name="Normal 3 8 2 4 2 3 4" xfId="18608"/>
    <cellStyle name="Normal 3 8 2 4 2 3 4 2" xfId="18609"/>
    <cellStyle name="Normal 3 8 2 4 2 3 5" xfId="18610"/>
    <cellStyle name="Normal 3 8 2 4 2 4" xfId="18611"/>
    <cellStyle name="Normal 3 8 2 4 2 4 2" xfId="18612"/>
    <cellStyle name="Normal 3 8 2 4 2 5" xfId="18613"/>
    <cellStyle name="Normal 3 8 2 4 2 5 2" xfId="18614"/>
    <cellStyle name="Normal 3 8 2 4 2 6" xfId="18615"/>
    <cellStyle name="Normal 3 8 2 4 2 6 2" xfId="18616"/>
    <cellStyle name="Normal 3 8 2 4 2 7" xfId="18617"/>
    <cellStyle name="Normal 3 8 2 4 3" xfId="18618"/>
    <cellStyle name="Normal 3 8 2 4 3 2" xfId="18619"/>
    <cellStyle name="Normal 3 8 2 4 3 2 2" xfId="18620"/>
    <cellStyle name="Normal 3 8 2 4 3 3" xfId="18621"/>
    <cellStyle name="Normal 3 8 2 4 3 3 2" xfId="18622"/>
    <cellStyle name="Normal 3 8 2 4 3 4" xfId="18623"/>
    <cellStyle name="Normal 3 8 2 4 3 4 2" xfId="18624"/>
    <cellStyle name="Normal 3 8 2 4 3 5" xfId="18625"/>
    <cellStyle name="Normal 3 8 2 4 4" xfId="18626"/>
    <cellStyle name="Normal 3 8 2 4 4 2" xfId="18627"/>
    <cellStyle name="Normal 3 8 2 4 4 2 2" xfId="18628"/>
    <cellStyle name="Normal 3 8 2 4 4 3" xfId="18629"/>
    <cellStyle name="Normal 3 8 2 4 4 3 2" xfId="18630"/>
    <cellStyle name="Normal 3 8 2 4 4 4" xfId="18631"/>
    <cellStyle name="Normal 3 8 2 4 4 4 2" xfId="18632"/>
    <cellStyle name="Normal 3 8 2 4 4 5" xfId="18633"/>
    <cellStyle name="Normal 3 8 2 4 5" xfId="18634"/>
    <cellStyle name="Normal 3 8 2 4 5 2" xfId="18635"/>
    <cellStyle name="Normal 3 8 2 4 6" xfId="18636"/>
    <cellStyle name="Normal 3 8 2 4 6 2" xfId="18637"/>
    <cellStyle name="Normal 3 8 2 4 7" xfId="18638"/>
    <cellStyle name="Normal 3 8 2 4 7 2" xfId="18639"/>
    <cellStyle name="Normal 3 8 2 4 8" xfId="18640"/>
    <cellStyle name="Normal 3 8 2 5" xfId="18641"/>
    <cellStyle name="Normal 3 8 2 5 2" xfId="18642"/>
    <cellStyle name="Normal 3 8 2 5 2 2" xfId="18643"/>
    <cellStyle name="Normal 3 8 2 5 2 2 2" xfId="18644"/>
    <cellStyle name="Normal 3 8 2 5 2 2 2 2" xfId="18645"/>
    <cellStyle name="Normal 3 8 2 5 2 2 3" xfId="18646"/>
    <cellStyle name="Normal 3 8 2 5 2 2 3 2" xfId="18647"/>
    <cellStyle name="Normal 3 8 2 5 2 2 4" xfId="18648"/>
    <cellStyle name="Normal 3 8 2 5 2 2 4 2" xfId="18649"/>
    <cellStyle name="Normal 3 8 2 5 2 2 5" xfId="18650"/>
    <cellStyle name="Normal 3 8 2 5 2 3" xfId="18651"/>
    <cellStyle name="Normal 3 8 2 5 2 3 2" xfId="18652"/>
    <cellStyle name="Normal 3 8 2 5 2 3 2 2" xfId="18653"/>
    <cellStyle name="Normal 3 8 2 5 2 3 3" xfId="18654"/>
    <cellStyle name="Normal 3 8 2 5 2 3 3 2" xfId="18655"/>
    <cellStyle name="Normal 3 8 2 5 2 3 4" xfId="18656"/>
    <cellStyle name="Normal 3 8 2 5 2 3 4 2" xfId="18657"/>
    <cellStyle name="Normal 3 8 2 5 2 3 5" xfId="18658"/>
    <cellStyle name="Normal 3 8 2 5 2 4" xfId="18659"/>
    <cellStyle name="Normal 3 8 2 5 2 4 2" xfId="18660"/>
    <cellStyle name="Normal 3 8 2 5 2 5" xfId="18661"/>
    <cellStyle name="Normal 3 8 2 5 2 5 2" xfId="18662"/>
    <cellStyle name="Normal 3 8 2 5 2 6" xfId="18663"/>
    <cellStyle name="Normal 3 8 2 5 2 6 2" xfId="18664"/>
    <cellStyle name="Normal 3 8 2 5 2 7" xfId="18665"/>
    <cellStyle name="Normal 3 8 2 5 3" xfId="18666"/>
    <cellStyle name="Normal 3 8 2 5 3 2" xfId="18667"/>
    <cellStyle name="Normal 3 8 2 5 3 2 2" xfId="18668"/>
    <cellStyle name="Normal 3 8 2 5 3 3" xfId="18669"/>
    <cellStyle name="Normal 3 8 2 5 3 3 2" xfId="18670"/>
    <cellStyle name="Normal 3 8 2 5 3 4" xfId="18671"/>
    <cellStyle name="Normal 3 8 2 5 3 4 2" xfId="18672"/>
    <cellStyle name="Normal 3 8 2 5 3 5" xfId="18673"/>
    <cellStyle name="Normal 3 8 2 5 4" xfId="18674"/>
    <cellStyle name="Normal 3 8 2 5 4 2" xfId="18675"/>
    <cellStyle name="Normal 3 8 2 5 4 2 2" xfId="18676"/>
    <cellStyle name="Normal 3 8 2 5 4 3" xfId="18677"/>
    <cellStyle name="Normal 3 8 2 5 4 3 2" xfId="18678"/>
    <cellStyle name="Normal 3 8 2 5 4 4" xfId="18679"/>
    <cellStyle name="Normal 3 8 2 5 4 4 2" xfId="18680"/>
    <cellStyle name="Normal 3 8 2 5 4 5" xfId="18681"/>
    <cellStyle name="Normal 3 8 2 5 5" xfId="18682"/>
    <cellStyle name="Normal 3 8 2 5 5 2" xfId="18683"/>
    <cellStyle name="Normal 3 8 2 5 6" xfId="18684"/>
    <cellStyle name="Normal 3 8 2 5 6 2" xfId="18685"/>
    <cellStyle name="Normal 3 8 2 5 7" xfId="18686"/>
    <cellStyle name="Normal 3 8 2 5 7 2" xfId="18687"/>
    <cellStyle name="Normal 3 8 2 5 8" xfId="18688"/>
    <cellStyle name="Normal 3 8 2 6" xfId="18689"/>
    <cellStyle name="Normal 3 8 2 6 2" xfId="18690"/>
    <cellStyle name="Normal 3 8 2 6 2 2" xfId="18691"/>
    <cellStyle name="Normal 3 8 2 6 2 2 2" xfId="18692"/>
    <cellStyle name="Normal 3 8 2 6 2 2 2 2" xfId="18693"/>
    <cellStyle name="Normal 3 8 2 6 2 2 3" xfId="18694"/>
    <cellStyle name="Normal 3 8 2 6 2 2 3 2" xfId="18695"/>
    <cellStyle name="Normal 3 8 2 6 2 2 4" xfId="18696"/>
    <cellStyle name="Normal 3 8 2 6 2 2 4 2" xfId="18697"/>
    <cellStyle name="Normal 3 8 2 6 2 2 5" xfId="18698"/>
    <cellStyle name="Normal 3 8 2 6 2 3" xfId="18699"/>
    <cellStyle name="Normal 3 8 2 6 2 3 2" xfId="18700"/>
    <cellStyle name="Normal 3 8 2 6 2 3 2 2" xfId="18701"/>
    <cellStyle name="Normal 3 8 2 6 2 3 3" xfId="18702"/>
    <cellStyle name="Normal 3 8 2 6 2 3 3 2" xfId="18703"/>
    <cellStyle name="Normal 3 8 2 6 2 3 4" xfId="18704"/>
    <cellStyle name="Normal 3 8 2 6 2 3 4 2" xfId="18705"/>
    <cellStyle name="Normal 3 8 2 6 2 3 5" xfId="18706"/>
    <cellStyle name="Normal 3 8 2 6 2 4" xfId="18707"/>
    <cellStyle name="Normal 3 8 2 6 2 4 2" xfId="18708"/>
    <cellStyle name="Normal 3 8 2 6 2 5" xfId="18709"/>
    <cellStyle name="Normal 3 8 2 6 2 5 2" xfId="18710"/>
    <cellStyle name="Normal 3 8 2 6 2 6" xfId="18711"/>
    <cellStyle name="Normal 3 8 2 6 2 6 2" xfId="18712"/>
    <cellStyle name="Normal 3 8 2 6 2 7" xfId="18713"/>
    <cellStyle name="Normal 3 8 2 6 3" xfId="18714"/>
    <cellStyle name="Normal 3 8 2 6 3 2" xfId="18715"/>
    <cellStyle name="Normal 3 8 2 6 3 2 2" xfId="18716"/>
    <cellStyle name="Normal 3 8 2 6 3 3" xfId="18717"/>
    <cellStyle name="Normal 3 8 2 6 3 3 2" xfId="18718"/>
    <cellStyle name="Normal 3 8 2 6 3 4" xfId="18719"/>
    <cellStyle name="Normal 3 8 2 6 3 4 2" xfId="18720"/>
    <cellStyle name="Normal 3 8 2 6 3 5" xfId="18721"/>
    <cellStyle name="Normal 3 8 2 6 4" xfId="18722"/>
    <cellStyle name="Normal 3 8 2 6 4 2" xfId="18723"/>
    <cellStyle name="Normal 3 8 2 6 4 2 2" xfId="18724"/>
    <cellStyle name="Normal 3 8 2 6 4 3" xfId="18725"/>
    <cellStyle name="Normal 3 8 2 6 4 3 2" xfId="18726"/>
    <cellStyle name="Normal 3 8 2 6 4 4" xfId="18727"/>
    <cellStyle name="Normal 3 8 2 6 4 4 2" xfId="18728"/>
    <cellStyle name="Normal 3 8 2 6 4 5" xfId="18729"/>
    <cellStyle name="Normal 3 8 2 6 5" xfId="18730"/>
    <cellStyle name="Normal 3 8 2 6 5 2" xfId="18731"/>
    <cellStyle name="Normal 3 8 2 6 6" xfId="18732"/>
    <cellStyle name="Normal 3 8 2 6 6 2" xfId="18733"/>
    <cellStyle name="Normal 3 8 2 6 7" xfId="18734"/>
    <cellStyle name="Normal 3 8 2 6 7 2" xfId="18735"/>
    <cellStyle name="Normal 3 8 2 6 8" xfId="18736"/>
    <cellStyle name="Normal 3 8 2 7" xfId="18737"/>
    <cellStyle name="Normal 3 8 2 7 2" xfId="18738"/>
    <cellStyle name="Normal 3 8 2 7 2 2" xfId="18739"/>
    <cellStyle name="Normal 3 8 2 7 2 2 2" xfId="18740"/>
    <cellStyle name="Normal 3 8 2 7 2 2 2 2" xfId="18741"/>
    <cellStyle name="Normal 3 8 2 7 2 2 3" xfId="18742"/>
    <cellStyle name="Normal 3 8 2 7 2 2 3 2" xfId="18743"/>
    <cellStyle name="Normal 3 8 2 7 2 2 4" xfId="18744"/>
    <cellStyle name="Normal 3 8 2 7 2 2 4 2" xfId="18745"/>
    <cellStyle name="Normal 3 8 2 7 2 2 5" xfId="18746"/>
    <cellStyle name="Normal 3 8 2 7 2 3" xfId="18747"/>
    <cellStyle name="Normal 3 8 2 7 2 3 2" xfId="18748"/>
    <cellStyle name="Normal 3 8 2 7 2 3 2 2" xfId="18749"/>
    <cellStyle name="Normal 3 8 2 7 2 3 3" xfId="18750"/>
    <cellStyle name="Normal 3 8 2 7 2 3 3 2" xfId="18751"/>
    <cellStyle name="Normal 3 8 2 7 2 3 4" xfId="18752"/>
    <cellStyle name="Normal 3 8 2 7 2 3 4 2" xfId="18753"/>
    <cellStyle name="Normal 3 8 2 7 2 3 5" xfId="18754"/>
    <cellStyle name="Normal 3 8 2 7 2 4" xfId="18755"/>
    <cellStyle name="Normal 3 8 2 7 2 4 2" xfId="18756"/>
    <cellStyle name="Normal 3 8 2 7 2 5" xfId="18757"/>
    <cellStyle name="Normal 3 8 2 7 2 5 2" xfId="18758"/>
    <cellStyle name="Normal 3 8 2 7 2 6" xfId="18759"/>
    <cellStyle name="Normal 3 8 2 7 2 6 2" xfId="18760"/>
    <cellStyle name="Normal 3 8 2 7 2 7" xfId="18761"/>
    <cellStyle name="Normal 3 8 2 7 3" xfId="18762"/>
    <cellStyle name="Normal 3 8 2 7 3 2" xfId="18763"/>
    <cellStyle name="Normal 3 8 2 7 3 2 2" xfId="18764"/>
    <cellStyle name="Normal 3 8 2 7 3 3" xfId="18765"/>
    <cellStyle name="Normal 3 8 2 7 3 3 2" xfId="18766"/>
    <cellStyle name="Normal 3 8 2 7 3 4" xfId="18767"/>
    <cellStyle name="Normal 3 8 2 7 3 4 2" xfId="18768"/>
    <cellStyle name="Normal 3 8 2 7 3 5" xfId="18769"/>
    <cellStyle name="Normal 3 8 2 7 4" xfId="18770"/>
    <cellStyle name="Normal 3 8 2 7 4 2" xfId="18771"/>
    <cellStyle name="Normal 3 8 2 7 4 2 2" xfId="18772"/>
    <cellStyle name="Normal 3 8 2 7 4 3" xfId="18773"/>
    <cellStyle name="Normal 3 8 2 7 4 3 2" xfId="18774"/>
    <cellStyle name="Normal 3 8 2 7 4 4" xfId="18775"/>
    <cellStyle name="Normal 3 8 2 7 4 4 2" xfId="18776"/>
    <cellStyle name="Normal 3 8 2 7 4 5" xfId="18777"/>
    <cellStyle name="Normal 3 8 2 7 5" xfId="18778"/>
    <cellStyle name="Normal 3 8 2 7 5 2" xfId="18779"/>
    <cellStyle name="Normal 3 8 2 7 6" xfId="18780"/>
    <cellStyle name="Normal 3 8 2 7 6 2" xfId="18781"/>
    <cellStyle name="Normal 3 8 2 7 7" xfId="18782"/>
    <cellStyle name="Normal 3 8 2 7 7 2" xfId="18783"/>
    <cellStyle name="Normal 3 8 2 7 8" xfId="18784"/>
    <cellStyle name="Normal 3 8 2 8" xfId="18785"/>
    <cellStyle name="Normal 3 8 2 8 2" xfId="18786"/>
    <cellStyle name="Normal 3 8 2 8 2 2" xfId="18787"/>
    <cellStyle name="Normal 3 8 2 8 2 2 2" xfId="18788"/>
    <cellStyle name="Normal 3 8 2 8 2 3" xfId="18789"/>
    <cellStyle name="Normal 3 8 2 8 2 3 2" xfId="18790"/>
    <cellStyle name="Normal 3 8 2 8 2 4" xfId="18791"/>
    <cellStyle name="Normal 3 8 2 8 2 4 2" xfId="18792"/>
    <cellStyle name="Normal 3 8 2 8 2 5" xfId="18793"/>
    <cellStyle name="Normal 3 8 2 8 3" xfId="18794"/>
    <cellStyle name="Normal 3 8 2 8 3 2" xfId="18795"/>
    <cellStyle name="Normal 3 8 2 8 3 2 2" xfId="18796"/>
    <cellStyle name="Normal 3 8 2 8 3 3" xfId="18797"/>
    <cellStyle name="Normal 3 8 2 8 3 3 2" xfId="18798"/>
    <cellStyle name="Normal 3 8 2 8 3 4" xfId="18799"/>
    <cellStyle name="Normal 3 8 2 8 3 4 2" xfId="18800"/>
    <cellStyle name="Normal 3 8 2 8 3 5" xfId="18801"/>
    <cellStyle name="Normal 3 8 2 8 4" xfId="18802"/>
    <cellStyle name="Normal 3 8 2 8 4 2" xfId="18803"/>
    <cellStyle name="Normal 3 8 2 8 5" xfId="18804"/>
    <cellStyle name="Normal 3 8 2 8 5 2" xfId="18805"/>
    <cellStyle name="Normal 3 8 2 8 6" xfId="18806"/>
    <cellStyle name="Normal 3 8 2 8 6 2" xfId="18807"/>
    <cellStyle name="Normal 3 8 2 8 7" xfId="18808"/>
    <cellStyle name="Normal 3 8 2 9" xfId="18809"/>
    <cellStyle name="Normal 3 8 2 9 2" xfId="18810"/>
    <cellStyle name="Normal 3 8 2 9 2 2" xfId="18811"/>
    <cellStyle name="Normal 3 8 2 9 3" xfId="18812"/>
    <cellStyle name="Normal 3 8 2 9 3 2" xfId="18813"/>
    <cellStyle name="Normal 3 8 2 9 4" xfId="18814"/>
    <cellStyle name="Normal 3 8 2 9 4 2" xfId="18815"/>
    <cellStyle name="Normal 3 8 2 9 5" xfId="18816"/>
    <cellStyle name="Normal 3 8 2_Input" xfId="2035"/>
    <cellStyle name="Normal 3 8 3" xfId="1991"/>
    <cellStyle name="Normal 3 8 3 10" xfId="18817"/>
    <cellStyle name="Normal 3 8 3 10 2" xfId="18818"/>
    <cellStyle name="Normal 3 8 3 10 2 2" xfId="18819"/>
    <cellStyle name="Normal 3 8 3 10 3" xfId="18820"/>
    <cellStyle name="Normal 3 8 3 10 3 2" xfId="18821"/>
    <cellStyle name="Normal 3 8 3 10 4" xfId="18822"/>
    <cellStyle name="Normal 3 8 3 10 4 2" xfId="18823"/>
    <cellStyle name="Normal 3 8 3 10 5" xfId="18824"/>
    <cellStyle name="Normal 3 8 3 11" xfId="18825"/>
    <cellStyle name="Normal 3 8 3 11 2" xfId="18826"/>
    <cellStyle name="Normal 3 8 3 12" xfId="18827"/>
    <cellStyle name="Normal 3 8 3 12 2" xfId="18828"/>
    <cellStyle name="Normal 3 8 3 13" xfId="18829"/>
    <cellStyle name="Normal 3 8 3 13 2" xfId="18830"/>
    <cellStyle name="Normal 3 8 3 14" xfId="18831"/>
    <cellStyle name="Normal 3 8 3 2" xfId="18832"/>
    <cellStyle name="Normal 3 8 3 2 10" xfId="18833"/>
    <cellStyle name="Normal 3 8 3 2 10 2" xfId="18834"/>
    <cellStyle name="Normal 3 8 3 2 11" xfId="18835"/>
    <cellStyle name="Normal 3 8 3 2 11 2" xfId="18836"/>
    <cellStyle name="Normal 3 8 3 2 12" xfId="18837"/>
    <cellStyle name="Normal 3 8 3 2 12 2" xfId="18838"/>
    <cellStyle name="Normal 3 8 3 2 13" xfId="18839"/>
    <cellStyle name="Normal 3 8 3 2 2" xfId="18840"/>
    <cellStyle name="Normal 3 8 3 2 2 2" xfId="18841"/>
    <cellStyle name="Normal 3 8 3 2 2 2 2" xfId="18842"/>
    <cellStyle name="Normal 3 8 3 2 2 2 2 2" xfId="18843"/>
    <cellStyle name="Normal 3 8 3 2 2 2 2 2 2" xfId="18844"/>
    <cellStyle name="Normal 3 8 3 2 2 2 2 3" xfId="18845"/>
    <cellStyle name="Normal 3 8 3 2 2 2 2 3 2" xfId="18846"/>
    <cellStyle name="Normal 3 8 3 2 2 2 2 4" xfId="18847"/>
    <cellStyle name="Normal 3 8 3 2 2 2 2 4 2" xfId="18848"/>
    <cellStyle name="Normal 3 8 3 2 2 2 2 5" xfId="18849"/>
    <cellStyle name="Normal 3 8 3 2 2 2 3" xfId="18850"/>
    <cellStyle name="Normal 3 8 3 2 2 2 3 2" xfId="18851"/>
    <cellStyle name="Normal 3 8 3 2 2 2 3 2 2" xfId="18852"/>
    <cellStyle name="Normal 3 8 3 2 2 2 3 3" xfId="18853"/>
    <cellStyle name="Normal 3 8 3 2 2 2 3 3 2" xfId="18854"/>
    <cellStyle name="Normal 3 8 3 2 2 2 3 4" xfId="18855"/>
    <cellStyle name="Normal 3 8 3 2 2 2 3 4 2" xfId="18856"/>
    <cellStyle name="Normal 3 8 3 2 2 2 3 5" xfId="18857"/>
    <cellStyle name="Normal 3 8 3 2 2 2 4" xfId="18858"/>
    <cellStyle name="Normal 3 8 3 2 2 2 4 2" xfId="18859"/>
    <cellStyle name="Normal 3 8 3 2 2 2 5" xfId="18860"/>
    <cellStyle name="Normal 3 8 3 2 2 2 5 2" xfId="18861"/>
    <cellStyle name="Normal 3 8 3 2 2 2 6" xfId="18862"/>
    <cellStyle name="Normal 3 8 3 2 2 2 6 2" xfId="18863"/>
    <cellStyle name="Normal 3 8 3 2 2 2 7" xfId="18864"/>
    <cellStyle name="Normal 3 8 3 2 2 3" xfId="18865"/>
    <cellStyle name="Normal 3 8 3 2 2 3 2" xfId="18866"/>
    <cellStyle name="Normal 3 8 3 2 2 3 2 2" xfId="18867"/>
    <cellStyle name="Normal 3 8 3 2 2 3 3" xfId="18868"/>
    <cellStyle name="Normal 3 8 3 2 2 3 3 2" xfId="18869"/>
    <cellStyle name="Normal 3 8 3 2 2 3 4" xfId="18870"/>
    <cellStyle name="Normal 3 8 3 2 2 3 4 2" xfId="18871"/>
    <cellStyle name="Normal 3 8 3 2 2 3 5" xfId="18872"/>
    <cellStyle name="Normal 3 8 3 2 2 4" xfId="18873"/>
    <cellStyle name="Normal 3 8 3 2 2 4 2" xfId="18874"/>
    <cellStyle name="Normal 3 8 3 2 2 4 2 2" xfId="18875"/>
    <cellStyle name="Normal 3 8 3 2 2 4 3" xfId="18876"/>
    <cellStyle name="Normal 3 8 3 2 2 4 3 2" xfId="18877"/>
    <cellStyle name="Normal 3 8 3 2 2 4 4" xfId="18878"/>
    <cellStyle name="Normal 3 8 3 2 2 4 4 2" xfId="18879"/>
    <cellStyle name="Normal 3 8 3 2 2 4 5" xfId="18880"/>
    <cellStyle name="Normal 3 8 3 2 2 5" xfId="18881"/>
    <cellStyle name="Normal 3 8 3 2 2 5 2" xfId="18882"/>
    <cellStyle name="Normal 3 8 3 2 2 6" xfId="18883"/>
    <cellStyle name="Normal 3 8 3 2 2 6 2" xfId="18884"/>
    <cellStyle name="Normal 3 8 3 2 2 7" xfId="18885"/>
    <cellStyle name="Normal 3 8 3 2 2 7 2" xfId="18886"/>
    <cellStyle name="Normal 3 8 3 2 2 8" xfId="18887"/>
    <cellStyle name="Normal 3 8 3 2 3" xfId="18888"/>
    <cellStyle name="Normal 3 8 3 2 3 2" xfId="18889"/>
    <cellStyle name="Normal 3 8 3 2 3 2 2" xfId="18890"/>
    <cellStyle name="Normal 3 8 3 2 3 2 2 2" xfId="18891"/>
    <cellStyle name="Normal 3 8 3 2 3 2 2 2 2" xfId="18892"/>
    <cellStyle name="Normal 3 8 3 2 3 2 2 3" xfId="18893"/>
    <cellStyle name="Normal 3 8 3 2 3 2 2 3 2" xfId="18894"/>
    <cellStyle name="Normal 3 8 3 2 3 2 2 4" xfId="18895"/>
    <cellStyle name="Normal 3 8 3 2 3 2 2 4 2" xfId="18896"/>
    <cellStyle name="Normal 3 8 3 2 3 2 2 5" xfId="18897"/>
    <cellStyle name="Normal 3 8 3 2 3 2 3" xfId="18898"/>
    <cellStyle name="Normal 3 8 3 2 3 2 3 2" xfId="18899"/>
    <cellStyle name="Normal 3 8 3 2 3 2 3 2 2" xfId="18900"/>
    <cellStyle name="Normal 3 8 3 2 3 2 3 3" xfId="18901"/>
    <cellStyle name="Normal 3 8 3 2 3 2 3 3 2" xfId="18902"/>
    <cellStyle name="Normal 3 8 3 2 3 2 3 4" xfId="18903"/>
    <cellStyle name="Normal 3 8 3 2 3 2 3 4 2" xfId="18904"/>
    <cellStyle name="Normal 3 8 3 2 3 2 3 5" xfId="18905"/>
    <cellStyle name="Normal 3 8 3 2 3 2 4" xfId="18906"/>
    <cellStyle name="Normal 3 8 3 2 3 2 4 2" xfId="18907"/>
    <cellStyle name="Normal 3 8 3 2 3 2 5" xfId="18908"/>
    <cellStyle name="Normal 3 8 3 2 3 2 5 2" xfId="18909"/>
    <cellStyle name="Normal 3 8 3 2 3 2 6" xfId="18910"/>
    <cellStyle name="Normal 3 8 3 2 3 2 6 2" xfId="18911"/>
    <cellStyle name="Normal 3 8 3 2 3 2 7" xfId="18912"/>
    <cellStyle name="Normal 3 8 3 2 3 3" xfId="18913"/>
    <cellStyle name="Normal 3 8 3 2 3 3 2" xfId="18914"/>
    <cellStyle name="Normal 3 8 3 2 3 3 2 2" xfId="18915"/>
    <cellStyle name="Normal 3 8 3 2 3 3 3" xfId="18916"/>
    <cellStyle name="Normal 3 8 3 2 3 3 3 2" xfId="18917"/>
    <cellStyle name="Normal 3 8 3 2 3 3 4" xfId="18918"/>
    <cellStyle name="Normal 3 8 3 2 3 3 4 2" xfId="18919"/>
    <cellStyle name="Normal 3 8 3 2 3 3 5" xfId="18920"/>
    <cellStyle name="Normal 3 8 3 2 3 4" xfId="18921"/>
    <cellStyle name="Normal 3 8 3 2 3 4 2" xfId="18922"/>
    <cellStyle name="Normal 3 8 3 2 3 4 2 2" xfId="18923"/>
    <cellStyle name="Normal 3 8 3 2 3 4 3" xfId="18924"/>
    <cellStyle name="Normal 3 8 3 2 3 4 3 2" xfId="18925"/>
    <cellStyle name="Normal 3 8 3 2 3 4 4" xfId="18926"/>
    <cellStyle name="Normal 3 8 3 2 3 4 4 2" xfId="18927"/>
    <cellStyle name="Normal 3 8 3 2 3 4 5" xfId="18928"/>
    <cellStyle name="Normal 3 8 3 2 3 5" xfId="18929"/>
    <cellStyle name="Normal 3 8 3 2 3 5 2" xfId="18930"/>
    <cellStyle name="Normal 3 8 3 2 3 6" xfId="18931"/>
    <cellStyle name="Normal 3 8 3 2 3 6 2" xfId="18932"/>
    <cellStyle name="Normal 3 8 3 2 3 7" xfId="18933"/>
    <cellStyle name="Normal 3 8 3 2 3 7 2" xfId="18934"/>
    <cellStyle name="Normal 3 8 3 2 3 8" xfId="18935"/>
    <cellStyle name="Normal 3 8 3 2 4" xfId="18936"/>
    <cellStyle name="Normal 3 8 3 2 4 2" xfId="18937"/>
    <cellStyle name="Normal 3 8 3 2 4 2 2" xfId="18938"/>
    <cellStyle name="Normal 3 8 3 2 4 2 2 2" xfId="18939"/>
    <cellStyle name="Normal 3 8 3 2 4 2 2 2 2" xfId="18940"/>
    <cellStyle name="Normal 3 8 3 2 4 2 2 3" xfId="18941"/>
    <cellStyle name="Normal 3 8 3 2 4 2 2 3 2" xfId="18942"/>
    <cellStyle name="Normal 3 8 3 2 4 2 2 4" xfId="18943"/>
    <cellStyle name="Normal 3 8 3 2 4 2 2 4 2" xfId="18944"/>
    <cellStyle name="Normal 3 8 3 2 4 2 2 5" xfId="18945"/>
    <cellStyle name="Normal 3 8 3 2 4 2 3" xfId="18946"/>
    <cellStyle name="Normal 3 8 3 2 4 2 3 2" xfId="18947"/>
    <cellStyle name="Normal 3 8 3 2 4 2 3 2 2" xfId="18948"/>
    <cellStyle name="Normal 3 8 3 2 4 2 3 3" xfId="18949"/>
    <cellStyle name="Normal 3 8 3 2 4 2 3 3 2" xfId="18950"/>
    <cellStyle name="Normal 3 8 3 2 4 2 3 4" xfId="18951"/>
    <cellStyle name="Normal 3 8 3 2 4 2 3 4 2" xfId="18952"/>
    <cellStyle name="Normal 3 8 3 2 4 2 3 5" xfId="18953"/>
    <cellStyle name="Normal 3 8 3 2 4 2 4" xfId="18954"/>
    <cellStyle name="Normal 3 8 3 2 4 2 4 2" xfId="18955"/>
    <cellStyle name="Normal 3 8 3 2 4 2 5" xfId="18956"/>
    <cellStyle name="Normal 3 8 3 2 4 2 5 2" xfId="18957"/>
    <cellStyle name="Normal 3 8 3 2 4 2 6" xfId="18958"/>
    <cellStyle name="Normal 3 8 3 2 4 2 6 2" xfId="18959"/>
    <cellStyle name="Normal 3 8 3 2 4 2 7" xfId="18960"/>
    <cellStyle name="Normal 3 8 3 2 4 3" xfId="18961"/>
    <cellStyle name="Normal 3 8 3 2 4 3 2" xfId="18962"/>
    <cellStyle name="Normal 3 8 3 2 4 3 2 2" xfId="18963"/>
    <cellStyle name="Normal 3 8 3 2 4 3 3" xfId="18964"/>
    <cellStyle name="Normal 3 8 3 2 4 3 3 2" xfId="18965"/>
    <cellStyle name="Normal 3 8 3 2 4 3 4" xfId="18966"/>
    <cellStyle name="Normal 3 8 3 2 4 3 4 2" xfId="18967"/>
    <cellStyle name="Normal 3 8 3 2 4 3 5" xfId="18968"/>
    <cellStyle name="Normal 3 8 3 2 4 4" xfId="18969"/>
    <cellStyle name="Normal 3 8 3 2 4 4 2" xfId="18970"/>
    <cellStyle name="Normal 3 8 3 2 4 4 2 2" xfId="18971"/>
    <cellStyle name="Normal 3 8 3 2 4 4 3" xfId="18972"/>
    <cellStyle name="Normal 3 8 3 2 4 4 3 2" xfId="18973"/>
    <cellStyle name="Normal 3 8 3 2 4 4 4" xfId="18974"/>
    <cellStyle name="Normal 3 8 3 2 4 4 4 2" xfId="18975"/>
    <cellStyle name="Normal 3 8 3 2 4 4 5" xfId="18976"/>
    <cellStyle name="Normal 3 8 3 2 4 5" xfId="18977"/>
    <cellStyle name="Normal 3 8 3 2 4 5 2" xfId="18978"/>
    <cellStyle name="Normal 3 8 3 2 4 6" xfId="18979"/>
    <cellStyle name="Normal 3 8 3 2 4 6 2" xfId="18980"/>
    <cellStyle name="Normal 3 8 3 2 4 7" xfId="18981"/>
    <cellStyle name="Normal 3 8 3 2 4 7 2" xfId="18982"/>
    <cellStyle name="Normal 3 8 3 2 4 8" xfId="18983"/>
    <cellStyle name="Normal 3 8 3 2 5" xfId="18984"/>
    <cellStyle name="Normal 3 8 3 2 5 2" xfId="18985"/>
    <cellStyle name="Normal 3 8 3 2 5 2 2" xfId="18986"/>
    <cellStyle name="Normal 3 8 3 2 5 2 2 2" xfId="18987"/>
    <cellStyle name="Normal 3 8 3 2 5 2 2 2 2" xfId="18988"/>
    <cellStyle name="Normal 3 8 3 2 5 2 2 3" xfId="18989"/>
    <cellStyle name="Normal 3 8 3 2 5 2 2 3 2" xfId="18990"/>
    <cellStyle name="Normal 3 8 3 2 5 2 2 4" xfId="18991"/>
    <cellStyle name="Normal 3 8 3 2 5 2 2 4 2" xfId="18992"/>
    <cellStyle name="Normal 3 8 3 2 5 2 2 5" xfId="18993"/>
    <cellStyle name="Normal 3 8 3 2 5 2 3" xfId="18994"/>
    <cellStyle name="Normal 3 8 3 2 5 2 3 2" xfId="18995"/>
    <cellStyle name="Normal 3 8 3 2 5 2 3 2 2" xfId="18996"/>
    <cellStyle name="Normal 3 8 3 2 5 2 3 3" xfId="18997"/>
    <cellStyle name="Normal 3 8 3 2 5 2 3 3 2" xfId="18998"/>
    <cellStyle name="Normal 3 8 3 2 5 2 3 4" xfId="18999"/>
    <cellStyle name="Normal 3 8 3 2 5 2 3 4 2" xfId="19000"/>
    <cellStyle name="Normal 3 8 3 2 5 2 3 5" xfId="19001"/>
    <cellStyle name="Normal 3 8 3 2 5 2 4" xfId="19002"/>
    <cellStyle name="Normal 3 8 3 2 5 2 4 2" xfId="19003"/>
    <cellStyle name="Normal 3 8 3 2 5 2 5" xfId="19004"/>
    <cellStyle name="Normal 3 8 3 2 5 2 5 2" xfId="19005"/>
    <cellStyle name="Normal 3 8 3 2 5 2 6" xfId="19006"/>
    <cellStyle name="Normal 3 8 3 2 5 2 6 2" xfId="19007"/>
    <cellStyle name="Normal 3 8 3 2 5 2 7" xfId="19008"/>
    <cellStyle name="Normal 3 8 3 2 5 3" xfId="19009"/>
    <cellStyle name="Normal 3 8 3 2 5 3 2" xfId="19010"/>
    <cellStyle name="Normal 3 8 3 2 5 3 2 2" xfId="19011"/>
    <cellStyle name="Normal 3 8 3 2 5 3 3" xfId="19012"/>
    <cellStyle name="Normal 3 8 3 2 5 3 3 2" xfId="19013"/>
    <cellStyle name="Normal 3 8 3 2 5 3 4" xfId="19014"/>
    <cellStyle name="Normal 3 8 3 2 5 3 4 2" xfId="19015"/>
    <cellStyle name="Normal 3 8 3 2 5 3 5" xfId="19016"/>
    <cellStyle name="Normal 3 8 3 2 5 4" xfId="19017"/>
    <cellStyle name="Normal 3 8 3 2 5 4 2" xfId="19018"/>
    <cellStyle name="Normal 3 8 3 2 5 4 2 2" xfId="19019"/>
    <cellStyle name="Normal 3 8 3 2 5 4 3" xfId="19020"/>
    <cellStyle name="Normal 3 8 3 2 5 4 3 2" xfId="19021"/>
    <cellStyle name="Normal 3 8 3 2 5 4 4" xfId="19022"/>
    <cellStyle name="Normal 3 8 3 2 5 4 4 2" xfId="19023"/>
    <cellStyle name="Normal 3 8 3 2 5 4 5" xfId="19024"/>
    <cellStyle name="Normal 3 8 3 2 5 5" xfId="19025"/>
    <cellStyle name="Normal 3 8 3 2 5 5 2" xfId="19026"/>
    <cellStyle name="Normal 3 8 3 2 5 6" xfId="19027"/>
    <cellStyle name="Normal 3 8 3 2 5 6 2" xfId="19028"/>
    <cellStyle name="Normal 3 8 3 2 5 7" xfId="19029"/>
    <cellStyle name="Normal 3 8 3 2 5 7 2" xfId="19030"/>
    <cellStyle name="Normal 3 8 3 2 5 8" xfId="19031"/>
    <cellStyle name="Normal 3 8 3 2 6" xfId="19032"/>
    <cellStyle name="Normal 3 8 3 2 6 2" xfId="19033"/>
    <cellStyle name="Normal 3 8 3 2 6 2 2" xfId="19034"/>
    <cellStyle name="Normal 3 8 3 2 6 2 2 2" xfId="19035"/>
    <cellStyle name="Normal 3 8 3 2 6 2 2 2 2" xfId="19036"/>
    <cellStyle name="Normal 3 8 3 2 6 2 2 3" xfId="19037"/>
    <cellStyle name="Normal 3 8 3 2 6 2 2 3 2" xfId="19038"/>
    <cellStyle name="Normal 3 8 3 2 6 2 2 4" xfId="19039"/>
    <cellStyle name="Normal 3 8 3 2 6 2 2 4 2" xfId="19040"/>
    <cellStyle name="Normal 3 8 3 2 6 2 2 5" xfId="19041"/>
    <cellStyle name="Normal 3 8 3 2 6 2 3" xfId="19042"/>
    <cellStyle name="Normal 3 8 3 2 6 2 3 2" xfId="19043"/>
    <cellStyle name="Normal 3 8 3 2 6 2 3 2 2" xfId="19044"/>
    <cellStyle name="Normal 3 8 3 2 6 2 3 3" xfId="19045"/>
    <cellStyle name="Normal 3 8 3 2 6 2 3 3 2" xfId="19046"/>
    <cellStyle name="Normal 3 8 3 2 6 2 3 4" xfId="19047"/>
    <cellStyle name="Normal 3 8 3 2 6 2 3 4 2" xfId="19048"/>
    <cellStyle name="Normal 3 8 3 2 6 2 3 5" xfId="19049"/>
    <cellStyle name="Normal 3 8 3 2 6 2 4" xfId="19050"/>
    <cellStyle name="Normal 3 8 3 2 6 2 4 2" xfId="19051"/>
    <cellStyle name="Normal 3 8 3 2 6 2 5" xfId="19052"/>
    <cellStyle name="Normal 3 8 3 2 6 2 5 2" xfId="19053"/>
    <cellStyle name="Normal 3 8 3 2 6 2 6" xfId="19054"/>
    <cellStyle name="Normal 3 8 3 2 6 2 6 2" xfId="19055"/>
    <cellStyle name="Normal 3 8 3 2 6 2 7" xfId="19056"/>
    <cellStyle name="Normal 3 8 3 2 6 3" xfId="19057"/>
    <cellStyle name="Normal 3 8 3 2 6 3 2" xfId="19058"/>
    <cellStyle name="Normal 3 8 3 2 6 3 2 2" xfId="19059"/>
    <cellStyle name="Normal 3 8 3 2 6 3 3" xfId="19060"/>
    <cellStyle name="Normal 3 8 3 2 6 3 3 2" xfId="19061"/>
    <cellStyle name="Normal 3 8 3 2 6 3 4" xfId="19062"/>
    <cellStyle name="Normal 3 8 3 2 6 3 4 2" xfId="19063"/>
    <cellStyle name="Normal 3 8 3 2 6 3 5" xfId="19064"/>
    <cellStyle name="Normal 3 8 3 2 6 4" xfId="19065"/>
    <cellStyle name="Normal 3 8 3 2 6 4 2" xfId="19066"/>
    <cellStyle name="Normal 3 8 3 2 6 4 2 2" xfId="19067"/>
    <cellStyle name="Normal 3 8 3 2 6 4 3" xfId="19068"/>
    <cellStyle name="Normal 3 8 3 2 6 4 3 2" xfId="19069"/>
    <cellStyle name="Normal 3 8 3 2 6 4 4" xfId="19070"/>
    <cellStyle name="Normal 3 8 3 2 6 4 4 2" xfId="19071"/>
    <cellStyle name="Normal 3 8 3 2 6 4 5" xfId="19072"/>
    <cellStyle name="Normal 3 8 3 2 6 5" xfId="19073"/>
    <cellStyle name="Normal 3 8 3 2 6 5 2" xfId="19074"/>
    <cellStyle name="Normal 3 8 3 2 6 6" xfId="19075"/>
    <cellStyle name="Normal 3 8 3 2 6 6 2" xfId="19076"/>
    <cellStyle name="Normal 3 8 3 2 6 7" xfId="19077"/>
    <cellStyle name="Normal 3 8 3 2 6 7 2" xfId="19078"/>
    <cellStyle name="Normal 3 8 3 2 6 8" xfId="19079"/>
    <cellStyle name="Normal 3 8 3 2 7" xfId="19080"/>
    <cellStyle name="Normal 3 8 3 2 7 2" xfId="19081"/>
    <cellStyle name="Normal 3 8 3 2 7 2 2" xfId="19082"/>
    <cellStyle name="Normal 3 8 3 2 7 2 2 2" xfId="19083"/>
    <cellStyle name="Normal 3 8 3 2 7 2 3" xfId="19084"/>
    <cellStyle name="Normal 3 8 3 2 7 2 3 2" xfId="19085"/>
    <cellStyle name="Normal 3 8 3 2 7 2 4" xfId="19086"/>
    <cellStyle name="Normal 3 8 3 2 7 2 4 2" xfId="19087"/>
    <cellStyle name="Normal 3 8 3 2 7 2 5" xfId="19088"/>
    <cellStyle name="Normal 3 8 3 2 7 3" xfId="19089"/>
    <cellStyle name="Normal 3 8 3 2 7 3 2" xfId="19090"/>
    <cellStyle name="Normal 3 8 3 2 7 3 2 2" xfId="19091"/>
    <cellStyle name="Normal 3 8 3 2 7 3 3" xfId="19092"/>
    <cellStyle name="Normal 3 8 3 2 7 3 3 2" xfId="19093"/>
    <cellStyle name="Normal 3 8 3 2 7 3 4" xfId="19094"/>
    <cellStyle name="Normal 3 8 3 2 7 3 4 2" xfId="19095"/>
    <cellStyle name="Normal 3 8 3 2 7 3 5" xfId="19096"/>
    <cellStyle name="Normal 3 8 3 2 7 4" xfId="19097"/>
    <cellStyle name="Normal 3 8 3 2 7 4 2" xfId="19098"/>
    <cellStyle name="Normal 3 8 3 2 7 5" xfId="19099"/>
    <cellStyle name="Normal 3 8 3 2 7 5 2" xfId="19100"/>
    <cellStyle name="Normal 3 8 3 2 7 6" xfId="19101"/>
    <cellStyle name="Normal 3 8 3 2 7 6 2" xfId="19102"/>
    <cellStyle name="Normal 3 8 3 2 7 7" xfId="19103"/>
    <cellStyle name="Normal 3 8 3 2 8" xfId="19104"/>
    <cellStyle name="Normal 3 8 3 2 8 2" xfId="19105"/>
    <cellStyle name="Normal 3 8 3 2 8 2 2" xfId="19106"/>
    <cellStyle name="Normal 3 8 3 2 8 3" xfId="19107"/>
    <cellStyle name="Normal 3 8 3 2 8 3 2" xfId="19108"/>
    <cellStyle name="Normal 3 8 3 2 8 4" xfId="19109"/>
    <cellStyle name="Normal 3 8 3 2 8 4 2" xfId="19110"/>
    <cellStyle name="Normal 3 8 3 2 8 5" xfId="19111"/>
    <cellStyle name="Normal 3 8 3 2 9" xfId="19112"/>
    <cellStyle name="Normal 3 8 3 2 9 2" xfId="19113"/>
    <cellStyle name="Normal 3 8 3 2 9 2 2" xfId="19114"/>
    <cellStyle name="Normal 3 8 3 2 9 3" xfId="19115"/>
    <cellStyle name="Normal 3 8 3 2 9 3 2" xfId="19116"/>
    <cellStyle name="Normal 3 8 3 2 9 4" xfId="19117"/>
    <cellStyle name="Normal 3 8 3 2 9 4 2" xfId="19118"/>
    <cellStyle name="Normal 3 8 3 2 9 5" xfId="19119"/>
    <cellStyle name="Normal 3 8 3 3" xfId="19120"/>
    <cellStyle name="Normal 3 8 3 3 2" xfId="19121"/>
    <cellStyle name="Normal 3 8 3 3 2 2" xfId="19122"/>
    <cellStyle name="Normal 3 8 3 3 2 2 2" xfId="19123"/>
    <cellStyle name="Normal 3 8 3 3 2 2 2 2" xfId="19124"/>
    <cellStyle name="Normal 3 8 3 3 2 2 3" xfId="19125"/>
    <cellStyle name="Normal 3 8 3 3 2 2 3 2" xfId="19126"/>
    <cellStyle name="Normal 3 8 3 3 2 2 4" xfId="19127"/>
    <cellStyle name="Normal 3 8 3 3 2 2 4 2" xfId="19128"/>
    <cellStyle name="Normal 3 8 3 3 2 2 5" xfId="19129"/>
    <cellStyle name="Normal 3 8 3 3 2 3" xfId="19130"/>
    <cellStyle name="Normal 3 8 3 3 2 3 2" xfId="19131"/>
    <cellStyle name="Normal 3 8 3 3 2 3 2 2" xfId="19132"/>
    <cellStyle name="Normal 3 8 3 3 2 3 3" xfId="19133"/>
    <cellStyle name="Normal 3 8 3 3 2 3 3 2" xfId="19134"/>
    <cellStyle name="Normal 3 8 3 3 2 3 4" xfId="19135"/>
    <cellStyle name="Normal 3 8 3 3 2 3 4 2" xfId="19136"/>
    <cellStyle name="Normal 3 8 3 3 2 3 5" xfId="19137"/>
    <cellStyle name="Normal 3 8 3 3 2 4" xfId="19138"/>
    <cellStyle name="Normal 3 8 3 3 2 4 2" xfId="19139"/>
    <cellStyle name="Normal 3 8 3 3 2 5" xfId="19140"/>
    <cellStyle name="Normal 3 8 3 3 2 5 2" xfId="19141"/>
    <cellStyle name="Normal 3 8 3 3 2 6" xfId="19142"/>
    <cellStyle name="Normal 3 8 3 3 2 6 2" xfId="19143"/>
    <cellStyle name="Normal 3 8 3 3 2 7" xfId="19144"/>
    <cellStyle name="Normal 3 8 3 3 3" xfId="19145"/>
    <cellStyle name="Normal 3 8 3 3 3 2" xfId="19146"/>
    <cellStyle name="Normal 3 8 3 3 3 2 2" xfId="19147"/>
    <cellStyle name="Normal 3 8 3 3 3 3" xfId="19148"/>
    <cellStyle name="Normal 3 8 3 3 3 3 2" xfId="19149"/>
    <cellStyle name="Normal 3 8 3 3 3 4" xfId="19150"/>
    <cellStyle name="Normal 3 8 3 3 3 4 2" xfId="19151"/>
    <cellStyle name="Normal 3 8 3 3 3 5" xfId="19152"/>
    <cellStyle name="Normal 3 8 3 3 4" xfId="19153"/>
    <cellStyle name="Normal 3 8 3 3 4 2" xfId="19154"/>
    <cellStyle name="Normal 3 8 3 3 4 2 2" xfId="19155"/>
    <cellStyle name="Normal 3 8 3 3 4 3" xfId="19156"/>
    <cellStyle name="Normal 3 8 3 3 4 3 2" xfId="19157"/>
    <cellStyle name="Normal 3 8 3 3 4 4" xfId="19158"/>
    <cellStyle name="Normal 3 8 3 3 4 4 2" xfId="19159"/>
    <cellStyle name="Normal 3 8 3 3 4 5" xfId="19160"/>
    <cellStyle name="Normal 3 8 3 3 5" xfId="19161"/>
    <cellStyle name="Normal 3 8 3 3 5 2" xfId="19162"/>
    <cellStyle name="Normal 3 8 3 3 6" xfId="19163"/>
    <cellStyle name="Normal 3 8 3 3 6 2" xfId="19164"/>
    <cellStyle name="Normal 3 8 3 3 7" xfId="19165"/>
    <cellStyle name="Normal 3 8 3 3 7 2" xfId="19166"/>
    <cellStyle name="Normal 3 8 3 3 8" xfId="19167"/>
    <cellStyle name="Normal 3 8 3 4" xfId="19168"/>
    <cellStyle name="Normal 3 8 3 4 2" xfId="19169"/>
    <cellStyle name="Normal 3 8 3 4 2 2" xfId="19170"/>
    <cellStyle name="Normal 3 8 3 4 2 2 2" xfId="19171"/>
    <cellStyle name="Normal 3 8 3 4 2 2 2 2" xfId="19172"/>
    <cellStyle name="Normal 3 8 3 4 2 2 3" xfId="19173"/>
    <cellStyle name="Normal 3 8 3 4 2 2 3 2" xfId="19174"/>
    <cellStyle name="Normal 3 8 3 4 2 2 4" xfId="19175"/>
    <cellStyle name="Normal 3 8 3 4 2 2 4 2" xfId="19176"/>
    <cellStyle name="Normal 3 8 3 4 2 2 5" xfId="19177"/>
    <cellStyle name="Normal 3 8 3 4 2 3" xfId="19178"/>
    <cellStyle name="Normal 3 8 3 4 2 3 2" xfId="19179"/>
    <cellStyle name="Normal 3 8 3 4 2 3 2 2" xfId="19180"/>
    <cellStyle name="Normal 3 8 3 4 2 3 3" xfId="19181"/>
    <cellStyle name="Normal 3 8 3 4 2 3 3 2" xfId="19182"/>
    <cellStyle name="Normal 3 8 3 4 2 3 4" xfId="19183"/>
    <cellStyle name="Normal 3 8 3 4 2 3 4 2" xfId="19184"/>
    <cellStyle name="Normal 3 8 3 4 2 3 5" xfId="19185"/>
    <cellStyle name="Normal 3 8 3 4 2 4" xfId="19186"/>
    <cellStyle name="Normal 3 8 3 4 2 4 2" xfId="19187"/>
    <cellStyle name="Normal 3 8 3 4 2 5" xfId="19188"/>
    <cellStyle name="Normal 3 8 3 4 2 5 2" xfId="19189"/>
    <cellStyle name="Normal 3 8 3 4 2 6" xfId="19190"/>
    <cellStyle name="Normal 3 8 3 4 2 6 2" xfId="19191"/>
    <cellStyle name="Normal 3 8 3 4 2 7" xfId="19192"/>
    <cellStyle name="Normal 3 8 3 4 3" xfId="19193"/>
    <cellStyle name="Normal 3 8 3 4 3 2" xfId="19194"/>
    <cellStyle name="Normal 3 8 3 4 3 2 2" xfId="19195"/>
    <cellStyle name="Normal 3 8 3 4 3 3" xfId="19196"/>
    <cellStyle name="Normal 3 8 3 4 3 3 2" xfId="19197"/>
    <cellStyle name="Normal 3 8 3 4 3 4" xfId="19198"/>
    <cellStyle name="Normal 3 8 3 4 3 4 2" xfId="19199"/>
    <cellStyle name="Normal 3 8 3 4 3 5" xfId="19200"/>
    <cellStyle name="Normal 3 8 3 4 4" xfId="19201"/>
    <cellStyle name="Normal 3 8 3 4 4 2" xfId="19202"/>
    <cellStyle name="Normal 3 8 3 4 4 2 2" xfId="19203"/>
    <cellStyle name="Normal 3 8 3 4 4 3" xfId="19204"/>
    <cellStyle name="Normal 3 8 3 4 4 3 2" xfId="19205"/>
    <cellStyle name="Normal 3 8 3 4 4 4" xfId="19206"/>
    <cellStyle name="Normal 3 8 3 4 4 4 2" xfId="19207"/>
    <cellStyle name="Normal 3 8 3 4 4 5" xfId="19208"/>
    <cellStyle name="Normal 3 8 3 4 5" xfId="19209"/>
    <cellStyle name="Normal 3 8 3 4 5 2" xfId="19210"/>
    <cellStyle name="Normal 3 8 3 4 6" xfId="19211"/>
    <cellStyle name="Normal 3 8 3 4 6 2" xfId="19212"/>
    <cellStyle name="Normal 3 8 3 4 7" xfId="19213"/>
    <cellStyle name="Normal 3 8 3 4 7 2" xfId="19214"/>
    <cellStyle name="Normal 3 8 3 4 8" xfId="19215"/>
    <cellStyle name="Normal 3 8 3 5" xfId="19216"/>
    <cellStyle name="Normal 3 8 3 5 2" xfId="19217"/>
    <cellStyle name="Normal 3 8 3 5 2 2" xfId="19218"/>
    <cellStyle name="Normal 3 8 3 5 2 2 2" xfId="19219"/>
    <cellStyle name="Normal 3 8 3 5 2 2 2 2" xfId="19220"/>
    <cellStyle name="Normal 3 8 3 5 2 2 3" xfId="19221"/>
    <cellStyle name="Normal 3 8 3 5 2 2 3 2" xfId="19222"/>
    <cellStyle name="Normal 3 8 3 5 2 2 4" xfId="19223"/>
    <cellStyle name="Normal 3 8 3 5 2 2 4 2" xfId="19224"/>
    <cellStyle name="Normal 3 8 3 5 2 2 5" xfId="19225"/>
    <cellStyle name="Normal 3 8 3 5 2 3" xfId="19226"/>
    <cellStyle name="Normal 3 8 3 5 2 3 2" xfId="19227"/>
    <cellStyle name="Normal 3 8 3 5 2 3 2 2" xfId="19228"/>
    <cellStyle name="Normal 3 8 3 5 2 3 3" xfId="19229"/>
    <cellStyle name="Normal 3 8 3 5 2 3 3 2" xfId="19230"/>
    <cellStyle name="Normal 3 8 3 5 2 3 4" xfId="19231"/>
    <cellStyle name="Normal 3 8 3 5 2 3 4 2" xfId="19232"/>
    <cellStyle name="Normal 3 8 3 5 2 3 5" xfId="19233"/>
    <cellStyle name="Normal 3 8 3 5 2 4" xfId="19234"/>
    <cellStyle name="Normal 3 8 3 5 2 4 2" xfId="19235"/>
    <cellStyle name="Normal 3 8 3 5 2 5" xfId="19236"/>
    <cellStyle name="Normal 3 8 3 5 2 5 2" xfId="19237"/>
    <cellStyle name="Normal 3 8 3 5 2 6" xfId="19238"/>
    <cellStyle name="Normal 3 8 3 5 2 6 2" xfId="19239"/>
    <cellStyle name="Normal 3 8 3 5 2 7" xfId="19240"/>
    <cellStyle name="Normal 3 8 3 5 3" xfId="19241"/>
    <cellStyle name="Normal 3 8 3 5 3 2" xfId="19242"/>
    <cellStyle name="Normal 3 8 3 5 3 2 2" xfId="19243"/>
    <cellStyle name="Normal 3 8 3 5 3 3" xfId="19244"/>
    <cellStyle name="Normal 3 8 3 5 3 3 2" xfId="19245"/>
    <cellStyle name="Normal 3 8 3 5 3 4" xfId="19246"/>
    <cellStyle name="Normal 3 8 3 5 3 4 2" xfId="19247"/>
    <cellStyle name="Normal 3 8 3 5 3 5" xfId="19248"/>
    <cellStyle name="Normal 3 8 3 5 4" xfId="19249"/>
    <cellStyle name="Normal 3 8 3 5 4 2" xfId="19250"/>
    <cellStyle name="Normal 3 8 3 5 4 2 2" xfId="19251"/>
    <cellStyle name="Normal 3 8 3 5 4 3" xfId="19252"/>
    <cellStyle name="Normal 3 8 3 5 4 3 2" xfId="19253"/>
    <cellStyle name="Normal 3 8 3 5 4 4" xfId="19254"/>
    <cellStyle name="Normal 3 8 3 5 4 4 2" xfId="19255"/>
    <cellStyle name="Normal 3 8 3 5 4 5" xfId="19256"/>
    <cellStyle name="Normal 3 8 3 5 5" xfId="19257"/>
    <cellStyle name="Normal 3 8 3 5 5 2" xfId="19258"/>
    <cellStyle name="Normal 3 8 3 5 6" xfId="19259"/>
    <cellStyle name="Normal 3 8 3 5 6 2" xfId="19260"/>
    <cellStyle name="Normal 3 8 3 5 7" xfId="19261"/>
    <cellStyle name="Normal 3 8 3 5 7 2" xfId="19262"/>
    <cellStyle name="Normal 3 8 3 5 8" xfId="19263"/>
    <cellStyle name="Normal 3 8 3 6" xfId="19264"/>
    <cellStyle name="Normal 3 8 3 6 2" xfId="19265"/>
    <cellStyle name="Normal 3 8 3 6 2 2" xfId="19266"/>
    <cellStyle name="Normal 3 8 3 6 2 2 2" xfId="19267"/>
    <cellStyle name="Normal 3 8 3 6 2 2 2 2" xfId="19268"/>
    <cellStyle name="Normal 3 8 3 6 2 2 3" xfId="19269"/>
    <cellStyle name="Normal 3 8 3 6 2 2 3 2" xfId="19270"/>
    <cellStyle name="Normal 3 8 3 6 2 2 4" xfId="19271"/>
    <cellStyle name="Normal 3 8 3 6 2 2 4 2" xfId="19272"/>
    <cellStyle name="Normal 3 8 3 6 2 2 5" xfId="19273"/>
    <cellStyle name="Normal 3 8 3 6 2 3" xfId="19274"/>
    <cellStyle name="Normal 3 8 3 6 2 3 2" xfId="19275"/>
    <cellStyle name="Normal 3 8 3 6 2 3 2 2" xfId="19276"/>
    <cellStyle name="Normal 3 8 3 6 2 3 3" xfId="19277"/>
    <cellStyle name="Normal 3 8 3 6 2 3 3 2" xfId="19278"/>
    <cellStyle name="Normal 3 8 3 6 2 3 4" xfId="19279"/>
    <cellStyle name="Normal 3 8 3 6 2 3 4 2" xfId="19280"/>
    <cellStyle name="Normal 3 8 3 6 2 3 5" xfId="19281"/>
    <cellStyle name="Normal 3 8 3 6 2 4" xfId="19282"/>
    <cellStyle name="Normal 3 8 3 6 2 4 2" xfId="19283"/>
    <cellStyle name="Normal 3 8 3 6 2 5" xfId="19284"/>
    <cellStyle name="Normal 3 8 3 6 2 5 2" xfId="19285"/>
    <cellStyle name="Normal 3 8 3 6 2 6" xfId="19286"/>
    <cellStyle name="Normal 3 8 3 6 2 6 2" xfId="19287"/>
    <cellStyle name="Normal 3 8 3 6 2 7" xfId="19288"/>
    <cellStyle name="Normal 3 8 3 6 3" xfId="19289"/>
    <cellStyle name="Normal 3 8 3 6 3 2" xfId="19290"/>
    <cellStyle name="Normal 3 8 3 6 3 2 2" xfId="19291"/>
    <cellStyle name="Normal 3 8 3 6 3 3" xfId="19292"/>
    <cellStyle name="Normal 3 8 3 6 3 3 2" xfId="19293"/>
    <cellStyle name="Normal 3 8 3 6 3 4" xfId="19294"/>
    <cellStyle name="Normal 3 8 3 6 3 4 2" xfId="19295"/>
    <cellStyle name="Normal 3 8 3 6 3 5" xfId="19296"/>
    <cellStyle name="Normal 3 8 3 6 4" xfId="19297"/>
    <cellStyle name="Normal 3 8 3 6 4 2" xfId="19298"/>
    <cellStyle name="Normal 3 8 3 6 4 2 2" xfId="19299"/>
    <cellStyle name="Normal 3 8 3 6 4 3" xfId="19300"/>
    <cellStyle name="Normal 3 8 3 6 4 3 2" xfId="19301"/>
    <cellStyle name="Normal 3 8 3 6 4 4" xfId="19302"/>
    <cellStyle name="Normal 3 8 3 6 4 4 2" xfId="19303"/>
    <cellStyle name="Normal 3 8 3 6 4 5" xfId="19304"/>
    <cellStyle name="Normal 3 8 3 6 5" xfId="19305"/>
    <cellStyle name="Normal 3 8 3 6 5 2" xfId="19306"/>
    <cellStyle name="Normal 3 8 3 6 6" xfId="19307"/>
    <cellStyle name="Normal 3 8 3 6 6 2" xfId="19308"/>
    <cellStyle name="Normal 3 8 3 6 7" xfId="19309"/>
    <cellStyle name="Normal 3 8 3 6 7 2" xfId="19310"/>
    <cellStyle name="Normal 3 8 3 6 8" xfId="19311"/>
    <cellStyle name="Normal 3 8 3 7" xfId="19312"/>
    <cellStyle name="Normal 3 8 3 7 2" xfId="19313"/>
    <cellStyle name="Normal 3 8 3 7 2 2" xfId="19314"/>
    <cellStyle name="Normal 3 8 3 7 2 2 2" xfId="19315"/>
    <cellStyle name="Normal 3 8 3 7 2 2 2 2" xfId="19316"/>
    <cellStyle name="Normal 3 8 3 7 2 2 3" xfId="19317"/>
    <cellStyle name="Normal 3 8 3 7 2 2 3 2" xfId="19318"/>
    <cellStyle name="Normal 3 8 3 7 2 2 4" xfId="19319"/>
    <cellStyle name="Normal 3 8 3 7 2 2 4 2" xfId="19320"/>
    <cellStyle name="Normal 3 8 3 7 2 2 5" xfId="19321"/>
    <cellStyle name="Normal 3 8 3 7 2 3" xfId="19322"/>
    <cellStyle name="Normal 3 8 3 7 2 3 2" xfId="19323"/>
    <cellStyle name="Normal 3 8 3 7 2 3 2 2" xfId="19324"/>
    <cellStyle name="Normal 3 8 3 7 2 3 3" xfId="19325"/>
    <cellStyle name="Normal 3 8 3 7 2 3 3 2" xfId="19326"/>
    <cellStyle name="Normal 3 8 3 7 2 3 4" xfId="19327"/>
    <cellStyle name="Normal 3 8 3 7 2 3 4 2" xfId="19328"/>
    <cellStyle name="Normal 3 8 3 7 2 3 5" xfId="19329"/>
    <cellStyle name="Normal 3 8 3 7 2 4" xfId="19330"/>
    <cellStyle name="Normal 3 8 3 7 2 4 2" xfId="19331"/>
    <cellStyle name="Normal 3 8 3 7 2 5" xfId="19332"/>
    <cellStyle name="Normal 3 8 3 7 2 5 2" xfId="19333"/>
    <cellStyle name="Normal 3 8 3 7 2 6" xfId="19334"/>
    <cellStyle name="Normal 3 8 3 7 2 6 2" xfId="19335"/>
    <cellStyle name="Normal 3 8 3 7 2 7" xfId="19336"/>
    <cellStyle name="Normal 3 8 3 7 3" xfId="19337"/>
    <cellStyle name="Normal 3 8 3 7 3 2" xfId="19338"/>
    <cellStyle name="Normal 3 8 3 7 3 2 2" xfId="19339"/>
    <cellStyle name="Normal 3 8 3 7 3 3" xfId="19340"/>
    <cellStyle name="Normal 3 8 3 7 3 3 2" xfId="19341"/>
    <cellStyle name="Normal 3 8 3 7 3 4" xfId="19342"/>
    <cellStyle name="Normal 3 8 3 7 3 4 2" xfId="19343"/>
    <cellStyle name="Normal 3 8 3 7 3 5" xfId="19344"/>
    <cellStyle name="Normal 3 8 3 7 4" xfId="19345"/>
    <cellStyle name="Normal 3 8 3 7 4 2" xfId="19346"/>
    <cellStyle name="Normal 3 8 3 7 4 2 2" xfId="19347"/>
    <cellStyle name="Normal 3 8 3 7 4 3" xfId="19348"/>
    <cellStyle name="Normal 3 8 3 7 4 3 2" xfId="19349"/>
    <cellStyle name="Normal 3 8 3 7 4 4" xfId="19350"/>
    <cellStyle name="Normal 3 8 3 7 4 4 2" xfId="19351"/>
    <cellStyle name="Normal 3 8 3 7 4 5" xfId="19352"/>
    <cellStyle name="Normal 3 8 3 7 5" xfId="19353"/>
    <cellStyle name="Normal 3 8 3 7 5 2" xfId="19354"/>
    <cellStyle name="Normal 3 8 3 7 6" xfId="19355"/>
    <cellStyle name="Normal 3 8 3 7 6 2" xfId="19356"/>
    <cellStyle name="Normal 3 8 3 7 7" xfId="19357"/>
    <cellStyle name="Normal 3 8 3 7 7 2" xfId="19358"/>
    <cellStyle name="Normal 3 8 3 7 8" xfId="19359"/>
    <cellStyle name="Normal 3 8 3 8" xfId="19360"/>
    <cellStyle name="Normal 3 8 3 8 2" xfId="19361"/>
    <cellStyle name="Normal 3 8 3 8 2 2" xfId="19362"/>
    <cellStyle name="Normal 3 8 3 8 2 2 2" xfId="19363"/>
    <cellStyle name="Normal 3 8 3 8 2 3" xfId="19364"/>
    <cellStyle name="Normal 3 8 3 8 2 3 2" xfId="19365"/>
    <cellStyle name="Normal 3 8 3 8 2 4" xfId="19366"/>
    <cellStyle name="Normal 3 8 3 8 2 4 2" xfId="19367"/>
    <cellStyle name="Normal 3 8 3 8 2 5" xfId="19368"/>
    <cellStyle name="Normal 3 8 3 8 3" xfId="19369"/>
    <cellStyle name="Normal 3 8 3 8 3 2" xfId="19370"/>
    <cellStyle name="Normal 3 8 3 8 3 2 2" xfId="19371"/>
    <cellStyle name="Normal 3 8 3 8 3 3" xfId="19372"/>
    <cellStyle name="Normal 3 8 3 8 3 3 2" xfId="19373"/>
    <cellStyle name="Normal 3 8 3 8 3 4" xfId="19374"/>
    <cellStyle name="Normal 3 8 3 8 3 4 2" xfId="19375"/>
    <cellStyle name="Normal 3 8 3 8 3 5" xfId="19376"/>
    <cellStyle name="Normal 3 8 3 8 4" xfId="19377"/>
    <cellStyle name="Normal 3 8 3 8 4 2" xfId="19378"/>
    <cellStyle name="Normal 3 8 3 8 5" xfId="19379"/>
    <cellStyle name="Normal 3 8 3 8 5 2" xfId="19380"/>
    <cellStyle name="Normal 3 8 3 8 6" xfId="19381"/>
    <cellStyle name="Normal 3 8 3 8 6 2" xfId="19382"/>
    <cellStyle name="Normal 3 8 3 8 7" xfId="19383"/>
    <cellStyle name="Normal 3 8 3 9" xfId="19384"/>
    <cellStyle name="Normal 3 8 3 9 2" xfId="19385"/>
    <cellStyle name="Normal 3 8 3 9 2 2" xfId="19386"/>
    <cellStyle name="Normal 3 8 3 9 3" xfId="19387"/>
    <cellStyle name="Normal 3 8 3 9 3 2" xfId="19388"/>
    <cellStyle name="Normal 3 8 3 9 4" xfId="19389"/>
    <cellStyle name="Normal 3 8 3 9 4 2" xfId="19390"/>
    <cellStyle name="Normal 3 8 3 9 5" xfId="19391"/>
    <cellStyle name="Normal 3 8 4" xfId="19392"/>
    <cellStyle name="Normal 3 8 4 10" xfId="19393"/>
    <cellStyle name="Normal 3 8 4 10 2" xfId="19394"/>
    <cellStyle name="Normal 3 8 4 10 2 2" xfId="19395"/>
    <cellStyle name="Normal 3 8 4 10 3" xfId="19396"/>
    <cellStyle name="Normal 3 8 4 10 3 2" xfId="19397"/>
    <cellStyle name="Normal 3 8 4 10 4" xfId="19398"/>
    <cellStyle name="Normal 3 8 4 10 4 2" xfId="19399"/>
    <cellStyle name="Normal 3 8 4 10 5" xfId="19400"/>
    <cellStyle name="Normal 3 8 4 11" xfId="19401"/>
    <cellStyle name="Normal 3 8 4 11 2" xfId="19402"/>
    <cellStyle name="Normal 3 8 4 12" xfId="19403"/>
    <cellStyle name="Normal 3 8 4 12 2" xfId="19404"/>
    <cellStyle name="Normal 3 8 4 13" xfId="19405"/>
    <cellStyle name="Normal 3 8 4 13 2" xfId="19406"/>
    <cellStyle name="Normal 3 8 4 14" xfId="19407"/>
    <cellStyle name="Normal 3 8 4 2" xfId="19408"/>
    <cellStyle name="Normal 3 8 4 2 10" xfId="19409"/>
    <cellStyle name="Normal 3 8 4 2 10 2" xfId="19410"/>
    <cellStyle name="Normal 3 8 4 2 11" xfId="19411"/>
    <cellStyle name="Normal 3 8 4 2 11 2" xfId="19412"/>
    <cellStyle name="Normal 3 8 4 2 12" xfId="19413"/>
    <cellStyle name="Normal 3 8 4 2 12 2" xfId="19414"/>
    <cellStyle name="Normal 3 8 4 2 13" xfId="19415"/>
    <cellStyle name="Normal 3 8 4 2 2" xfId="19416"/>
    <cellStyle name="Normal 3 8 4 2 2 2" xfId="19417"/>
    <cellStyle name="Normal 3 8 4 2 2 2 2" xfId="19418"/>
    <cellStyle name="Normal 3 8 4 2 2 2 2 2" xfId="19419"/>
    <cellStyle name="Normal 3 8 4 2 2 2 2 2 2" xfId="19420"/>
    <cellStyle name="Normal 3 8 4 2 2 2 2 3" xfId="19421"/>
    <cellStyle name="Normal 3 8 4 2 2 2 2 3 2" xfId="19422"/>
    <cellStyle name="Normal 3 8 4 2 2 2 2 4" xfId="19423"/>
    <cellStyle name="Normal 3 8 4 2 2 2 2 4 2" xfId="19424"/>
    <cellStyle name="Normal 3 8 4 2 2 2 2 5" xfId="19425"/>
    <cellStyle name="Normal 3 8 4 2 2 2 3" xfId="19426"/>
    <cellStyle name="Normal 3 8 4 2 2 2 3 2" xfId="19427"/>
    <cellStyle name="Normal 3 8 4 2 2 2 3 2 2" xfId="19428"/>
    <cellStyle name="Normal 3 8 4 2 2 2 3 3" xfId="19429"/>
    <cellStyle name="Normal 3 8 4 2 2 2 3 3 2" xfId="19430"/>
    <cellStyle name="Normal 3 8 4 2 2 2 3 4" xfId="19431"/>
    <cellStyle name="Normal 3 8 4 2 2 2 3 4 2" xfId="19432"/>
    <cellStyle name="Normal 3 8 4 2 2 2 3 5" xfId="19433"/>
    <cellStyle name="Normal 3 8 4 2 2 2 4" xfId="19434"/>
    <cellStyle name="Normal 3 8 4 2 2 2 4 2" xfId="19435"/>
    <cellStyle name="Normal 3 8 4 2 2 2 5" xfId="19436"/>
    <cellStyle name="Normal 3 8 4 2 2 2 5 2" xfId="19437"/>
    <cellStyle name="Normal 3 8 4 2 2 2 6" xfId="19438"/>
    <cellStyle name="Normal 3 8 4 2 2 2 6 2" xfId="19439"/>
    <cellStyle name="Normal 3 8 4 2 2 2 7" xfId="19440"/>
    <cellStyle name="Normal 3 8 4 2 2 3" xfId="19441"/>
    <cellStyle name="Normal 3 8 4 2 2 3 2" xfId="19442"/>
    <cellStyle name="Normal 3 8 4 2 2 3 2 2" xfId="19443"/>
    <cellStyle name="Normal 3 8 4 2 2 3 3" xfId="19444"/>
    <cellStyle name="Normal 3 8 4 2 2 3 3 2" xfId="19445"/>
    <cellStyle name="Normal 3 8 4 2 2 3 4" xfId="19446"/>
    <cellStyle name="Normal 3 8 4 2 2 3 4 2" xfId="19447"/>
    <cellStyle name="Normal 3 8 4 2 2 3 5" xfId="19448"/>
    <cellStyle name="Normal 3 8 4 2 2 4" xfId="19449"/>
    <cellStyle name="Normal 3 8 4 2 2 4 2" xfId="19450"/>
    <cellStyle name="Normal 3 8 4 2 2 4 2 2" xfId="19451"/>
    <cellStyle name="Normal 3 8 4 2 2 4 3" xfId="19452"/>
    <cellStyle name="Normal 3 8 4 2 2 4 3 2" xfId="19453"/>
    <cellStyle name="Normal 3 8 4 2 2 4 4" xfId="19454"/>
    <cellStyle name="Normal 3 8 4 2 2 4 4 2" xfId="19455"/>
    <cellStyle name="Normal 3 8 4 2 2 4 5" xfId="19456"/>
    <cellStyle name="Normal 3 8 4 2 2 5" xfId="19457"/>
    <cellStyle name="Normal 3 8 4 2 2 5 2" xfId="19458"/>
    <cellStyle name="Normal 3 8 4 2 2 6" xfId="19459"/>
    <cellStyle name="Normal 3 8 4 2 2 6 2" xfId="19460"/>
    <cellStyle name="Normal 3 8 4 2 2 7" xfId="19461"/>
    <cellStyle name="Normal 3 8 4 2 2 7 2" xfId="19462"/>
    <cellStyle name="Normal 3 8 4 2 2 8" xfId="19463"/>
    <cellStyle name="Normal 3 8 4 2 3" xfId="19464"/>
    <cellStyle name="Normal 3 8 4 2 3 2" xfId="19465"/>
    <cellStyle name="Normal 3 8 4 2 3 2 2" xfId="19466"/>
    <cellStyle name="Normal 3 8 4 2 3 2 2 2" xfId="19467"/>
    <cellStyle name="Normal 3 8 4 2 3 2 2 2 2" xfId="19468"/>
    <cellStyle name="Normal 3 8 4 2 3 2 2 3" xfId="19469"/>
    <cellStyle name="Normal 3 8 4 2 3 2 2 3 2" xfId="19470"/>
    <cellStyle name="Normal 3 8 4 2 3 2 2 4" xfId="19471"/>
    <cellStyle name="Normal 3 8 4 2 3 2 2 4 2" xfId="19472"/>
    <cellStyle name="Normal 3 8 4 2 3 2 2 5" xfId="19473"/>
    <cellStyle name="Normal 3 8 4 2 3 2 3" xfId="19474"/>
    <cellStyle name="Normal 3 8 4 2 3 2 3 2" xfId="19475"/>
    <cellStyle name="Normal 3 8 4 2 3 2 3 2 2" xfId="19476"/>
    <cellStyle name="Normal 3 8 4 2 3 2 3 3" xfId="19477"/>
    <cellStyle name="Normal 3 8 4 2 3 2 3 3 2" xfId="19478"/>
    <cellStyle name="Normal 3 8 4 2 3 2 3 4" xfId="19479"/>
    <cellStyle name="Normal 3 8 4 2 3 2 3 4 2" xfId="19480"/>
    <cellStyle name="Normal 3 8 4 2 3 2 3 5" xfId="19481"/>
    <cellStyle name="Normal 3 8 4 2 3 2 4" xfId="19482"/>
    <cellStyle name="Normal 3 8 4 2 3 2 4 2" xfId="19483"/>
    <cellStyle name="Normal 3 8 4 2 3 2 5" xfId="19484"/>
    <cellStyle name="Normal 3 8 4 2 3 2 5 2" xfId="19485"/>
    <cellStyle name="Normal 3 8 4 2 3 2 6" xfId="19486"/>
    <cellStyle name="Normal 3 8 4 2 3 2 6 2" xfId="19487"/>
    <cellStyle name="Normal 3 8 4 2 3 2 7" xfId="19488"/>
    <cellStyle name="Normal 3 8 4 2 3 3" xfId="19489"/>
    <cellStyle name="Normal 3 8 4 2 3 3 2" xfId="19490"/>
    <cellStyle name="Normal 3 8 4 2 3 3 2 2" xfId="19491"/>
    <cellStyle name="Normal 3 8 4 2 3 3 3" xfId="19492"/>
    <cellStyle name="Normal 3 8 4 2 3 3 3 2" xfId="19493"/>
    <cellStyle name="Normal 3 8 4 2 3 3 4" xfId="19494"/>
    <cellStyle name="Normal 3 8 4 2 3 3 4 2" xfId="19495"/>
    <cellStyle name="Normal 3 8 4 2 3 3 5" xfId="19496"/>
    <cellStyle name="Normal 3 8 4 2 3 4" xfId="19497"/>
    <cellStyle name="Normal 3 8 4 2 3 4 2" xfId="19498"/>
    <cellStyle name="Normal 3 8 4 2 3 4 2 2" xfId="19499"/>
    <cellStyle name="Normal 3 8 4 2 3 4 3" xfId="19500"/>
    <cellStyle name="Normal 3 8 4 2 3 4 3 2" xfId="19501"/>
    <cellStyle name="Normal 3 8 4 2 3 4 4" xfId="19502"/>
    <cellStyle name="Normal 3 8 4 2 3 4 4 2" xfId="19503"/>
    <cellStyle name="Normal 3 8 4 2 3 4 5" xfId="19504"/>
    <cellStyle name="Normal 3 8 4 2 3 5" xfId="19505"/>
    <cellStyle name="Normal 3 8 4 2 3 5 2" xfId="19506"/>
    <cellStyle name="Normal 3 8 4 2 3 6" xfId="19507"/>
    <cellStyle name="Normal 3 8 4 2 3 6 2" xfId="19508"/>
    <cellStyle name="Normal 3 8 4 2 3 7" xfId="19509"/>
    <cellStyle name="Normal 3 8 4 2 3 7 2" xfId="19510"/>
    <cellStyle name="Normal 3 8 4 2 3 8" xfId="19511"/>
    <cellStyle name="Normal 3 8 4 2 4" xfId="19512"/>
    <cellStyle name="Normal 3 8 4 2 4 2" xfId="19513"/>
    <cellStyle name="Normal 3 8 4 2 4 2 2" xfId="19514"/>
    <cellStyle name="Normal 3 8 4 2 4 2 2 2" xfId="19515"/>
    <cellStyle name="Normal 3 8 4 2 4 2 2 2 2" xfId="19516"/>
    <cellStyle name="Normal 3 8 4 2 4 2 2 3" xfId="19517"/>
    <cellStyle name="Normal 3 8 4 2 4 2 2 3 2" xfId="19518"/>
    <cellStyle name="Normal 3 8 4 2 4 2 2 4" xfId="19519"/>
    <cellStyle name="Normal 3 8 4 2 4 2 2 4 2" xfId="19520"/>
    <cellStyle name="Normal 3 8 4 2 4 2 2 5" xfId="19521"/>
    <cellStyle name="Normal 3 8 4 2 4 2 3" xfId="19522"/>
    <cellStyle name="Normal 3 8 4 2 4 2 3 2" xfId="19523"/>
    <cellStyle name="Normal 3 8 4 2 4 2 3 2 2" xfId="19524"/>
    <cellStyle name="Normal 3 8 4 2 4 2 3 3" xfId="19525"/>
    <cellStyle name="Normal 3 8 4 2 4 2 3 3 2" xfId="19526"/>
    <cellStyle name="Normal 3 8 4 2 4 2 3 4" xfId="19527"/>
    <cellStyle name="Normal 3 8 4 2 4 2 3 4 2" xfId="19528"/>
    <cellStyle name="Normal 3 8 4 2 4 2 3 5" xfId="19529"/>
    <cellStyle name="Normal 3 8 4 2 4 2 4" xfId="19530"/>
    <cellStyle name="Normal 3 8 4 2 4 2 4 2" xfId="19531"/>
    <cellStyle name="Normal 3 8 4 2 4 2 5" xfId="19532"/>
    <cellStyle name="Normal 3 8 4 2 4 2 5 2" xfId="19533"/>
    <cellStyle name="Normal 3 8 4 2 4 2 6" xfId="19534"/>
    <cellStyle name="Normal 3 8 4 2 4 2 6 2" xfId="19535"/>
    <cellStyle name="Normal 3 8 4 2 4 2 7" xfId="19536"/>
    <cellStyle name="Normal 3 8 4 2 4 3" xfId="19537"/>
    <cellStyle name="Normal 3 8 4 2 4 3 2" xfId="19538"/>
    <cellStyle name="Normal 3 8 4 2 4 3 2 2" xfId="19539"/>
    <cellStyle name="Normal 3 8 4 2 4 3 3" xfId="19540"/>
    <cellStyle name="Normal 3 8 4 2 4 3 3 2" xfId="19541"/>
    <cellStyle name="Normal 3 8 4 2 4 3 4" xfId="19542"/>
    <cellStyle name="Normal 3 8 4 2 4 3 4 2" xfId="19543"/>
    <cellStyle name="Normal 3 8 4 2 4 3 5" xfId="19544"/>
    <cellStyle name="Normal 3 8 4 2 4 4" xfId="19545"/>
    <cellStyle name="Normal 3 8 4 2 4 4 2" xfId="19546"/>
    <cellStyle name="Normal 3 8 4 2 4 4 2 2" xfId="19547"/>
    <cellStyle name="Normal 3 8 4 2 4 4 3" xfId="19548"/>
    <cellStyle name="Normal 3 8 4 2 4 4 3 2" xfId="19549"/>
    <cellStyle name="Normal 3 8 4 2 4 4 4" xfId="19550"/>
    <cellStyle name="Normal 3 8 4 2 4 4 4 2" xfId="19551"/>
    <cellStyle name="Normal 3 8 4 2 4 4 5" xfId="19552"/>
    <cellStyle name="Normal 3 8 4 2 4 5" xfId="19553"/>
    <cellStyle name="Normal 3 8 4 2 4 5 2" xfId="19554"/>
    <cellStyle name="Normal 3 8 4 2 4 6" xfId="19555"/>
    <cellStyle name="Normal 3 8 4 2 4 6 2" xfId="19556"/>
    <cellStyle name="Normal 3 8 4 2 4 7" xfId="19557"/>
    <cellStyle name="Normal 3 8 4 2 4 7 2" xfId="19558"/>
    <cellStyle name="Normal 3 8 4 2 4 8" xfId="19559"/>
    <cellStyle name="Normal 3 8 4 2 5" xfId="19560"/>
    <cellStyle name="Normal 3 8 4 2 5 2" xfId="19561"/>
    <cellStyle name="Normal 3 8 4 2 5 2 2" xfId="19562"/>
    <cellStyle name="Normal 3 8 4 2 5 2 2 2" xfId="19563"/>
    <cellStyle name="Normal 3 8 4 2 5 2 2 2 2" xfId="19564"/>
    <cellStyle name="Normal 3 8 4 2 5 2 2 3" xfId="19565"/>
    <cellStyle name="Normal 3 8 4 2 5 2 2 3 2" xfId="19566"/>
    <cellStyle name="Normal 3 8 4 2 5 2 2 4" xfId="19567"/>
    <cellStyle name="Normal 3 8 4 2 5 2 2 4 2" xfId="19568"/>
    <cellStyle name="Normal 3 8 4 2 5 2 2 5" xfId="19569"/>
    <cellStyle name="Normal 3 8 4 2 5 2 3" xfId="19570"/>
    <cellStyle name="Normal 3 8 4 2 5 2 3 2" xfId="19571"/>
    <cellStyle name="Normal 3 8 4 2 5 2 3 2 2" xfId="19572"/>
    <cellStyle name="Normal 3 8 4 2 5 2 3 3" xfId="19573"/>
    <cellStyle name="Normal 3 8 4 2 5 2 3 3 2" xfId="19574"/>
    <cellStyle name="Normal 3 8 4 2 5 2 3 4" xfId="19575"/>
    <cellStyle name="Normal 3 8 4 2 5 2 3 4 2" xfId="19576"/>
    <cellStyle name="Normal 3 8 4 2 5 2 3 5" xfId="19577"/>
    <cellStyle name="Normal 3 8 4 2 5 2 4" xfId="19578"/>
    <cellStyle name="Normal 3 8 4 2 5 2 4 2" xfId="19579"/>
    <cellStyle name="Normal 3 8 4 2 5 2 5" xfId="19580"/>
    <cellStyle name="Normal 3 8 4 2 5 2 5 2" xfId="19581"/>
    <cellStyle name="Normal 3 8 4 2 5 2 6" xfId="19582"/>
    <cellStyle name="Normal 3 8 4 2 5 2 6 2" xfId="19583"/>
    <cellStyle name="Normal 3 8 4 2 5 2 7" xfId="19584"/>
    <cellStyle name="Normal 3 8 4 2 5 3" xfId="19585"/>
    <cellStyle name="Normal 3 8 4 2 5 3 2" xfId="19586"/>
    <cellStyle name="Normal 3 8 4 2 5 3 2 2" xfId="19587"/>
    <cellStyle name="Normal 3 8 4 2 5 3 3" xfId="19588"/>
    <cellStyle name="Normal 3 8 4 2 5 3 3 2" xfId="19589"/>
    <cellStyle name="Normal 3 8 4 2 5 3 4" xfId="19590"/>
    <cellStyle name="Normal 3 8 4 2 5 3 4 2" xfId="19591"/>
    <cellStyle name="Normal 3 8 4 2 5 3 5" xfId="19592"/>
    <cellStyle name="Normal 3 8 4 2 5 4" xfId="19593"/>
    <cellStyle name="Normal 3 8 4 2 5 4 2" xfId="19594"/>
    <cellStyle name="Normal 3 8 4 2 5 4 2 2" xfId="19595"/>
    <cellStyle name="Normal 3 8 4 2 5 4 3" xfId="19596"/>
    <cellStyle name="Normal 3 8 4 2 5 4 3 2" xfId="19597"/>
    <cellStyle name="Normal 3 8 4 2 5 4 4" xfId="19598"/>
    <cellStyle name="Normal 3 8 4 2 5 4 4 2" xfId="19599"/>
    <cellStyle name="Normal 3 8 4 2 5 4 5" xfId="19600"/>
    <cellStyle name="Normal 3 8 4 2 5 5" xfId="19601"/>
    <cellStyle name="Normal 3 8 4 2 5 5 2" xfId="19602"/>
    <cellStyle name="Normal 3 8 4 2 5 6" xfId="19603"/>
    <cellStyle name="Normal 3 8 4 2 5 6 2" xfId="19604"/>
    <cellStyle name="Normal 3 8 4 2 5 7" xfId="19605"/>
    <cellStyle name="Normal 3 8 4 2 5 7 2" xfId="19606"/>
    <cellStyle name="Normal 3 8 4 2 5 8" xfId="19607"/>
    <cellStyle name="Normal 3 8 4 2 6" xfId="19608"/>
    <cellStyle name="Normal 3 8 4 2 6 2" xfId="19609"/>
    <cellStyle name="Normal 3 8 4 2 6 2 2" xfId="19610"/>
    <cellStyle name="Normal 3 8 4 2 6 2 2 2" xfId="19611"/>
    <cellStyle name="Normal 3 8 4 2 6 2 2 2 2" xfId="19612"/>
    <cellStyle name="Normal 3 8 4 2 6 2 2 3" xfId="19613"/>
    <cellStyle name="Normal 3 8 4 2 6 2 2 3 2" xfId="19614"/>
    <cellStyle name="Normal 3 8 4 2 6 2 2 4" xfId="19615"/>
    <cellStyle name="Normal 3 8 4 2 6 2 2 4 2" xfId="19616"/>
    <cellStyle name="Normal 3 8 4 2 6 2 2 5" xfId="19617"/>
    <cellStyle name="Normal 3 8 4 2 6 2 3" xfId="19618"/>
    <cellStyle name="Normal 3 8 4 2 6 2 3 2" xfId="19619"/>
    <cellStyle name="Normal 3 8 4 2 6 2 3 2 2" xfId="19620"/>
    <cellStyle name="Normal 3 8 4 2 6 2 3 3" xfId="19621"/>
    <cellStyle name="Normal 3 8 4 2 6 2 3 3 2" xfId="19622"/>
    <cellStyle name="Normal 3 8 4 2 6 2 3 4" xfId="19623"/>
    <cellStyle name="Normal 3 8 4 2 6 2 3 4 2" xfId="19624"/>
    <cellStyle name="Normal 3 8 4 2 6 2 3 5" xfId="19625"/>
    <cellStyle name="Normal 3 8 4 2 6 2 4" xfId="19626"/>
    <cellStyle name="Normal 3 8 4 2 6 2 4 2" xfId="19627"/>
    <cellStyle name="Normal 3 8 4 2 6 2 5" xfId="19628"/>
    <cellStyle name="Normal 3 8 4 2 6 2 5 2" xfId="19629"/>
    <cellStyle name="Normal 3 8 4 2 6 2 6" xfId="19630"/>
    <cellStyle name="Normal 3 8 4 2 6 2 6 2" xfId="19631"/>
    <cellStyle name="Normal 3 8 4 2 6 2 7" xfId="19632"/>
    <cellStyle name="Normal 3 8 4 2 6 3" xfId="19633"/>
    <cellStyle name="Normal 3 8 4 2 6 3 2" xfId="19634"/>
    <cellStyle name="Normal 3 8 4 2 6 3 2 2" xfId="19635"/>
    <cellStyle name="Normal 3 8 4 2 6 3 3" xfId="19636"/>
    <cellStyle name="Normal 3 8 4 2 6 3 3 2" xfId="19637"/>
    <cellStyle name="Normal 3 8 4 2 6 3 4" xfId="19638"/>
    <cellStyle name="Normal 3 8 4 2 6 3 4 2" xfId="19639"/>
    <cellStyle name="Normal 3 8 4 2 6 3 5" xfId="19640"/>
    <cellStyle name="Normal 3 8 4 2 6 4" xfId="19641"/>
    <cellStyle name="Normal 3 8 4 2 6 4 2" xfId="19642"/>
    <cellStyle name="Normal 3 8 4 2 6 4 2 2" xfId="19643"/>
    <cellStyle name="Normal 3 8 4 2 6 4 3" xfId="19644"/>
    <cellStyle name="Normal 3 8 4 2 6 4 3 2" xfId="19645"/>
    <cellStyle name="Normal 3 8 4 2 6 4 4" xfId="19646"/>
    <cellStyle name="Normal 3 8 4 2 6 4 4 2" xfId="19647"/>
    <cellStyle name="Normal 3 8 4 2 6 4 5" xfId="19648"/>
    <cellStyle name="Normal 3 8 4 2 6 5" xfId="19649"/>
    <cellStyle name="Normal 3 8 4 2 6 5 2" xfId="19650"/>
    <cellStyle name="Normal 3 8 4 2 6 6" xfId="19651"/>
    <cellStyle name="Normal 3 8 4 2 6 6 2" xfId="19652"/>
    <cellStyle name="Normal 3 8 4 2 6 7" xfId="19653"/>
    <cellStyle name="Normal 3 8 4 2 6 7 2" xfId="19654"/>
    <cellStyle name="Normal 3 8 4 2 6 8" xfId="19655"/>
    <cellStyle name="Normal 3 8 4 2 7" xfId="19656"/>
    <cellStyle name="Normal 3 8 4 2 7 2" xfId="19657"/>
    <cellStyle name="Normal 3 8 4 2 7 2 2" xfId="19658"/>
    <cellStyle name="Normal 3 8 4 2 7 2 2 2" xfId="19659"/>
    <cellStyle name="Normal 3 8 4 2 7 2 3" xfId="19660"/>
    <cellStyle name="Normal 3 8 4 2 7 2 3 2" xfId="19661"/>
    <cellStyle name="Normal 3 8 4 2 7 2 4" xfId="19662"/>
    <cellStyle name="Normal 3 8 4 2 7 2 4 2" xfId="19663"/>
    <cellStyle name="Normal 3 8 4 2 7 2 5" xfId="19664"/>
    <cellStyle name="Normal 3 8 4 2 7 3" xfId="19665"/>
    <cellStyle name="Normal 3 8 4 2 7 3 2" xfId="19666"/>
    <cellStyle name="Normal 3 8 4 2 7 3 2 2" xfId="19667"/>
    <cellStyle name="Normal 3 8 4 2 7 3 3" xfId="19668"/>
    <cellStyle name="Normal 3 8 4 2 7 3 3 2" xfId="19669"/>
    <cellStyle name="Normal 3 8 4 2 7 3 4" xfId="19670"/>
    <cellStyle name="Normal 3 8 4 2 7 3 4 2" xfId="19671"/>
    <cellStyle name="Normal 3 8 4 2 7 3 5" xfId="19672"/>
    <cellStyle name="Normal 3 8 4 2 7 4" xfId="19673"/>
    <cellStyle name="Normal 3 8 4 2 7 4 2" xfId="19674"/>
    <cellStyle name="Normal 3 8 4 2 7 5" xfId="19675"/>
    <cellStyle name="Normal 3 8 4 2 7 5 2" xfId="19676"/>
    <cellStyle name="Normal 3 8 4 2 7 6" xfId="19677"/>
    <cellStyle name="Normal 3 8 4 2 7 6 2" xfId="19678"/>
    <cellStyle name="Normal 3 8 4 2 7 7" xfId="19679"/>
    <cellStyle name="Normal 3 8 4 2 8" xfId="19680"/>
    <cellStyle name="Normal 3 8 4 2 8 2" xfId="19681"/>
    <cellStyle name="Normal 3 8 4 2 8 2 2" xfId="19682"/>
    <cellStyle name="Normal 3 8 4 2 8 3" xfId="19683"/>
    <cellStyle name="Normal 3 8 4 2 8 3 2" xfId="19684"/>
    <cellStyle name="Normal 3 8 4 2 8 4" xfId="19685"/>
    <cellStyle name="Normal 3 8 4 2 8 4 2" xfId="19686"/>
    <cellStyle name="Normal 3 8 4 2 8 5" xfId="19687"/>
    <cellStyle name="Normal 3 8 4 2 9" xfId="19688"/>
    <cellStyle name="Normal 3 8 4 2 9 2" xfId="19689"/>
    <cellStyle name="Normal 3 8 4 2 9 2 2" xfId="19690"/>
    <cellStyle name="Normal 3 8 4 2 9 3" xfId="19691"/>
    <cellStyle name="Normal 3 8 4 2 9 3 2" xfId="19692"/>
    <cellStyle name="Normal 3 8 4 2 9 4" xfId="19693"/>
    <cellStyle name="Normal 3 8 4 2 9 4 2" xfId="19694"/>
    <cellStyle name="Normal 3 8 4 2 9 5" xfId="19695"/>
    <cellStyle name="Normal 3 8 4 3" xfId="19696"/>
    <cellStyle name="Normal 3 8 4 3 2" xfId="19697"/>
    <cellStyle name="Normal 3 8 4 3 2 2" xfId="19698"/>
    <cellStyle name="Normal 3 8 4 3 2 2 2" xfId="19699"/>
    <cellStyle name="Normal 3 8 4 3 2 2 2 2" xfId="19700"/>
    <cellStyle name="Normal 3 8 4 3 2 2 3" xfId="19701"/>
    <cellStyle name="Normal 3 8 4 3 2 2 3 2" xfId="19702"/>
    <cellStyle name="Normal 3 8 4 3 2 2 4" xfId="19703"/>
    <cellStyle name="Normal 3 8 4 3 2 2 4 2" xfId="19704"/>
    <cellStyle name="Normal 3 8 4 3 2 2 5" xfId="19705"/>
    <cellStyle name="Normal 3 8 4 3 2 3" xfId="19706"/>
    <cellStyle name="Normal 3 8 4 3 2 3 2" xfId="19707"/>
    <cellStyle name="Normal 3 8 4 3 2 3 2 2" xfId="19708"/>
    <cellStyle name="Normal 3 8 4 3 2 3 3" xfId="19709"/>
    <cellStyle name="Normal 3 8 4 3 2 3 3 2" xfId="19710"/>
    <cellStyle name="Normal 3 8 4 3 2 3 4" xfId="19711"/>
    <cellStyle name="Normal 3 8 4 3 2 3 4 2" xfId="19712"/>
    <cellStyle name="Normal 3 8 4 3 2 3 5" xfId="19713"/>
    <cellStyle name="Normal 3 8 4 3 2 4" xfId="19714"/>
    <cellStyle name="Normal 3 8 4 3 2 4 2" xfId="19715"/>
    <cellStyle name="Normal 3 8 4 3 2 5" xfId="19716"/>
    <cellStyle name="Normal 3 8 4 3 2 5 2" xfId="19717"/>
    <cellStyle name="Normal 3 8 4 3 2 6" xfId="19718"/>
    <cellStyle name="Normal 3 8 4 3 2 6 2" xfId="19719"/>
    <cellStyle name="Normal 3 8 4 3 2 7" xfId="19720"/>
    <cellStyle name="Normal 3 8 4 3 3" xfId="19721"/>
    <cellStyle name="Normal 3 8 4 3 3 2" xfId="19722"/>
    <cellStyle name="Normal 3 8 4 3 3 2 2" xfId="19723"/>
    <cellStyle name="Normal 3 8 4 3 3 3" xfId="19724"/>
    <cellStyle name="Normal 3 8 4 3 3 3 2" xfId="19725"/>
    <cellStyle name="Normal 3 8 4 3 3 4" xfId="19726"/>
    <cellStyle name="Normal 3 8 4 3 3 4 2" xfId="19727"/>
    <cellStyle name="Normal 3 8 4 3 3 5" xfId="19728"/>
    <cellStyle name="Normal 3 8 4 3 4" xfId="19729"/>
    <cellStyle name="Normal 3 8 4 3 4 2" xfId="19730"/>
    <cellStyle name="Normal 3 8 4 3 4 2 2" xfId="19731"/>
    <cellStyle name="Normal 3 8 4 3 4 3" xfId="19732"/>
    <cellStyle name="Normal 3 8 4 3 4 3 2" xfId="19733"/>
    <cellStyle name="Normal 3 8 4 3 4 4" xfId="19734"/>
    <cellStyle name="Normal 3 8 4 3 4 4 2" xfId="19735"/>
    <cellStyle name="Normal 3 8 4 3 4 5" xfId="19736"/>
    <cellStyle name="Normal 3 8 4 3 5" xfId="19737"/>
    <cellStyle name="Normal 3 8 4 3 5 2" xfId="19738"/>
    <cellStyle name="Normal 3 8 4 3 6" xfId="19739"/>
    <cellStyle name="Normal 3 8 4 3 6 2" xfId="19740"/>
    <cellStyle name="Normal 3 8 4 3 7" xfId="19741"/>
    <cellStyle name="Normal 3 8 4 3 7 2" xfId="19742"/>
    <cellStyle name="Normal 3 8 4 3 8" xfId="19743"/>
    <cellStyle name="Normal 3 8 4 4" xfId="19744"/>
    <cellStyle name="Normal 3 8 4 4 2" xfId="19745"/>
    <cellStyle name="Normal 3 8 4 4 2 2" xfId="19746"/>
    <cellStyle name="Normal 3 8 4 4 2 2 2" xfId="19747"/>
    <cellStyle name="Normal 3 8 4 4 2 2 2 2" xfId="19748"/>
    <cellStyle name="Normal 3 8 4 4 2 2 3" xfId="19749"/>
    <cellStyle name="Normal 3 8 4 4 2 2 3 2" xfId="19750"/>
    <cellStyle name="Normal 3 8 4 4 2 2 4" xfId="19751"/>
    <cellStyle name="Normal 3 8 4 4 2 2 4 2" xfId="19752"/>
    <cellStyle name="Normal 3 8 4 4 2 2 5" xfId="19753"/>
    <cellStyle name="Normal 3 8 4 4 2 3" xfId="19754"/>
    <cellStyle name="Normal 3 8 4 4 2 3 2" xfId="19755"/>
    <cellStyle name="Normal 3 8 4 4 2 3 2 2" xfId="19756"/>
    <cellStyle name="Normal 3 8 4 4 2 3 3" xfId="19757"/>
    <cellStyle name="Normal 3 8 4 4 2 3 3 2" xfId="19758"/>
    <cellStyle name="Normal 3 8 4 4 2 3 4" xfId="19759"/>
    <cellStyle name="Normal 3 8 4 4 2 3 4 2" xfId="19760"/>
    <cellStyle name="Normal 3 8 4 4 2 3 5" xfId="19761"/>
    <cellStyle name="Normal 3 8 4 4 2 4" xfId="19762"/>
    <cellStyle name="Normal 3 8 4 4 2 4 2" xfId="19763"/>
    <cellStyle name="Normal 3 8 4 4 2 5" xfId="19764"/>
    <cellStyle name="Normal 3 8 4 4 2 5 2" xfId="19765"/>
    <cellStyle name="Normal 3 8 4 4 2 6" xfId="19766"/>
    <cellStyle name="Normal 3 8 4 4 2 6 2" xfId="19767"/>
    <cellStyle name="Normal 3 8 4 4 2 7" xfId="19768"/>
    <cellStyle name="Normal 3 8 4 4 3" xfId="19769"/>
    <cellStyle name="Normal 3 8 4 4 3 2" xfId="19770"/>
    <cellStyle name="Normal 3 8 4 4 3 2 2" xfId="19771"/>
    <cellStyle name="Normal 3 8 4 4 3 3" xfId="19772"/>
    <cellStyle name="Normal 3 8 4 4 3 3 2" xfId="19773"/>
    <cellStyle name="Normal 3 8 4 4 3 4" xfId="19774"/>
    <cellStyle name="Normal 3 8 4 4 3 4 2" xfId="19775"/>
    <cellStyle name="Normal 3 8 4 4 3 5" xfId="19776"/>
    <cellStyle name="Normal 3 8 4 4 4" xfId="19777"/>
    <cellStyle name="Normal 3 8 4 4 4 2" xfId="19778"/>
    <cellStyle name="Normal 3 8 4 4 4 2 2" xfId="19779"/>
    <cellStyle name="Normal 3 8 4 4 4 3" xfId="19780"/>
    <cellStyle name="Normal 3 8 4 4 4 3 2" xfId="19781"/>
    <cellStyle name="Normal 3 8 4 4 4 4" xfId="19782"/>
    <cellStyle name="Normal 3 8 4 4 4 4 2" xfId="19783"/>
    <cellStyle name="Normal 3 8 4 4 4 5" xfId="19784"/>
    <cellStyle name="Normal 3 8 4 4 5" xfId="19785"/>
    <cellStyle name="Normal 3 8 4 4 5 2" xfId="19786"/>
    <cellStyle name="Normal 3 8 4 4 6" xfId="19787"/>
    <cellStyle name="Normal 3 8 4 4 6 2" xfId="19788"/>
    <cellStyle name="Normal 3 8 4 4 7" xfId="19789"/>
    <cellStyle name="Normal 3 8 4 4 7 2" xfId="19790"/>
    <cellStyle name="Normal 3 8 4 4 8" xfId="19791"/>
    <cellStyle name="Normal 3 8 4 5" xfId="19792"/>
    <cellStyle name="Normal 3 8 4 5 2" xfId="19793"/>
    <cellStyle name="Normal 3 8 4 5 2 2" xfId="19794"/>
    <cellStyle name="Normal 3 8 4 5 2 2 2" xfId="19795"/>
    <cellStyle name="Normal 3 8 4 5 2 2 2 2" xfId="19796"/>
    <cellStyle name="Normal 3 8 4 5 2 2 3" xfId="19797"/>
    <cellStyle name="Normal 3 8 4 5 2 2 3 2" xfId="19798"/>
    <cellStyle name="Normal 3 8 4 5 2 2 4" xfId="19799"/>
    <cellStyle name="Normal 3 8 4 5 2 2 4 2" xfId="19800"/>
    <cellStyle name="Normal 3 8 4 5 2 2 5" xfId="19801"/>
    <cellStyle name="Normal 3 8 4 5 2 3" xfId="19802"/>
    <cellStyle name="Normal 3 8 4 5 2 3 2" xfId="19803"/>
    <cellStyle name="Normal 3 8 4 5 2 3 2 2" xfId="19804"/>
    <cellStyle name="Normal 3 8 4 5 2 3 3" xfId="19805"/>
    <cellStyle name="Normal 3 8 4 5 2 3 3 2" xfId="19806"/>
    <cellStyle name="Normal 3 8 4 5 2 3 4" xfId="19807"/>
    <cellStyle name="Normal 3 8 4 5 2 3 4 2" xfId="19808"/>
    <cellStyle name="Normal 3 8 4 5 2 3 5" xfId="19809"/>
    <cellStyle name="Normal 3 8 4 5 2 4" xfId="19810"/>
    <cellStyle name="Normal 3 8 4 5 2 4 2" xfId="19811"/>
    <cellStyle name="Normal 3 8 4 5 2 5" xfId="19812"/>
    <cellStyle name="Normal 3 8 4 5 2 5 2" xfId="19813"/>
    <cellStyle name="Normal 3 8 4 5 2 6" xfId="19814"/>
    <cellStyle name="Normal 3 8 4 5 2 6 2" xfId="19815"/>
    <cellStyle name="Normal 3 8 4 5 2 7" xfId="19816"/>
    <cellStyle name="Normal 3 8 4 5 3" xfId="19817"/>
    <cellStyle name="Normal 3 8 4 5 3 2" xfId="19818"/>
    <cellStyle name="Normal 3 8 4 5 3 2 2" xfId="19819"/>
    <cellStyle name="Normal 3 8 4 5 3 3" xfId="19820"/>
    <cellStyle name="Normal 3 8 4 5 3 3 2" xfId="19821"/>
    <cellStyle name="Normal 3 8 4 5 3 4" xfId="19822"/>
    <cellStyle name="Normal 3 8 4 5 3 4 2" xfId="19823"/>
    <cellStyle name="Normal 3 8 4 5 3 5" xfId="19824"/>
    <cellStyle name="Normal 3 8 4 5 4" xfId="19825"/>
    <cellStyle name="Normal 3 8 4 5 4 2" xfId="19826"/>
    <cellStyle name="Normal 3 8 4 5 4 2 2" xfId="19827"/>
    <cellStyle name="Normal 3 8 4 5 4 3" xfId="19828"/>
    <cellStyle name="Normal 3 8 4 5 4 3 2" xfId="19829"/>
    <cellStyle name="Normal 3 8 4 5 4 4" xfId="19830"/>
    <cellStyle name="Normal 3 8 4 5 4 4 2" xfId="19831"/>
    <cellStyle name="Normal 3 8 4 5 4 5" xfId="19832"/>
    <cellStyle name="Normal 3 8 4 5 5" xfId="19833"/>
    <cellStyle name="Normal 3 8 4 5 5 2" xfId="19834"/>
    <cellStyle name="Normal 3 8 4 5 6" xfId="19835"/>
    <cellStyle name="Normal 3 8 4 5 6 2" xfId="19836"/>
    <cellStyle name="Normal 3 8 4 5 7" xfId="19837"/>
    <cellStyle name="Normal 3 8 4 5 7 2" xfId="19838"/>
    <cellStyle name="Normal 3 8 4 5 8" xfId="19839"/>
    <cellStyle name="Normal 3 8 4 6" xfId="19840"/>
    <cellStyle name="Normal 3 8 4 6 2" xfId="19841"/>
    <cellStyle name="Normal 3 8 4 6 2 2" xfId="19842"/>
    <cellStyle name="Normal 3 8 4 6 2 2 2" xfId="19843"/>
    <cellStyle name="Normal 3 8 4 6 2 2 2 2" xfId="19844"/>
    <cellStyle name="Normal 3 8 4 6 2 2 3" xfId="19845"/>
    <cellStyle name="Normal 3 8 4 6 2 2 3 2" xfId="19846"/>
    <cellStyle name="Normal 3 8 4 6 2 2 4" xfId="19847"/>
    <cellStyle name="Normal 3 8 4 6 2 2 4 2" xfId="19848"/>
    <cellStyle name="Normal 3 8 4 6 2 2 5" xfId="19849"/>
    <cellStyle name="Normal 3 8 4 6 2 3" xfId="19850"/>
    <cellStyle name="Normal 3 8 4 6 2 3 2" xfId="19851"/>
    <cellStyle name="Normal 3 8 4 6 2 3 2 2" xfId="19852"/>
    <cellStyle name="Normal 3 8 4 6 2 3 3" xfId="19853"/>
    <cellStyle name="Normal 3 8 4 6 2 3 3 2" xfId="19854"/>
    <cellStyle name="Normal 3 8 4 6 2 3 4" xfId="19855"/>
    <cellStyle name="Normal 3 8 4 6 2 3 4 2" xfId="19856"/>
    <cellStyle name="Normal 3 8 4 6 2 3 5" xfId="19857"/>
    <cellStyle name="Normal 3 8 4 6 2 4" xfId="19858"/>
    <cellStyle name="Normal 3 8 4 6 2 4 2" xfId="19859"/>
    <cellStyle name="Normal 3 8 4 6 2 5" xfId="19860"/>
    <cellStyle name="Normal 3 8 4 6 2 5 2" xfId="19861"/>
    <cellStyle name="Normal 3 8 4 6 2 6" xfId="19862"/>
    <cellStyle name="Normal 3 8 4 6 2 6 2" xfId="19863"/>
    <cellStyle name="Normal 3 8 4 6 2 7" xfId="19864"/>
    <cellStyle name="Normal 3 8 4 6 3" xfId="19865"/>
    <cellStyle name="Normal 3 8 4 6 3 2" xfId="19866"/>
    <cellStyle name="Normal 3 8 4 6 3 2 2" xfId="19867"/>
    <cellStyle name="Normal 3 8 4 6 3 3" xfId="19868"/>
    <cellStyle name="Normal 3 8 4 6 3 3 2" xfId="19869"/>
    <cellStyle name="Normal 3 8 4 6 3 4" xfId="19870"/>
    <cellStyle name="Normal 3 8 4 6 3 4 2" xfId="19871"/>
    <cellStyle name="Normal 3 8 4 6 3 5" xfId="19872"/>
    <cellStyle name="Normal 3 8 4 6 4" xfId="19873"/>
    <cellStyle name="Normal 3 8 4 6 4 2" xfId="19874"/>
    <cellStyle name="Normal 3 8 4 6 4 2 2" xfId="19875"/>
    <cellStyle name="Normal 3 8 4 6 4 3" xfId="19876"/>
    <cellStyle name="Normal 3 8 4 6 4 3 2" xfId="19877"/>
    <cellStyle name="Normal 3 8 4 6 4 4" xfId="19878"/>
    <cellStyle name="Normal 3 8 4 6 4 4 2" xfId="19879"/>
    <cellStyle name="Normal 3 8 4 6 4 5" xfId="19880"/>
    <cellStyle name="Normal 3 8 4 6 5" xfId="19881"/>
    <cellStyle name="Normal 3 8 4 6 5 2" xfId="19882"/>
    <cellStyle name="Normal 3 8 4 6 6" xfId="19883"/>
    <cellStyle name="Normal 3 8 4 6 6 2" xfId="19884"/>
    <cellStyle name="Normal 3 8 4 6 7" xfId="19885"/>
    <cellStyle name="Normal 3 8 4 6 7 2" xfId="19886"/>
    <cellStyle name="Normal 3 8 4 6 8" xfId="19887"/>
    <cellStyle name="Normal 3 8 4 7" xfId="19888"/>
    <cellStyle name="Normal 3 8 4 7 2" xfId="19889"/>
    <cellStyle name="Normal 3 8 4 7 2 2" xfId="19890"/>
    <cellStyle name="Normal 3 8 4 7 2 2 2" xfId="19891"/>
    <cellStyle name="Normal 3 8 4 7 2 2 2 2" xfId="19892"/>
    <cellStyle name="Normal 3 8 4 7 2 2 3" xfId="19893"/>
    <cellStyle name="Normal 3 8 4 7 2 2 3 2" xfId="19894"/>
    <cellStyle name="Normal 3 8 4 7 2 2 4" xfId="19895"/>
    <cellStyle name="Normal 3 8 4 7 2 2 4 2" xfId="19896"/>
    <cellStyle name="Normal 3 8 4 7 2 2 5" xfId="19897"/>
    <cellStyle name="Normal 3 8 4 7 2 3" xfId="19898"/>
    <cellStyle name="Normal 3 8 4 7 2 3 2" xfId="19899"/>
    <cellStyle name="Normal 3 8 4 7 2 3 2 2" xfId="19900"/>
    <cellStyle name="Normal 3 8 4 7 2 3 3" xfId="19901"/>
    <cellStyle name="Normal 3 8 4 7 2 3 3 2" xfId="19902"/>
    <cellStyle name="Normal 3 8 4 7 2 3 4" xfId="19903"/>
    <cellStyle name="Normal 3 8 4 7 2 3 4 2" xfId="19904"/>
    <cellStyle name="Normal 3 8 4 7 2 3 5" xfId="19905"/>
    <cellStyle name="Normal 3 8 4 7 2 4" xfId="19906"/>
    <cellStyle name="Normal 3 8 4 7 2 4 2" xfId="19907"/>
    <cellStyle name="Normal 3 8 4 7 2 5" xfId="19908"/>
    <cellStyle name="Normal 3 8 4 7 2 5 2" xfId="19909"/>
    <cellStyle name="Normal 3 8 4 7 2 6" xfId="19910"/>
    <cellStyle name="Normal 3 8 4 7 2 6 2" xfId="19911"/>
    <cellStyle name="Normal 3 8 4 7 2 7" xfId="19912"/>
    <cellStyle name="Normal 3 8 4 7 3" xfId="19913"/>
    <cellStyle name="Normal 3 8 4 7 3 2" xfId="19914"/>
    <cellStyle name="Normal 3 8 4 7 3 2 2" xfId="19915"/>
    <cellStyle name="Normal 3 8 4 7 3 3" xfId="19916"/>
    <cellStyle name="Normal 3 8 4 7 3 3 2" xfId="19917"/>
    <cellStyle name="Normal 3 8 4 7 3 4" xfId="19918"/>
    <cellStyle name="Normal 3 8 4 7 3 4 2" xfId="19919"/>
    <cellStyle name="Normal 3 8 4 7 3 5" xfId="19920"/>
    <cellStyle name="Normal 3 8 4 7 4" xfId="19921"/>
    <cellStyle name="Normal 3 8 4 7 4 2" xfId="19922"/>
    <cellStyle name="Normal 3 8 4 7 4 2 2" xfId="19923"/>
    <cellStyle name="Normal 3 8 4 7 4 3" xfId="19924"/>
    <cellStyle name="Normal 3 8 4 7 4 3 2" xfId="19925"/>
    <cellStyle name="Normal 3 8 4 7 4 4" xfId="19926"/>
    <cellStyle name="Normal 3 8 4 7 4 4 2" xfId="19927"/>
    <cellStyle name="Normal 3 8 4 7 4 5" xfId="19928"/>
    <cellStyle name="Normal 3 8 4 7 5" xfId="19929"/>
    <cellStyle name="Normal 3 8 4 7 5 2" xfId="19930"/>
    <cellStyle name="Normal 3 8 4 7 6" xfId="19931"/>
    <cellStyle name="Normal 3 8 4 7 6 2" xfId="19932"/>
    <cellStyle name="Normal 3 8 4 7 7" xfId="19933"/>
    <cellStyle name="Normal 3 8 4 7 7 2" xfId="19934"/>
    <cellStyle name="Normal 3 8 4 7 8" xfId="19935"/>
    <cellStyle name="Normal 3 8 4 8" xfId="19936"/>
    <cellStyle name="Normal 3 8 4 8 2" xfId="19937"/>
    <cellStyle name="Normal 3 8 4 8 2 2" xfId="19938"/>
    <cellStyle name="Normal 3 8 4 8 2 2 2" xfId="19939"/>
    <cellStyle name="Normal 3 8 4 8 2 3" xfId="19940"/>
    <cellStyle name="Normal 3 8 4 8 2 3 2" xfId="19941"/>
    <cellStyle name="Normal 3 8 4 8 2 4" xfId="19942"/>
    <cellStyle name="Normal 3 8 4 8 2 4 2" xfId="19943"/>
    <cellStyle name="Normal 3 8 4 8 2 5" xfId="19944"/>
    <cellStyle name="Normal 3 8 4 8 3" xfId="19945"/>
    <cellStyle name="Normal 3 8 4 8 3 2" xfId="19946"/>
    <cellStyle name="Normal 3 8 4 8 3 2 2" xfId="19947"/>
    <cellStyle name="Normal 3 8 4 8 3 3" xfId="19948"/>
    <cellStyle name="Normal 3 8 4 8 3 3 2" xfId="19949"/>
    <cellStyle name="Normal 3 8 4 8 3 4" xfId="19950"/>
    <cellStyle name="Normal 3 8 4 8 3 4 2" xfId="19951"/>
    <cellStyle name="Normal 3 8 4 8 3 5" xfId="19952"/>
    <cellStyle name="Normal 3 8 4 8 4" xfId="19953"/>
    <cellStyle name="Normal 3 8 4 8 4 2" xfId="19954"/>
    <cellStyle name="Normal 3 8 4 8 5" xfId="19955"/>
    <cellStyle name="Normal 3 8 4 8 5 2" xfId="19956"/>
    <cellStyle name="Normal 3 8 4 8 6" xfId="19957"/>
    <cellStyle name="Normal 3 8 4 8 6 2" xfId="19958"/>
    <cellStyle name="Normal 3 8 4 8 7" xfId="19959"/>
    <cellStyle name="Normal 3 8 4 9" xfId="19960"/>
    <cellStyle name="Normal 3 8 4 9 2" xfId="19961"/>
    <cellStyle name="Normal 3 8 4 9 2 2" xfId="19962"/>
    <cellStyle name="Normal 3 8 4 9 3" xfId="19963"/>
    <cellStyle name="Normal 3 8 4 9 3 2" xfId="19964"/>
    <cellStyle name="Normal 3 8 4 9 4" xfId="19965"/>
    <cellStyle name="Normal 3 8 4 9 4 2" xfId="19966"/>
    <cellStyle name="Normal 3 8 4 9 5" xfId="19967"/>
    <cellStyle name="Normal 3 8 5" xfId="19968"/>
    <cellStyle name="Normal 3 8 5 10" xfId="19969"/>
    <cellStyle name="Normal 3 8 5 10 2" xfId="19970"/>
    <cellStyle name="Normal 3 8 5 10 2 2" xfId="19971"/>
    <cellStyle name="Normal 3 8 5 10 3" xfId="19972"/>
    <cellStyle name="Normal 3 8 5 10 3 2" xfId="19973"/>
    <cellStyle name="Normal 3 8 5 10 4" xfId="19974"/>
    <cellStyle name="Normal 3 8 5 10 4 2" xfId="19975"/>
    <cellStyle name="Normal 3 8 5 10 5" xfId="19976"/>
    <cellStyle name="Normal 3 8 5 11" xfId="19977"/>
    <cellStyle name="Normal 3 8 5 11 2" xfId="19978"/>
    <cellStyle name="Normal 3 8 5 12" xfId="19979"/>
    <cellStyle name="Normal 3 8 5 12 2" xfId="19980"/>
    <cellStyle name="Normal 3 8 5 13" xfId="19981"/>
    <cellStyle name="Normal 3 8 5 13 2" xfId="19982"/>
    <cellStyle name="Normal 3 8 5 14" xfId="19983"/>
    <cellStyle name="Normal 3 8 5 2" xfId="19984"/>
    <cellStyle name="Normal 3 8 5 2 10" xfId="19985"/>
    <cellStyle name="Normal 3 8 5 2 10 2" xfId="19986"/>
    <cellStyle name="Normal 3 8 5 2 11" xfId="19987"/>
    <cellStyle name="Normal 3 8 5 2 11 2" xfId="19988"/>
    <cellStyle name="Normal 3 8 5 2 12" xfId="19989"/>
    <cellStyle name="Normal 3 8 5 2 12 2" xfId="19990"/>
    <cellStyle name="Normal 3 8 5 2 13" xfId="19991"/>
    <cellStyle name="Normal 3 8 5 2 2" xfId="19992"/>
    <cellStyle name="Normal 3 8 5 2 2 2" xfId="19993"/>
    <cellStyle name="Normal 3 8 5 2 2 2 2" xfId="19994"/>
    <cellStyle name="Normal 3 8 5 2 2 2 2 2" xfId="19995"/>
    <cellStyle name="Normal 3 8 5 2 2 2 2 2 2" xfId="19996"/>
    <cellStyle name="Normal 3 8 5 2 2 2 2 3" xfId="19997"/>
    <cellStyle name="Normal 3 8 5 2 2 2 2 3 2" xfId="19998"/>
    <cellStyle name="Normal 3 8 5 2 2 2 2 4" xfId="19999"/>
    <cellStyle name="Normal 3 8 5 2 2 2 2 4 2" xfId="20000"/>
    <cellStyle name="Normal 3 8 5 2 2 2 2 5" xfId="20001"/>
    <cellStyle name="Normal 3 8 5 2 2 2 3" xfId="20002"/>
    <cellStyle name="Normal 3 8 5 2 2 2 3 2" xfId="20003"/>
    <cellStyle name="Normal 3 8 5 2 2 2 3 2 2" xfId="20004"/>
    <cellStyle name="Normal 3 8 5 2 2 2 3 3" xfId="20005"/>
    <cellStyle name="Normal 3 8 5 2 2 2 3 3 2" xfId="20006"/>
    <cellStyle name="Normal 3 8 5 2 2 2 3 4" xfId="20007"/>
    <cellStyle name="Normal 3 8 5 2 2 2 3 4 2" xfId="20008"/>
    <cellStyle name="Normal 3 8 5 2 2 2 3 5" xfId="20009"/>
    <cellStyle name="Normal 3 8 5 2 2 2 4" xfId="20010"/>
    <cellStyle name="Normal 3 8 5 2 2 2 4 2" xfId="20011"/>
    <cellStyle name="Normal 3 8 5 2 2 2 5" xfId="20012"/>
    <cellStyle name="Normal 3 8 5 2 2 2 5 2" xfId="20013"/>
    <cellStyle name="Normal 3 8 5 2 2 2 6" xfId="20014"/>
    <cellStyle name="Normal 3 8 5 2 2 2 6 2" xfId="20015"/>
    <cellStyle name="Normal 3 8 5 2 2 2 7" xfId="20016"/>
    <cellStyle name="Normal 3 8 5 2 2 3" xfId="20017"/>
    <cellStyle name="Normal 3 8 5 2 2 3 2" xfId="20018"/>
    <cellStyle name="Normal 3 8 5 2 2 3 2 2" xfId="20019"/>
    <cellStyle name="Normal 3 8 5 2 2 3 3" xfId="20020"/>
    <cellStyle name="Normal 3 8 5 2 2 3 3 2" xfId="20021"/>
    <cellStyle name="Normal 3 8 5 2 2 3 4" xfId="20022"/>
    <cellStyle name="Normal 3 8 5 2 2 3 4 2" xfId="20023"/>
    <cellStyle name="Normal 3 8 5 2 2 3 5" xfId="20024"/>
    <cellStyle name="Normal 3 8 5 2 2 4" xfId="20025"/>
    <cellStyle name="Normal 3 8 5 2 2 4 2" xfId="20026"/>
    <cellStyle name="Normal 3 8 5 2 2 4 2 2" xfId="20027"/>
    <cellStyle name="Normal 3 8 5 2 2 4 3" xfId="20028"/>
    <cellStyle name="Normal 3 8 5 2 2 4 3 2" xfId="20029"/>
    <cellStyle name="Normal 3 8 5 2 2 4 4" xfId="20030"/>
    <cellStyle name="Normal 3 8 5 2 2 4 4 2" xfId="20031"/>
    <cellStyle name="Normal 3 8 5 2 2 4 5" xfId="20032"/>
    <cellStyle name="Normal 3 8 5 2 2 5" xfId="20033"/>
    <cellStyle name="Normal 3 8 5 2 2 5 2" xfId="20034"/>
    <cellStyle name="Normal 3 8 5 2 2 6" xfId="20035"/>
    <cellStyle name="Normal 3 8 5 2 2 6 2" xfId="20036"/>
    <cellStyle name="Normal 3 8 5 2 2 7" xfId="20037"/>
    <cellStyle name="Normal 3 8 5 2 2 7 2" xfId="20038"/>
    <cellStyle name="Normal 3 8 5 2 2 8" xfId="20039"/>
    <cellStyle name="Normal 3 8 5 2 3" xfId="20040"/>
    <cellStyle name="Normal 3 8 5 2 3 2" xfId="20041"/>
    <cellStyle name="Normal 3 8 5 2 3 2 2" xfId="20042"/>
    <cellStyle name="Normal 3 8 5 2 3 2 2 2" xfId="20043"/>
    <cellStyle name="Normal 3 8 5 2 3 2 2 2 2" xfId="20044"/>
    <cellStyle name="Normal 3 8 5 2 3 2 2 3" xfId="20045"/>
    <cellStyle name="Normal 3 8 5 2 3 2 2 3 2" xfId="20046"/>
    <cellStyle name="Normal 3 8 5 2 3 2 2 4" xfId="20047"/>
    <cellStyle name="Normal 3 8 5 2 3 2 2 4 2" xfId="20048"/>
    <cellStyle name="Normal 3 8 5 2 3 2 2 5" xfId="20049"/>
    <cellStyle name="Normal 3 8 5 2 3 2 3" xfId="20050"/>
    <cellStyle name="Normal 3 8 5 2 3 2 3 2" xfId="20051"/>
    <cellStyle name="Normal 3 8 5 2 3 2 3 2 2" xfId="20052"/>
    <cellStyle name="Normal 3 8 5 2 3 2 3 3" xfId="20053"/>
    <cellStyle name="Normal 3 8 5 2 3 2 3 3 2" xfId="20054"/>
    <cellStyle name="Normal 3 8 5 2 3 2 3 4" xfId="20055"/>
    <cellStyle name="Normal 3 8 5 2 3 2 3 4 2" xfId="20056"/>
    <cellStyle name="Normal 3 8 5 2 3 2 3 5" xfId="20057"/>
    <cellStyle name="Normal 3 8 5 2 3 2 4" xfId="20058"/>
    <cellStyle name="Normal 3 8 5 2 3 2 4 2" xfId="20059"/>
    <cellStyle name="Normal 3 8 5 2 3 2 5" xfId="20060"/>
    <cellStyle name="Normal 3 8 5 2 3 2 5 2" xfId="20061"/>
    <cellStyle name="Normal 3 8 5 2 3 2 6" xfId="20062"/>
    <cellStyle name="Normal 3 8 5 2 3 2 6 2" xfId="20063"/>
    <cellStyle name="Normal 3 8 5 2 3 2 7" xfId="20064"/>
    <cellStyle name="Normal 3 8 5 2 3 3" xfId="20065"/>
    <cellStyle name="Normal 3 8 5 2 3 3 2" xfId="20066"/>
    <cellStyle name="Normal 3 8 5 2 3 3 2 2" xfId="20067"/>
    <cellStyle name="Normal 3 8 5 2 3 3 3" xfId="20068"/>
    <cellStyle name="Normal 3 8 5 2 3 3 3 2" xfId="20069"/>
    <cellStyle name="Normal 3 8 5 2 3 3 4" xfId="20070"/>
    <cellStyle name="Normal 3 8 5 2 3 3 4 2" xfId="20071"/>
    <cellStyle name="Normal 3 8 5 2 3 3 5" xfId="20072"/>
    <cellStyle name="Normal 3 8 5 2 3 4" xfId="20073"/>
    <cellStyle name="Normal 3 8 5 2 3 4 2" xfId="20074"/>
    <cellStyle name="Normal 3 8 5 2 3 4 2 2" xfId="20075"/>
    <cellStyle name="Normal 3 8 5 2 3 4 3" xfId="20076"/>
    <cellStyle name="Normal 3 8 5 2 3 4 3 2" xfId="20077"/>
    <cellStyle name="Normal 3 8 5 2 3 4 4" xfId="20078"/>
    <cellStyle name="Normal 3 8 5 2 3 4 4 2" xfId="20079"/>
    <cellStyle name="Normal 3 8 5 2 3 4 5" xfId="20080"/>
    <cellStyle name="Normal 3 8 5 2 3 5" xfId="20081"/>
    <cellStyle name="Normal 3 8 5 2 3 5 2" xfId="20082"/>
    <cellStyle name="Normal 3 8 5 2 3 6" xfId="20083"/>
    <cellStyle name="Normal 3 8 5 2 3 6 2" xfId="20084"/>
    <cellStyle name="Normal 3 8 5 2 3 7" xfId="20085"/>
    <cellStyle name="Normal 3 8 5 2 3 7 2" xfId="20086"/>
    <cellStyle name="Normal 3 8 5 2 3 8" xfId="20087"/>
    <cellStyle name="Normal 3 8 5 2 4" xfId="20088"/>
    <cellStyle name="Normal 3 8 5 2 4 2" xfId="20089"/>
    <cellStyle name="Normal 3 8 5 2 4 2 2" xfId="20090"/>
    <cellStyle name="Normal 3 8 5 2 4 2 2 2" xfId="20091"/>
    <cellStyle name="Normal 3 8 5 2 4 2 2 2 2" xfId="20092"/>
    <cellStyle name="Normal 3 8 5 2 4 2 2 3" xfId="20093"/>
    <cellStyle name="Normal 3 8 5 2 4 2 2 3 2" xfId="20094"/>
    <cellStyle name="Normal 3 8 5 2 4 2 2 4" xfId="20095"/>
    <cellStyle name="Normal 3 8 5 2 4 2 2 4 2" xfId="20096"/>
    <cellStyle name="Normal 3 8 5 2 4 2 2 5" xfId="20097"/>
    <cellStyle name="Normal 3 8 5 2 4 2 3" xfId="20098"/>
    <cellStyle name="Normal 3 8 5 2 4 2 3 2" xfId="20099"/>
    <cellStyle name="Normal 3 8 5 2 4 2 3 2 2" xfId="20100"/>
    <cellStyle name="Normal 3 8 5 2 4 2 3 3" xfId="20101"/>
    <cellStyle name="Normal 3 8 5 2 4 2 3 3 2" xfId="20102"/>
    <cellStyle name="Normal 3 8 5 2 4 2 3 4" xfId="20103"/>
    <cellStyle name="Normal 3 8 5 2 4 2 3 4 2" xfId="20104"/>
    <cellStyle name="Normal 3 8 5 2 4 2 3 5" xfId="20105"/>
    <cellStyle name="Normal 3 8 5 2 4 2 4" xfId="20106"/>
    <cellStyle name="Normal 3 8 5 2 4 2 4 2" xfId="20107"/>
    <cellStyle name="Normal 3 8 5 2 4 2 5" xfId="20108"/>
    <cellStyle name="Normal 3 8 5 2 4 2 5 2" xfId="20109"/>
    <cellStyle name="Normal 3 8 5 2 4 2 6" xfId="20110"/>
    <cellStyle name="Normal 3 8 5 2 4 2 6 2" xfId="20111"/>
    <cellStyle name="Normal 3 8 5 2 4 2 7" xfId="20112"/>
    <cellStyle name="Normal 3 8 5 2 4 3" xfId="20113"/>
    <cellStyle name="Normal 3 8 5 2 4 3 2" xfId="20114"/>
    <cellStyle name="Normal 3 8 5 2 4 3 2 2" xfId="20115"/>
    <cellStyle name="Normal 3 8 5 2 4 3 3" xfId="20116"/>
    <cellStyle name="Normal 3 8 5 2 4 3 3 2" xfId="20117"/>
    <cellStyle name="Normal 3 8 5 2 4 3 4" xfId="20118"/>
    <cellStyle name="Normal 3 8 5 2 4 3 4 2" xfId="20119"/>
    <cellStyle name="Normal 3 8 5 2 4 3 5" xfId="20120"/>
    <cellStyle name="Normal 3 8 5 2 4 4" xfId="20121"/>
    <cellStyle name="Normal 3 8 5 2 4 4 2" xfId="20122"/>
    <cellStyle name="Normal 3 8 5 2 4 4 2 2" xfId="20123"/>
    <cellStyle name="Normal 3 8 5 2 4 4 3" xfId="20124"/>
    <cellStyle name="Normal 3 8 5 2 4 4 3 2" xfId="20125"/>
    <cellStyle name="Normal 3 8 5 2 4 4 4" xfId="20126"/>
    <cellStyle name="Normal 3 8 5 2 4 4 4 2" xfId="20127"/>
    <cellStyle name="Normal 3 8 5 2 4 4 5" xfId="20128"/>
    <cellStyle name="Normal 3 8 5 2 4 5" xfId="20129"/>
    <cellStyle name="Normal 3 8 5 2 4 5 2" xfId="20130"/>
    <cellStyle name="Normal 3 8 5 2 4 6" xfId="20131"/>
    <cellStyle name="Normal 3 8 5 2 4 6 2" xfId="20132"/>
    <cellStyle name="Normal 3 8 5 2 4 7" xfId="20133"/>
    <cellStyle name="Normal 3 8 5 2 4 7 2" xfId="20134"/>
    <cellStyle name="Normal 3 8 5 2 4 8" xfId="20135"/>
    <cellStyle name="Normal 3 8 5 2 5" xfId="20136"/>
    <cellStyle name="Normal 3 8 5 2 5 2" xfId="20137"/>
    <cellStyle name="Normal 3 8 5 2 5 2 2" xfId="20138"/>
    <cellStyle name="Normal 3 8 5 2 5 2 2 2" xfId="20139"/>
    <cellStyle name="Normal 3 8 5 2 5 2 2 2 2" xfId="20140"/>
    <cellStyle name="Normal 3 8 5 2 5 2 2 3" xfId="20141"/>
    <cellStyle name="Normal 3 8 5 2 5 2 2 3 2" xfId="20142"/>
    <cellStyle name="Normal 3 8 5 2 5 2 2 4" xfId="20143"/>
    <cellStyle name="Normal 3 8 5 2 5 2 2 4 2" xfId="20144"/>
    <cellStyle name="Normal 3 8 5 2 5 2 2 5" xfId="20145"/>
    <cellStyle name="Normal 3 8 5 2 5 2 3" xfId="20146"/>
    <cellStyle name="Normal 3 8 5 2 5 2 3 2" xfId="20147"/>
    <cellStyle name="Normal 3 8 5 2 5 2 3 2 2" xfId="20148"/>
    <cellStyle name="Normal 3 8 5 2 5 2 3 3" xfId="20149"/>
    <cellStyle name="Normal 3 8 5 2 5 2 3 3 2" xfId="20150"/>
    <cellStyle name="Normal 3 8 5 2 5 2 3 4" xfId="20151"/>
    <cellStyle name="Normal 3 8 5 2 5 2 3 4 2" xfId="20152"/>
    <cellStyle name="Normal 3 8 5 2 5 2 3 5" xfId="20153"/>
    <cellStyle name="Normal 3 8 5 2 5 2 4" xfId="20154"/>
    <cellStyle name="Normal 3 8 5 2 5 2 4 2" xfId="20155"/>
    <cellStyle name="Normal 3 8 5 2 5 2 5" xfId="20156"/>
    <cellStyle name="Normal 3 8 5 2 5 2 5 2" xfId="20157"/>
    <cellStyle name="Normal 3 8 5 2 5 2 6" xfId="20158"/>
    <cellStyle name="Normal 3 8 5 2 5 2 6 2" xfId="20159"/>
    <cellStyle name="Normal 3 8 5 2 5 2 7" xfId="20160"/>
    <cellStyle name="Normal 3 8 5 2 5 3" xfId="20161"/>
    <cellStyle name="Normal 3 8 5 2 5 3 2" xfId="20162"/>
    <cellStyle name="Normal 3 8 5 2 5 3 2 2" xfId="20163"/>
    <cellStyle name="Normal 3 8 5 2 5 3 3" xfId="20164"/>
    <cellStyle name="Normal 3 8 5 2 5 3 3 2" xfId="20165"/>
    <cellStyle name="Normal 3 8 5 2 5 3 4" xfId="20166"/>
    <cellStyle name="Normal 3 8 5 2 5 3 4 2" xfId="20167"/>
    <cellStyle name="Normal 3 8 5 2 5 3 5" xfId="20168"/>
    <cellStyle name="Normal 3 8 5 2 5 4" xfId="20169"/>
    <cellStyle name="Normal 3 8 5 2 5 4 2" xfId="20170"/>
    <cellStyle name="Normal 3 8 5 2 5 4 2 2" xfId="20171"/>
    <cellStyle name="Normal 3 8 5 2 5 4 3" xfId="20172"/>
    <cellStyle name="Normal 3 8 5 2 5 4 3 2" xfId="20173"/>
    <cellStyle name="Normal 3 8 5 2 5 4 4" xfId="20174"/>
    <cellStyle name="Normal 3 8 5 2 5 4 4 2" xfId="20175"/>
    <cellStyle name="Normal 3 8 5 2 5 4 5" xfId="20176"/>
    <cellStyle name="Normal 3 8 5 2 5 5" xfId="20177"/>
    <cellStyle name="Normal 3 8 5 2 5 5 2" xfId="20178"/>
    <cellStyle name="Normal 3 8 5 2 5 6" xfId="20179"/>
    <cellStyle name="Normal 3 8 5 2 5 6 2" xfId="20180"/>
    <cellStyle name="Normal 3 8 5 2 5 7" xfId="20181"/>
    <cellStyle name="Normal 3 8 5 2 5 7 2" xfId="20182"/>
    <cellStyle name="Normal 3 8 5 2 5 8" xfId="20183"/>
    <cellStyle name="Normal 3 8 5 2 6" xfId="20184"/>
    <cellStyle name="Normal 3 8 5 2 6 2" xfId="20185"/>
    <cellStyle name="Normal 3 8 5 2 6 2 2" xfId="20186"/>
    <cellStyle name="Normal 3 8 5 2 6 2 2 2" xfId="20187"/>
    <cellStyle name="Normal 3 8 5 2 6 2 2 2 2" xfId="20188"/>
    <cellStyle name="Normal 3 8 5 2 6 2 2 3" xfId="20189"/>
    <cellStyle name="Normal 3 8 5 2 6 2 2 3 2" xfId="20190"/>
    <cellStyle name="Normal 3 8 5 2 6 2 2 4" xfId="20191"/>
    <cellStyle name="Normal 3 8 5 2 6 2 2 4 2" xfId="20192"/>
    <cellStyle name="Normal 3 8 5 2 6 2 2 5" xfId="20193"/>
    <cellStyle name="Normal 3 8 5 2 6 2 3" xfId="20194"/>
    <cellStyle name="Normal 3 8 5 2 6 2 3 2" xfId="20195"/>
    <cellStyle name="Normal 3 8 5 2 6 2 3 2 2" xfId="20196"/>
    <cellStyle name="Normal 3 8 5 2 6 2 3 3" xfId="20197"/>
    <cellStyle name="Normal 3 8 5 2 6 2 3 3 2" xfId="20198"/>
    <cellStyle name="Normal 3 8 5 2 6 2 3 4" xfId="20199"/>
    <cellStyle name="Normal 3 8 5 2 6 2 3 4 2" xfId="20200"/>
    <cellStyle name="Normal 3 8 5 2 6 2 3 5" xfId="20201"/>
    <cellStyle name="Normal 3 8 5 2 6 2 4" xfId="20202"/>
    <cellStyle name="Normal 3 8 5 2 6 2 4 2" xfId="20203"/>
    <cellStyle name="Normal 3 8 5 2 6 2 5" xfId="20204"/>
    <cellStyle name="Normal 3 8 5 2 6 2 5 2" xfId="20205"/>
    <cellStyle name="Normal 3 8 5 2 6 2 6" xfId="20206"/>
    <cellStyle name="Normal 3 8 5 2 6 2 6 2" xfId="20207"/>
    <cellStyle name="Normal 3 8 5 2 6 2 7" xfId="20208"/>
    <cellStyle name="Normal 3 8 5 2 6 3" xfId="20209"/>
    <cellStyle name="Normal 3 8 5 2 6 3 2" xfId="20210"/>
    <cellStyle name="Normal 3 8 5 2 6 3 2 2" xfId="20211"/>
    <cellStyle name="Normal 3 8 5 2 6 3 3" xfId="20212"/>
    <cellStyle name="Normal 3 8 5 2 6 3 3 2" xfId="20213"/>
    <cellStyle name="Normal 3 8 5 2 6 3 4" xfId="20214"/>
    <cellStyle name="Normal 3 8 5 2 6 3 4 2" xfId="20215"/>
    <cellStyle name="Normal 3 8 5 2 6 3 5" xfId="20216"/>
    <cellStyle name="Normal 3 8 5 2 6 4" xfId="20217"/>
    <cellStyle name="Normal 3 8 5 2 6 4 2" xfId="20218"/>
    <cellStyle name="Normal 3 8 5 2 6 4 2 2" xfId="20219"/>
    <cellStyle name="Normal 3 8 5 2 6 4 3" xfId="20220"/>
    <cellStyle name="Normal 3 8 5 2 6 4 3 2" xfId="20221"/>
    <cellStyle name="Normal 3 8 5 2 6 4 4" xfId="20222"/>
    <cellStyle name="Normal 3 8 5 2 6 4 4 2" xfId="20223"/>
    <cellStyle name="Normal 3 8 5 2 6 4 5" xfId="20224"/>
    <cellStyle name="Normal 3 8 5 2 6 5" xfId="20225"/>
    <cellStyle name="Normal 3 8 5 2 6 5 2" xfId="20226"/>
    <cellStyle name="Normal 3 8 5 2 6 6" xfId="20227"/>
    <cellStyle name="Normal 3 8 5 2 6 6 2" xfId="20228"/>
    <cellStyle name="Normal 3 8 5 2 6 7" xfId="20229"/>
    <cellStyle name="Normal 3 8 5 2 6 7 2" xfId="20230"/>
    <cellStyle name="Normal 3 8 5 2 6 8" xfId="20231"/>
    <cellStyle name="Normal 3 8 5 2 7" xfId="20232"/>
    <cellStyle name="Normal 3 8 5 2 7 2" xfId="20233"/>
    <cellStyle name="Normal 3 8 5 2 7 2 2" xfId="20234"/>
    <cellStyle name="Normal 3 8 5 2 7 2 2 2" xfId="20235"/>
    <cellStyle name="Normal 3 8 5 2 7 2 3" xfId="20236"/>
    <cellStyle name="Normal 3 8 5 2 7 2 3 2" xfId="20237"/>
    <cellStyle name="Normal 3 8 5 2 7 2 4" xfId="20238"/>
    <cellStyle name="Normal 3 8 5 2 7 2 4 2" xfId="20239"/>
    <cellStyle name="Normal 3 8 5 2 7 2 5" xfId="20240"/>
    <cellStyle name="Normal 3 8 5 2 7 3" xfId="20241"/>
    <cellStyle name="Normal 3 8 5 2 7 3 2" xfId="20242"/>
    <cellStyle name="Normal 3 8 5 2 7 3 2 2" xfId="20243"/>
    <cellStyle name="Normal 3 8 5 2 7 3 3" xfId="20244"/>
    <cellStyle name="Normal 3 8 5 2 7 3 3 2" xfId="20245"/>
    <cellStyle name="Normal 3 8 5 2 7 3 4" xfId="20246"/>
    <cellStyle name="Normal 3 8 5 2 7 3 4 2" xfId="20247"/>
    <cellStyle name="Normal 3 8 5 2 7 3 5" xfId="20248"/>
    <cellStyle name="Normal 3 8 5 2 7 4" xfId="20249"/>
    <cellStyle name="Normal 3 8 5 2 7 4 2" xfId="20250"/>
    <cellStyle name="Normal 3 8 5 2 7 5" xfId="20251"/>
    <cellStyle name="Normal 3 8 5 2 7 5 2" xfId="20252"/>
    <cellStyle name="Normal 3 8 5 2 7 6" xfId="20253"/>
    <cellStyle name="Normal 3 8 5 2 7 6 2" xfId="20254"/>
    <cellStyle name="Normal 3 8 5 2 7 7" xfId="20255"/>
    <cellStyle name="Normal 3 8 5 2 8" xfId="20256"/>
    <cellStyle name="Normal 3 8 5 2 8 2" xfId="20257"/>
    <cellStyle name="Normal 3 8 5 2 8 2 2" xfId="20258"/>
    <cellStyle name="Normal 3 8 5 2 8 3" xfId="20259"/>
    <cellStyle name="Normal 3 8 5 2 8 3 2" xfId="20260"/>
    <cellStyle name="Normal 3 8 5 2 8 4" xfId="20261"/>
    <cellStyle name="Normal 3 8 5 2 8 4 2" xfId="20262"/>
    <cellStyle name="Normal 3 8 5 2 8 5" xfId="20263"/>
    <cellStyle name="Normal 3 8 5 2 9" xfId="20264"/>
    <cellStyle name="Normal 3 8 5 2 9 2" xfId="20265"/>
    <cellStyle name="Normal 3 8 5 2 9 2 2" xfId="20266"/>
    <cellStyle name="Normal 3 8 5 2 9 3" xfId="20267"/>
    <cellStyle name="Normal 3 8 5 2 9 3 2" xfId="20268"/>
    <cellStyle name="Normal 3 8 5 2 9 4" xfId="20269"/>
    <cellStyle name="Normal 3 8 5 2 9 4 2" xfId="20270"/>
    <cellStyle name="Normal 3 8 5 2 9 5" xfId="20271"/>
    <cellStyle name="Normal 3 8 5 3" xfId="20272"/>
    <cellStyle name="Normal 3 8 5 3 2" xfId="20273"/>
    <cellStyle name="Normal 3 8 5 3 2 2" xfId="20274"/>
    <cellStyle name="Normal 3 8 5 3 2 2 2" xfId="20275"/>
    <cellStyle name="Normal 3 8 5 3 2 2 2 2" xfId="20276"/>
    <cellStyle name="Normal 3 8 5 3 2 2 3" xfId="20277"/>
    <cellStyle name="Normal 3 8 5 3 2 2 3 2" xfId="20278"/>
    <cellStyle name="Normal 3 8 5 3 2 2 4" xfId="20279"/>
    <cellStyle name="Normal 3 8 5 3 2 2 4 2" xfId="20280"/>
    <cellStyle name="Normal 3 8 5 3 2 2 5" xfId="20281"/>
    <cellStyle name="Normal 3 8 5 3 2 3" xfId="20282"/>
    <cellStyle name="Normal 3 8 5 3 2 3 2" xfId="20283"/>
    <cellStyle name="Normal 3 8 5 3 2 3 2 2" xfId="20284"/>
    <cellStyle name="Normal 3 8 5 3 2 3 3" xfId="20285"/>
    <cellStyle name="Normal 3 8 5 3 2 3 3 2" xfId="20286"/>
    <cellStyle name="Normal 3 8 5 3 2 3 4" xfId="20287"/>
    <cellStyle name="Normal 3 8 5 3 2 3 4 2" xfId="20288"/>
    <cellStyle name="Normal 3 8 5 3 2 3 5" xfId="20289"/>
    <cellStyle name="Normal 3 8 5 3 2 4" xfId="20290"/>
    <cellStyle name="Normal 3 8 5 3 2 4 2" xfId="20291"/>
    <cellStyle name="Normal 3 8 5 3 2 5" xfId="20292"/>
    <cellStyle name="Normal 3 8 5 3 2 5 2" xfId="20293"/>
    <cellStyle name="Normal 3 8 5 3 2 6" xfId="20294"/>
    <cellStyle name="Normal 3 8 5 3 2 6 2" xfId="20295"/>
    <cellStyle name="Normal 3 8 5 3 2 7" xfId="20296"/>
    <cellStyle name="Normal 3 8 5 3 3" xfId="20297"/>
    <cellStyle name="Normal 3 8 5 3 3 2" xfId="20298"/>
    <cellStyle name="Normal 3 8 5 3 3 2 2" xfId="20299"/>
    <cellStyle name="Normal 3 8 5 3 3 3" xfId="20300"/>
    <cellStyle name="Normal 3 8 5 3 3 3 2" xfId="20301"/>
    <cellStyle name="Normal 3 8 5 3 3 4" xfId="20302"/>
    <cellStyle name="Normal 3 8 5 3 3 4 2" xfId="20303"/>
    <cellStyle name="Normal 3 8 5 3 3 5" xfId="20304"/>
    <cellStyle name="Normal 3 8 5 3 4" xfId="20305"/>
    <cellStyle name="Normal 3 8 5 3 4 2" xfId="20306"/>
    <cellStyle name="Normal 3 8 5 3 4 2 2" xfId="20307"/>
    <cellStyle name="Normal 3 8 5 3 4 3" xfId="20308"/>
    <cellStyle name="Normal 3 8 5 3 4 3 2" xfId="20309"/>
    <cellStyle name="Normal 3 8 5 3 4 4" xfId="20310"/>
    <cellStyle name="Normal 3 8 5 3 4 4 2" xfId="20311"/>
    <cellStyle name="Normal 3 8 5 3 4 5" xfId="20312"/>
    <cellStyle name="Normal 3 8 5 3 5" xfId="20313"/>
    <cellStyle name="Normal 3 8 5 3 5 2" xfId="20314"/>
    <cellStyle name="Normal 3 8 5 3 6" xfId="20315"/>
    <cellStyle name="Normal 3 8 5 3 6 2" xfId="20316"/>
    <cellStyle name="Normal 3 8 5 3 7" xfId="20317"/>
    <cellStyle name="Normal 3 8 5 3 7 2" xfId="20318"/>
    <cellStyle name="Normal 3 8 5 3 8" xfId="20319"/>
    <cellStyle name="Normal 3 8 5 4" xfId="20320"/>
    <cellStyle name="Normal 3 8 5 4 2" xfId="20321"/>
    <cellStyle name="Normal 3 8 5 4 2 2" xfId="20322"/>
    <cellStyle name="Normal 3 8 5 4 2 2 2" xfId="20323"/>
    <cellStyle name="Normal 3 8 5 4 2 2 2 2" xfId="20324"/>
    <cellStyle name="Normal 3 8 5 4 2 2 3" xfId="20325"/>
    <cellStyle name="Normal 3 8 5 4 2 2 3 2" xfId="20326"/>
    <cellStyle name="Normal 3 8 5 4 2 2 4" xfId="20327"/>
    <cellStyle name="Normal 3 8 5 4 2 2 4 2" xfId="20328"/>
    <cellStyle name="Normal 3 8 5 4 2 2 5" xfId="20329"/>
    <cellStyle name="Normal 3 8 5 4 2 3" xfId="20330"/>
    <cellStyle name="Normal 3 8 5 4 2 3 2" xfId="20331"/>
    <cellStyle name="Normal 3 8 5 4 2 3 2 2" xfId="20332"/>
    <cellStyle name="Normal 3 8 5 4 2 3 3" xfId="20333"/>
    <cellStyle name="Normal 3 8 5 4 2 3 3 2" xfId="20334"/>
    <cellStyle name="Normal 3 8 5 4 2 3 4" xfId="20335"/>
    <cellStyle name="Normal 3 8 5 4 2 3 4 2" xfId="20336"/>
    <cellStyle name="Normal 3 8 5 4 2 3 5" xfId="20337"/>
    <cellStyle name="Normal 3 8 5 4 2 4" xfId="20338"/>
    <cellStyle name="Normal 3 8 5 4 2 4 2" xfId="20339"/>
    <cellStyle name="Normal 3 8 5 4 2 5" xfId="20340"/>
    <cellStyle name="Normal 3 8 5 4 2 5 2" xfId="20341"/>
    <cellStyle name="Normal 3 8 5 4 2 6" xfId="20342"/>
    <cellStyle name="Normal 3 8 5 4 2 6 2" xfId="20343"/>
    <cellStyle name="Normal 3 8 5 4 2 7" xfId="20344"/>
    <cellStyle name="Normal 3 8 5 4 3" xfId="20345"/>
    <cellStyle name="Normal 3 8 5 4 3 2" xfId="20346"/>
    <cellStyle name="Normal 3 8 5 4 3 2 2" xfId="20347"/>
    <cellStyle name="Normal 3 8 5 4 3 3" xfId="20348"/>
    <cellStyle name="Normal 3 8 5 4 3 3 2" xfId="20349"/>
    <cellStyle name="Normal 3 8 5 4 3 4" xfId="20350"/>
    <cellStyle name="Normal 3 8 5 4 3 4 2" xfId="20351"/>
    <cellStyle name="Normal 3 8 5 4 3 5" xfId="20352"/>
    <cellStyle name="Normal 3 8 5 4 4" xfId="20353"/>
    <cellStyle name="Normal 3 8 5 4 4 2" xfId="20354"/>
    <cellStyle name="Normal 3 8 5 4 4 2 2" xfId="20355"/>
    <cellStyle name="Normal 3 8 5 4 4 3" xfId="20356"/>
    <cellStyle name="Normal 3 8 5 4 4 3 2" xfId="20357"/>
    <cellStyle name="Normal 3 8 5 4 4 4" xfId="20358"/>
    <cellStyle name="Normal 3 8 5 4 4 4 2" xfId="20359"/>
    <cellStyle name="Normal 3 8 5 4 4 5" xfId="20360"/>
    <cellStyle name="Normal 3 8 5 4 5" xfId="20361"/>
    <cellStyle name="Normal 3 8 5 4 5 2" xfId="20362"/>
    <cellStyle name="Normal 3 8 5 4 6" xfId="20363"/>
    <cellStyle name="Normal 3 8 5 4 6 2" xfId="20364"/>
    <cellStyle name="Normal 3 8 5 4 7" xfId="20365"/>
    <cellStyle name="Normal 3 8 5 4 7 2" xfId="20366"/>
    <cellStyle name="Normal 3 8 5 4 8" xfId="20367"/>
    <cellStyle name="Normal 3 8 5 5" xfId="20368"/>
    <cellStyle name="Normal 3 8 5 5 2" xfId="20369"/>
    <cellStyle name="Normal 3 8 5 5 2 2" xfId="20370"/>
    <cellStyle name="Normal 3 8 5 5 2 2 2" xfId="20371"/>
    <cellStyle name="Normal 3 8 5 5 2 2 2 2" xfId="20372"/>
    <cellStyle name="Normal 3 8 5 5 2 2 3" xfId="20373"/>
    <cellStyle name="Normal 3 8 5 5 2 2 3 2" xfId="20374"/>
    <cellStyle name="Normal 3 8 5 5 2 2 4" xfId="20375"/>
    <cellStyle name="Normal 3 8 5 5 2 2 4 2" xfId="20376"/>
    <cellStyle name="Normal 3 8 5 5 2 2 5" xfId="20377"/>
    <cellStyle name="Normal 3 8 5 5 2 3" xfId="20378"/>
    <cellStyle name="Normal 3 8 5 5 2 3 2" xfId="20379"/>
    <cellStyle name="Normal 3 8 5 5 2 3 2 2" xfId="20380"/>
    <cellStyle name="Normal 3 8 5 5 2 3 3" xfId="20381"/>
    <cellStyle name="Normal 3 8 5 5 2 3 3 2" xfId="20382"/>
    <cellStyle name="Normal 3 8 5 5 2 3 4" xfId="20383"/>
    <cellStyle name="Normal 3 8 5 5 2 3 4 2" xfId="20384"/>
    <cellStyle name="Normal 3 8 5 5 2 3 5" xfId="20385"/>
    <cellStyle name="Normal 3 8 5 5 2 4" xfId="20386"/>
    <cellStyle name="Normal 3 8 5 5 2 4 2" xfId="20387"/>
    <cellStyle name="Normal 3 8 5 5 2 5" xfId="20388"/>
    <cellStyle name="Normal 3 8 5 5 2 5 2" xfId="20389"/>
    <cellStyle name="Normal 3 8 5 5 2 6" xfId="20390"/>
    <cellStyle name="Normal 3 8 5 5 2 6 2" xfId="20391"/>
    <cellStyle name="Normal 3 8 5 5 2 7" xfId="20392"/>
    <cellStyle name="Normal 3 8 5 5 3" xfId="20393"/>
    <cellStyle name="Normal 3 8 5 5 3 2" xfId="20394"/>
    <cellStyle name="Normal 3 8 5 5 3 2 2" xfId="20395"/>
    <cellStyle name="Normal 3 8 5 5 3 3" xfId="20396"/>
    <cellStyle name="Normal 3 8 5 5 3 3 2" xfId="20397"/>
    <cellStyle name="Normal 3 8 5 5 3 4" xfId="20398"/>
    <cellStyle name="Normal 3 8 5 5 3 4 2" xfId="20399"/>
    <cellStyle name="Normal 3 8 5 5 3 5" xfId="20400"/>
    <cellStyle name="Normal 3 8 5 5 4" xfId="20401"/>
    <cellStyle name="Normal 3 8 5 5 4 2" xfId="20402"/>
    <cellStyle name="Normal 3 8 5 5 4 2 2" xfId="20403"/>
    <cellStyle name="Normal 3 8 5 5 4 3" xfId="20404"/>
    <cellStyle name="Normal 3 8 5 5 4 3 2" xfId="20405"/>
    <cellStyle name="Normal 3 8 5 5 4 4" xfId="20406"/>
    <cellStyle name="Normal 3 8 5 5 4 4 2" xfId="20407"/>
    <cellStyle name="Normal 3 8 5 5 4 5" xfId="20408"/>
    <cellStyle name="Normal 3 8 5 5 5" xfId="20409"/>
    <cellStyle name="Normal 3 8 5 5 5 2" xfId="20410"/>
    <cellStyle name="Normal 3 8 5 5 6" xfId="20411"/>
    <cellStyle name="Normal 3 8 5 5 6 2" xfId="20412"/>
    <cellStyle name="Normal 3 8 5 5 7" xfId="20413"/>
    <cellStyle name="Normal 3 8 5 5 7 2" xfId="20414"/>
    <cellStyle name="Normal 3 8 5 5 8" xfId="20415"/>
    <cellStyle name="Normal 3 8 5 6" xfId="20416"/>
    <cellStyle name="Normal 3 8 5 6 2" xfId="20417"/>
    <cellStyle name="Normal 3 8 5 6 2 2" xfId="20418"/>
    <cellStyle name="Normal 3 8 5 6 2 2 2" xfId="20419"/>
    <cellStyle name="Normal 3 8 5 6 2 2 2 2" xfId="20420"/>
    <cellStyle name="Normal 3 8 5 6 2 2 3" xfId="20421"/>
    <cellStyle name="Normal 3 8 5 6 2 2 3 2" xfId="20422"/>
    <cellStyle name="Normal 3 8 5 6 2 2 4" xfId="20423"/>
    <cellStyle name="Normal 3 8 5 6 2 2 4 2" xfId="20424"/>
    <cellStyle name="Normal 3 8 5 6 2 2 5" xfId="20425"/>
    <cellStyle name="Normal 3 8 5 6 2 3" xfId="20426"/>
    <cellStyle name="Normal 3 8 5 6 2 3 2" xfId="20427"/>
    <cellStyle name="Normal 3 8 5 6 2 3 2 2" xfId="20428"/>
    <cellStyle name="Normal 3 8 5 6 2 3 3" xfId="20429"/>
    <cellStyle name="Normal 3 8 5 6 2 3 3 2" xfId="20430"/>
    <cellStyle name="Normal 3 8 5 6 2 3 4" xfId="20431"/>
    <cellStyle name="Normal 3 8 5 6 2 3 4 2" xfId="20432"/>
    <cellStyle name="Normal 3 8 5 6 2 3 5" xfId="20433"/>
    <cellStyle name="Normal 3 8 5 6 2 4" xfId="20434"/>
    <cellStyle name="Normal 3 8 5 6 2 4 2" xfId="20435"/>
    <cellStyle name="Normal 3 8 5 6 2 5" xfId="20436"/>
    <cellStyle name="Normal 3 8 5 6 2 5 2" xfId="20437"/>
    <cellStyle name="Normal 3 8 5 6 2 6" xfId="20438"/>
    <cellStyle name="Normal 3 8 5 6 2 6 2" xfId="20439"/>
    <cellStyle name="Normal 3 8 5 6 2 7" xfId="20440"/>
    <cellStyle name="Normal 3 8 5 6 3" xfId="20441"/>
    <cellStyle name="Normal 3 8 5 6 3 2" xfId="20442"/>
    <cellStyle name="Normal 3 8 5 6 3 2 2" xfId="20443"/>
    <cellStyle name="Normal 3 8 5 6 3 3" xfId="20444"/>
    <cellStyle name="Normal 3 8 5 6 3 3 2" xfId="20445"/>
    <cellStyle name="Normal 3 8 5 6 3 4" xfId="20446"/>
    <cellStyle name="Normal 3 8 5 6 3 4 2" xfId="20447"/>
    <cellStyle name="Normal 3 8 5 6 3 5" xfId="20448"/>
    <cellStyle name="Normal 3 8 5 6 4" xfId="20449"/>
    <cellStyle name="Normal 3 8 5 6 4 2" xfId="20450"/>
    <cellStyle name="Normal 3 8 5 6 4 2 2" xfId="20451"/>
    <cellStyle name="Normal 3 8 5 6 4 3" xfId="20452"/>
    <cellStyle name="Normal 3 8 5 6 4 3 2" xfId="20453"/>
    <cellStyle name="Normal 3 8 5 6 4 4" xfId="20454"/>
    <cellStyle name="Normal 3 8 5 6 4 4 2" xfId="20455"/>
    <cellStyle name="Normal 3 8 5 6 4 5" xfId="20456"/>
    <cellStyle name="Normal 3 8 5 6 5" xfId="20457"/>
    <cellStyle name="Normal 3 8 5 6 5 2" xfId="20458"/>
    <cellStyle name="Normal 3 8 5 6 6" xfId="20459"/>
    <cellStyle name="Normal 3 8 5 6 6 2" xfId="20460"/>
    <cellStyle name="Normal 3 8 5 6 7" xfId="20461"/>
    <cellStyle name="Normal 3 8 5 6 7 2" xfId="20462"/>
    <cellStyle name="Normal 3 8 5 6 8" xfId="20463"/>
    <cellStyle name="Normal 3 8 5 7" xfId="20464"/>
    <cellStyle name="Normal 3 8 5 7 2" xfId="20465"/>
    <cellStyle name="Normal 3 8 5 7 2 2" xfId="20466"/>
    <cellStyle name="Normal 3 8 5 7 2 2 2" xfId="20467"/>
    <cellStyle name="Normal 3 8 5 7 2 2 2 2" xfId="20468"/>
    <cellStyle name="Normal 3 8 5 7 2 2 3" xfId="20469"/>
    <cellStyle name="Normal 3 8 5 7 2 2 3 2" xfId="20470"/>
    <cellStyle name="Normal 3 8 5 7 2 2 4" xfId="20471"/>
    <cellStyle name="Normal 3 8 5 7 2 2 4 2" xfId="20472"/>
    <cellStyle name="Normal 3 8 5 7 2 2 5" xfId="20473"/>
    <cellStyle name="Normal 3 8 5 7 2 3" xfId="20474"/>
    <cellStyle name="Normal 3 8 5 7 2 3 2" xfId="20475"/>
    <cellStyle name="Normal 3 8 5 7 2 3 2 2" xfId="20476"/>
    <cellStyle name="Normal 3 8 5 7 2 3 3" xfId="20477"/>
    <cellStyle name="Normal 3 8 5 7 2 3 3 2" xfId="20478"/>
    <cellStyle name="Normal 3 8 5 7 2 3 4" xfId="20479"/>
    <cellStyle name="Normal 3 8 5 7 2 3 4 2" xfId="20480"/>
    <cellStyle name="Normal 3 8 5 7 2 3 5" xfId="20481"/>
    <cellStyle name="Normal 3 8 5 7 2 4" xfId="20482"/>
    <cellStyle name="Normal 3 8 5 7 2 4 2" xfId="20483"/>
    <cellStyle name="Normal 3 8 5 7 2 5" xfId="20484"/>
    <cellStyle name="Normal 3 8 5 7 2 5 2" xfId="20485"/>
    <cellStyle name="Normal 3 8 5 7 2 6" xfId="20486"/>
    <cellStyle name="Normal 3 8 5 7 2 6 2" xfId="20487"/>
    <cellStyle name="Normal 3 8 5 7 2 7" xfId="20488"/>
    <cellStyle name="Normal 3 8 5 7 3" xfId="20489"/>
    <cellStyle name="Normal 3 8 5 7 3 2" xfId="20490"/>
    <cellStyle name="Normal 3 8 5 7 3 2 2" xfId="20491"/>
    <cellStyle name="Normal 3 8 5 7 3 3" xfId="20492"/>
    <cellStyle name="Normal 3 8 5 7 3 3 2" xfId="20493"/>
    <cellStyle name="Normal 3 8 5 7 3 4" xfId="20494"/>
    <cellStyle name="Normal 3 8 5 7 3 4 2" xfId="20495"/>
    <cellStyle name="Normal 3 8 5 7 3 5" xfId="20496"/>
    <cellStyle name="Normal 3 8 5 7 4" xfId="20497"/>
    <cellStyle name="Normal 3 8 5 7 4 2" xfId="20498"/>
    <cellStyle name="Normal 3 8 5 7 4 2 2" xfId="20499"/>
    <cellStyle name="Normal 3 8 5 7 4 3" xfId="20500"/>
    <cellStyle name="Normal 3 8 5 7 4 3 2" xfId="20501"/>
    <cellStyle name="Normal 3 8 5 7 4 4" xfId="20502"/>
    <cellStyle name="Normal 3 8 5 7 4 4 2" xfId="20503"/>
    <cellStyle name="Normal 3 8 5 7 4 5" xfId="20504"/>
    <cellStyle name="Normal 3 8 5 7 5" xfId="20505"/>
    <cellStyle name="Normal 3 8 5 7 5 2" xfId="20506"/>
    <cellStyle name="Normal 3 8 5 7 6" xfId="20507"/>
    <cellStyle name="Normal 3 8 5 7 6 2" xfId="20508"/>
    <cellStyle name="Normal 3 8 5 7 7" xfId="20509"/>
    <cellStyle name="Normal 3 8 5 7 7 2" xfId="20510"/>
    <cellStyle name="Normal 3 8 5 7 8" xfId="20511"/>
    <cellStyle name="Normal 3 8 5 8" xfId="20512"/>
    <cellStyle name="Normal 3 8 5 8 2" xfId="20513"/>
    <cellStyle name="Normal 3 8 5 8 2 2" xfId="20514"/>
    <cellStyle name="Normal 3 8 5 8 2 2 2" xfId="20515"/>
    <cellStyle name="Normal 3 8 5 8 2 3" xfId="20516"/>
    <cellStyle name="Normal 3 8 5 8 2 3 2" xfId="20517"/>
    <cellStyle name="Normal 3 8 5 8 2 4" xfId="20518"/>
    <cellStyle name="Normal 3 8 5 8 2 4 2" xfId="20519"/>
    <cellStyle name="Normal 3 8 5 8 2 5" xfId="20520"/>
    <cellStyle name="Normal 3 8 5 8 3" xfId="20521"/>
    <cellStyle name="Normal 3 8 5 8 3 2" xfId="20522"/>
    <cellStyle name="Normal 3 8 5 8 3 2 2" xfId="20523"/>
    <cellStyle name="Normal 3 8 5 8 3 3" xfId="20524"/>
    <cellStyle name="Normal 3 8 5 8 3 3 2" xfId="20525"/>
    <cellStyle name="Normal 3 8 5 8 3 4" xfId="20526"/>
    <cellStyle name="Normal 3 8 5 8 3 4 2" xfId="20527"/>
    <cellStyle name="Normal 3 8 5 8 3 5" xfId="20528"/>
    <cellStyle name="Normal 3 8 5 8 4" xfId="20529"/>
    <cellStyle name="Normal 3 8 5 8 4 2" xfId="20530"/>
    <cellStyle name="Normal 3 8 5 8 5" xfId="20531"/>
    <cellStyle name="Normal 3 8 5 8 5 2" xfId="20532"/>
    <cellStyle name="Normal 3 8 5 8 6" xfId="20533"/>
    <cellStyle name="Normal 3 8 5 8 6 2" xfId="20534"/>
    <cellStyle name="Normal 3 8 5 8 7" xfId="20535"/>
    <cellStyle name="Normal 3 8 5 9" xfId="20536"/>
    <cellStyle name="Normal 3 8 5 9 2" xfId="20537"/>
    <cellStyle name="Normal 3 8 5 9 2 2" xfId="20538"/>
    <cellStyle name="Normal 3 8 5 9 3" xfId="20539"/>
    <cellStyle name="Normal 3 8 5 9 3 2" xfId="20540"/>
    <cellStyle name="Normal 3 8 5 9 4" xfId="20541"/>
    <cellStyle name="Normal 3 8 5 9 4 2" xfId="20542"/>
    <cellStyle name="Normal 3 8 5 9 5" xfId="20543"/>
    <cellStyle name="Normal 3 8 6" xfId="20544"/>
    <cellStyle name="Normal 3 8 6 10" xfId="20545"/>
    <cellStyle name="Normal 3 8 6 10 2" xfId="20546"/>
    <cellStyle name="Normal 3 8 6 11" xfId="20547"/>
    <cellStyle name="Normal 3 8 6 11 2" xfId="20548"/>
    <cellStyle name="Normal 3 8 6 12" xfId="20549"/>
    <cellStyle name="Normal 3 8 6 12 2" xfId="20550"/>
    <cellStyle name="Normal 3 8 6 13" xfId="20551"/>
    <cellStyle name="Normal 3 8 6 2" xfId="20552"/>
    <cellStyle name="Normal 3 8 6 2 2" xfId="20553"/>
    <cellStyle name="Normal 3 8 6 2 2 2" xfId="20554"/>
    <cellStyle name="Normal 3 8 6 2 2 2 2" xfId="20555"/>
    <cellStyle name="Normal 3 8 6 2 2 2 2 2" xfId="20556"/>
    <cellStyle name="Normal 3 8 6 2 2 2 3" xfId="20557"/>
    <cellStyle name="Normal 3 8 6 2 2 2 3 2" xfId="20558"/>
    <cellStyle name="Normal 3 8 6 2 2 2 4" xfId="20559"/>
    <cellStyle name="Normal 3 8 6 2 2 2 4 2" xfId="20560"/>
    <cellStyle name="Normal 3 8 6 2 2 2 5" xfId="20561"/>
    <cellStyle name="Normal 3 8 6 2 2 3" xfId="20562"/>
    <cellStyle name="Normal 3 8 6 2 2 3 2" xfId="20563"/>
    <cellStyle name="Normal 3 8 6 2 2 3 2 2" xfId="20564"/>
    <cellStyle name="Normal 3 8 6 2 2 3 3" xfId="20565"/>
    <cellStyle name="Normal 3 8 6 2 2 3 3 2" xfId="20566"/>
    <cellStyle name="Normal 3 8 6 2 2 3 4" xfId="20567"/>
    <cellStyle name="Normal 3 8 6 2 2 3 4 2" xfId="20568"/>
    <cellStyle name="Normal 3 8 6 2 2 3 5" xfId="20569"/>
    <cellStyle name="Normal 3 8 6 2 2 4" xfId="20570"/>
    <cellStyle name="Normal 3 8 6 2 2 4 2" xfId="20571"/>
    <cellStyle name="Normal 3 8 6 2 2 5" xfId="20572"/>
    <cellStyle name="Normal 3 8 6 2 2 5 2" xfId="20573"/>
    <cellStyle name="Normal 3 8 6 2 2 6" xfId="20574"/>
    <cellStyle name="Normal 3 8 6 2 2 6 2" xfId="20575"/>
    <cellStyle name="Normal 3 8 6 2 2 7" xfId="20576"/>
    <cellStyle name="Normal 3 8 6 2 3" xfId="20577"/>
    <cellStyle name="Normal 3 8 6 2 3 2" xfId="20578"/>
    <cellStyle name="Normal 3 8 6 2 3 2 2" xfId="20579"/>
    <cellStyle name="Normal 3 8 6 2 3 3" xfId="20580"/>
    <cellStyle name="Normal 3 8 6 2 3 3 2" xfId="20581"/>
    <cellStyle name="Normal 3 8 6 2 3 4" xfId="20582"/>
    <cellStyle name="Normal 3 8 6 2 3 4 2" xfId="20583"/>
    <cellStyle name="Normal 3 8 6 2 3 5" xfId="20584"/>
    <cellStyle name="Normal 3 8 6 2 4" xfId="20585"/>
    <cellStyle name="Normal 3 8 6 2 4 2" xfId="20586"/>
    <cellStyle name="Normal 3 8 6 2 4 2 2" xfId="20587"/>
    <cellStyle name="Normal 3 8 6 2 4 3" xfId="20588"/>
    <cellStyle name="Normal 3 8 6 2 4 3 2" xfId="20589"/>
    <cellStyle name="Normal 3 8 6 2 4 4" xfId="20590"/>
    <cellStyle name="Normal 3 8 6 2 4 4 2" xfId="20591"/>
    <cellStyle name="Normal 3 8 6 2 4 5" xfId="20592"/>
    <cellStyle name="Normal 3 8 6 2 5" xfId="20593"/>
    <cellStyle name="Normal 3 8 6 2 5 2" xfId="20594"/>
    <cellStyle name="Normal 3 8 6 2 6" xfId="20595"/>
    <cellStyle name="Normal 3 8 6 2 6 2" xfId="20596"/>
    <cellStyle name="Normal 3 8 6 2 7" xfId="20597"/>
    <cellStyle name="Normal 3 8 6 2 7 2" xfId="20598"/>
    <cellStyle name="Normal 3 8 6 2 8" xfId="20599"/>
    <cellStyle name="Normal 3 8 6 3" xfId="20600"/>
    <cellStyle name="Normal 3 8 6 3 2" xfId="20601"/>
    <cellStyle name="Normal 3 8 6 3 2 2" xfId="20602"/>
    <cellStyle name="Normal 3 8 6 3 2 2 2" xfId="20603"/>
    <cellStyle name="Normal 3 8 6 3 2 2 2 2" xfId="20604"/>
    <cellStyle name="Normal 3 8 6 3 2 2 3" xfId="20605"/>
    <cellStyle name="Normal 3 8 6 3 2 2 3 2" xfId="20606"/>
    <cellStyle name="Normal 3 8 6 3 2 2 4" xfId="20607"/>
    <cellStyle name="Normal 3 8 6 3 2 2 4 2" xfId="20608"/>
    <cellStyle name="Normal 3 8 6 3 2 2 5" xfId="20609"/>
    <cellStyle name="Normal 3 8 6 3 2 3" xfId="20610"/>
    <cellStyle name="Normal 3 8 6 3 2 3 2" xfId="20611"/>
    <cellStyle name="Normal 3 8 6 3 2 3 2 2" xfId="20612"/>
    <cellStyle name="Normal 3 8 6 3 2 3 3" xfId="20613"/>
    <cellStyle name="Normal 3 8 6 3 2 3 3 2" xfId="20614"/>
    <cellStyle name="Normal 3 8 6 3 2 3 4" xfId="20615"/>
    <cellStyle name="Normal 3 8 6 3 2 3 4 2" xfId="20616"/>
    <cellStyle name="Normal 3 8 6 3 2 3 5" xfId="20617"/>
    <cellStyle name="Normal 3 8 6 3 2 4" xfId="20618"/>
    <cellStyle name="Normal 3 8 6 3 2 4 2" xfId="20619"/>
    <cellStyle name="Normal 3 8 6 3 2 5" xfId="20620"/>
    <cellStyle name="Normal 3 8 6 3 2 5 2" xfId="20621"/>
    <cellStyle name="Normal 3 8 6 3 2 6" xfId="20622"/>
    <cellStyle name="Normal 3 8 6 3 2 6 2" xfId="20623"/>
    <cellStyle name="Normal 3 8 6 3 2 7" xfId="20624"/>
    <cellStyle name="Normal 3 8 6 3 3" xfId="20625"/>
    <cellStyle name="Normal 3 8 6 3 3 2" xfId="20626"/>
    <cellStyle name="Normal 3 8 6 3 3 2 2" xfId="20627"/>
    <cellStyle name="Normal 3 8 6 3 3 3" xfId="20628"/>
    <cellStyle name="Normal 3 8 6 3 3 3 2" xfId="20629"/>
    <cellStyle name="Normal 3 8 6 3 3 4" xfId="20630"/>
    <cellStyle name="Normal 3 8 6 3 3 4 2" xfId="20631"/>
    <cellStyle name="Normal 3 8 6 3 3 5" xfId="20632"/>
    <cellStyle name="Normal 3 8 6 3 4" xfId="20633"/>
    <cellStyle name="Normal 3 8 6 3 4 2" xfId="20634"/>
    <cellStyle name="Normal 3 8 6 3 4 2 2" xfId="20635"/>
    <cellStyle name="Normal 3 8 6 3 4 3" xfId="20636"/>
    <cellStyle name="Normal 3 8 6 3 4 3 2" xfId="20637"/>
    <cellStyle name="Normal 3 8 6 3 4 4" xfId="20638"/>
    <cellStyle name="Normal 3 8 6 3 4 4 2" xfId="20639"/>
    <cellStyle name="Normal 3 8 6 3 4 5" xfId="20640"/>
    <cellStyle name="Normal 3 8 6 3 5" xfId="20641"/>
    <cellStyle name="Normal 3 8 6 3 5 2" xfId="20642"/>
    <cellStyle name="Normal 3 8 6 3 6" xfId="20643"/>
    <cellStyle name="Normal 3 8 6 3 6 2" xfId="20644"/>
    <cellStyle name="Normal 3 8 6 3 7" xfId="20645"/>
    <cellStyle name="Normal 3 8 6 3 7 2" xfId="20646"/>
    <cellStyle name="Normal 3 8 6 3 8" xfId="20647"/>
    <cellStyle name="Normal 3 8 6 4" xfId="20648"/>
    <cellStyle name="Normal 3 8 6 4 2" xfId="20649"/>
    <cellStyle name="Normal 3 8 6 4 2 2" xfId="20650"/>
    <cellStyle name="Normal 3 8 6 4 2 2 2" xfId="20651"/>
    <cellStyle name="Normal 3 8 6 4 2 2 2 2" xfId="20652"/>
    <cellStyle name="Normal 3 8 6 4 2 2 3" xfId="20653"/>
    <cellStyle name="Normal 3 8 6 4 2 2 3 2" xfId="20654"/>
    <cellStyle name="Normal 3 8 6 4 2 2 4" xfId="20655"/>
    <cellStyle name="Normal 3 8 6 4 2 2 4 2" xfId="20656"/>
    <cellStyle name="Normal 3 8 6 4 2 2 5" xfId="20657"/>
    <cellStyle name="Normal 3 8 6 4 2 3" xfId="20658"/>
    <cellStyle name="Normal 3 8 6 4 2 3 2" xfId="20659"/>
    <cellStyle name="Normal 3 8 6 4 2 3 2 2" xfId="20660"/>
    <cellStyle name="Normal 3 8 6 4 2 3 3" xfId="20661"/>
    <cellStyle name="Normal 3 8 6 4 2 3 3 2" xfId="20662"/>
    <cellStyle name="Normal 3 8 6 4 2 3 4" xfId="20663"/>
    <cellStyle name="Normal 3 8 6 4 2 3 4 2" xfId="20664"/>
    <cellStyle name="Normal 3 8 6 4 2 3 5" xfId="20665"/>
    <cellStyle name="Normal 3 8 6 4 2 4" xfId="20666"/>
    <cellStyle name="Normal 3 8 6 4 2 4 2" xfId="20667"/>
    <cellStyle name="Normal 3 8 6 4 2 5" xfId="20668"/>
    <cellStyle name="Normal 3 8 6 4 2 5 2" xfId="20669"/>
    <cellStyle name="Normal 3 8 6 4 2 6" xfId="20670"/>
    <cellStyle name="Normal 3 8 6 4 2 6 2" xfId="20671"/>
    <cellStyle name="Normal 3 8 6 4 2 7" xfId="20672"/>
    <cellStyle name="Normal 3 8 6 4 3" xfId="20673"/>
    <cellStyle name="Normal 3 8 6 4 3 2" xfId="20674"/>
    <cellStyle name="Normal 3 8 6 4 3 2 2" xfId="20675"/>
    <cellStyle name="Normal 3 8 6 4 3 3" xfId="20676"/>
    <cellStyle name="Normal 3 8 6 4 3 3 2" xfId="20677"/>
    <cellStyle name="Normal 3 8 6 4 3 4" xfId="20678"/>
    <cellStyle name="Normal 3 8 6 4 3 4 2" xfId="20679"/>
    <cellStyle name="Normal 3 8 6 4 3 5" xfId="20680"/>
    <cellStyle name="Normal 3 8 6 4 4" xfId="20681"/>
    <cellStyle name="Normal 3 8 6 4 4 2" xfId="20682"/>
    <cellStyle name="Normal 3 8 6 4 4 2 2" xfId="20683"/>
    <cellStyle name="Normal 3 8 6 4 4 3" xfId="20684"/>
    <cellStyle name="Normal 3 8 6 4 4 3 2" xfId="20685"/>
    <cellStyle name="Normal 3 8 6 4 4 4" xfId="20686"/>
    <cellStyle name="Normal 3 8 6 4 4 4 2" xfId="20687"/>
    <cellStyle name="Normal 3 8 6 4 4 5" xfId="20688"/>
    <cellStyle name="Normal 3 8 6 4 5" xfId="20689"/>
    <cellStyle name="Normal 3 8 6 4 5 2" xfId="20690"/>
    <cellStyle name="Normal 3 8 6 4 6" xfId="20691"/>
    <cellStyle name="Normal 3 8 6 4 6 2" xfId="20692"/>
    <cellStyle name="Normal 3 8 6 4 7" xfId="20693"/>
    <cellStyle name="Normal 3 8 6 4 7 2" xfId="20694"/>
    <cellStyle name="Normal 3 8 6 4 8" xfId="20695"/>
    <cellStyle name="Normal 3 8 6 5" xfId="20696"/>
    <cellStyle name="Normal 3 8 6 5 2" xfId="20697"/>
    <cellStyle name="Normal 3 8 6 5 2 2" xfId="20698"/>
    <cellStyle name="Normal 3 8 6 5 2 2 2" xfId="20699"/>
    <cellStyle name="Normal 3 8 6 5 2 2 2 2" xfId="20700"/>
    <cellStyle name="Normal 3 8 6 5 2 2 3" xfId="20701"/>
    <cellStyle name="Normal 3 8 6 5 2 2 3 2" xfId="20702"/>
    <cellStyle name="Normal 3 8 6 5 2 2 4" xfId="20703"/>
    <cellStyle name="Normal 3 8 6 5 2 2 4 2" xfId="20704"/>
    <cellStyle name="Normal 3 8 6 5 2 2 5" xfId="20705"/>
    <cellStyle name="Normal 3 8 6 5 2 3" xfId="20706"/>
    <cellStyle name="Normal 3 8 6 5 2 3 2" xfId="20707"/>
    <cellStyle name="Normal 3 8 6 5 2 3 2 2" xfId="20708"/>
    <cellStyle name="Normal 3 8 6 5 2 3 3" xfId="20709"/>
    <cellStyle name="Normal 3 8 6 5 2 3 3 2" xfId="20710"/>
    <cellStyle name="Normal 3 8 6 5 2 3 4" xfId="20711"/>
    <cellStyle name="Normal 3 8 6 5 2 3 4 2" xfId="20712"/>
    <cellStyle name="Normal 3 8 6 5 2 3 5" xfId="20713"/>
    <cellStyle name="Normal 3 8 6 5 2 4" xfId="20714"/>
    <cellStyle name="Normal 3 8 6 5 2 4 2" xfId="20715"/>
    <cellStyle name="Normal 3 8 6 5 2 5" xfId="20716"/>
    <cellStyle name="Normal 3 8 6 5 2 5 2" xfId="20717"/>
    <cellStyle name="Normal 3 8 6 5 2 6" xfId="20718"/>
    <cellStyle name="Normal 3 8 6 5 2 6 2" xfId="20719"/>
    <cellStyle name="Normal 3 8 6 5 2 7" xfId="20720"/>
    <cellStyle name="Normal 3 8 6 5 3" xfId="20721"/>
    <cellStyle name="Normal 3 8 6 5 3 2" xfId="20722"/>
    <cellStyle name="Normal 3 8 6 5 3 2 2" xfId="20723"/>
    <cellStyle name="Normal 3 8 6 5 3 3" xfId="20724"/>
    <cellStyle name="Normal 3 8 6 5 3 3 2" xfId="20725"/>
    <cellStyle name="Normal 3 8 6 5 3 4" xfId="20726"/>
    <cellStyle name="Normal 3 8 6 5 3 4 2" xfId="20727"/>
    <cellStyle name="Normal 3 8 6 5 3 5" xfId="20728"/>
    <cellStyle name="Normal 3 8 6 5 4" xfId="20729"/>
    <cellStyle name="Normal 3 8 6 5 4 2" xfId="20730"/>
    <cellStyle name="Normal 3 8 6 5 4 2 2" xfId="20731"/>
    <cellStyle name="Normal 3 8 6 5 4 3" xfId="20732"/>
    <cellStyle name="Normal 3 8 6 5 4 3 2" xfId="20733"/>
    <cellStyle name="Normal 3 8 6 5 4 4" xfId="20734"/>
    <cellStyle name="Normal 3 8 6 5 4 4 2" xfId="20735"/>
    <cellStyle name="Normal 3 8 6 5 4 5" xfId="20736"/>
    <cellStyle name="Normal 3 8 6 5 5" xfId="20737"/>
    <cellStyle name="Normal 3 8 6 5 5 2" xfId="20738"/>
    <cellStyle name="Normal 3 8 6 5 6" xfId="20739"/>
    <cellStyle name="Normal 3 8 6 5 6 2" xfId="20740"/>
    <cellStyle name="Normal 3 8 6 5 7" xfId="20741"/>
    <cellStyle name="Normal 3 8 6 5 7 2" xfId="20742"/>
    <cellStyle name="Normal 3 8 6 5 8" xfId="20743"/>
    <cellStyle name="Normal 3 8 6 6" xfId="20744"/>
    <cellStyle name="Normal 3 8 6 6 2" xfId="20745"/>
    <cellStyle name="Normal 3 8 6 6 2 2" xfId="20746"/>
    <cellStyle name="Normal 3 8 6 6 2 2 2" xfId="20747"/>
    <cellStyle name="Normal 3 8 6 6 2 2 2 2" xfId="20748"/>
    <cellStyle name="Normal 3 8 6 6 2 2 3" xfId="20749"/>
    <cellStyle name="Normal 3 8 6 6 2 2 3 2" xfId="20750"/>
    <cellStyle name="Normal 3 8 6 6 2 2 4" xfId="20751"/>
    <cellStyle name="Normal 3 8 6 6 2 2 4 2" xfId="20752"/>
    <cellStyle name="Normal 3 8 6 6 2 2 5" xfId="20753"/>
    <cellStyle name="Normal 3 8 6 6 2 3" xfId="20754"/>
    <cellStyle name="Normal 3 8 6 6 2 3 2" xfId="20755"/>
    <cellStyle name="Normal 3 8 6 6 2 3 2 2" xfId="20756"/>
    <cellStyle name="Normal 3 8 6 6 2 3 3" xfId="20757"/>
    <cellStyle name="Normal 3 8 6 6 2 3 3 2" xfId="20758"/>
    <cellStyle name="Normal 3 8 6 6 2 3 4" xfId="20759"/>
    <cellStyle name="Normal 3 8 6 6 2 3 4 2" xfId="20760"/>
    <cellStyle name="Normal 3 8 6 6 2 3 5" xfId="20761"/>
    <cellStyle name="Normal 3 8 6 6 2 4" xfId="20762"/>
    <cellStyle name="Normal 3 8 6 6 2 4 2" xfId="20763"/>
    <cellStyle name="Normal 3 8 6 6 2 5" xfId="20764"/>
    <cellStyle name="Normal 3 8 6 6 2 5 2" xfId="20765"/>
    <cellStyle name="Normal 3 8 6 6 2 6" xfId="20766"/>
    <cellStyle name="Normal 3 8 6 6 2 6 2" xfId="20767"/>
    <cellStyle name="Normal 3 8 6 6 2 7" xfId="20768"/>
    <cellStyle name="Normal 3 8 6 6 3" xfId="20769"/>
    <cellStyle name="Normal 3 8 6 6 3 2" xfId="20770"/>
    <cellStyle name="Normal 3 8 6 6 3 2 2" xfId="20771"/>
    <cellStyle name="Normal 3 8 6 6 3 3" xfId="20772"/>
    <cellStyle name="Normal 3 8 6 6 3 3 2" xfId="20773"/>
    <cellStyle name="Normal 3 8 6 6 3 4" xfId="20774"/>
    <cellStyle name="Normal 3 8 6 6 3 4 2" xfId="20775"/>
    <cellStyle name="Normal 3 8 6 6 3 5" xfId="20776"/>
    <cellStyle name="Normal 3 8 6 6 4" xfId="20777"/>
    <cellStyle name="Normal 3 8 6 6 4 2" xfId="20778"/>
    <cellStyle name="Normal 3 8 6 6 4 2 2" xfId="20779"/>
    <cellStyle name="Normal 3 8 6 6 4 3" xfId="20780"/>
    <cellStyle name="Normal 3 8 6 6 4 3 2" xfId="20781"/>
    <cellStyle name="Normal 3 8 6 6 4 4" xfId="20782"/>
    <cellStyle name="Normal 3 8 6 6 4 4 2" xfId="20783"/>
    <cellStyle name="Normal 3 8 6 6 4 5" xfId="20784"/>
    <cellStyle name="Normal 3 8 6 6 5" xfId="20785"/>
    <cellStyle name="Normal 3 8 6 6 5 2" xfId="20786"/>
    <cellStyle name="Normal 3 8 6 6 6" xfId="20787"/>
    <cellStyle name="Normal 3 8 6 6 6 2" xfId="20788"/>
    <cellStyle name="Normal 3 8 6 6 7" xfId="20789"/>
    <cellStyle name="Normal 3 8 6 6 7 2" xfId="20790"/>
    <cellStyle name="Normal 3 8 6 6 8" xfId="20791"/>
    <cellStyle name="Normal 3 8 6 7" xfId="20792"/>
    <cellStyle name="Normal 3 8 6 7 2" xfId="20793"/>
    <cellStyle name="Normal 3 8 6 7 2 2" xfId="20794"/>
    <cellStyle name="Normal 3 8 6 7 2 2 2" xfId="20795"/>
    <cellStyle name="Normal 3 8 6 7 2 3" xfId="20796"/>
    <cellStyle name="Normal 3 8 6 7 2 3 2" xfId="20797"/>
    <cellStyle name="Normal 3 8 6 7 2 4" xfId="20798"/>
    <cellStyle name="Normal 3 8 6 7 2 4 2" xfId="20799"/>
    <cellStyle name="Normal 3 8 6 7 2 5" xfId="20800"/>
    <cellStyle name="Normal 3 8 6 7 3" xfId="20801"/>
    <cellStyle name="Normal 3 8 6 7 3 2" xfId="20802"/>
    <cellStyle name="Normal 3 8 6 7 3 2 2" xfId="20803"/>
    <cellStyle name="Normal 3 8 6 7 3 3" xfId="20804"/>
    <cellStyle name="Normal 3 8 6 7 3 3 2" xfId="20805"/>
    <cellStyle name="Normal 3 8 6 7 3 4" xfId="20806"/>
    <cellStyle name="Normal 3 8 6 7 3 4 2" xfId="20807"/>
    <cellStyle name="Normal 3 8 6 7 3 5" xfId="20808"/>
    <cellStyle name="Normal 3 8 6 7 4" xfId="20809"/>
    <cellStyle name="Normal 3 8 6 7 4 2" xfId="20810"/>
    <cellStyle name="Normal 3 8 6 7 5" xfId="20811"/>
    <cellStyle name="Normal 3 8 6 7 5 2" xfId="20812"/>
    <cellStyle name="Normal 3 8 6 7 6" xfId="20813"/>
    <cellStyle name="Normal 3 8 6 7 6 2" xfId="20814"/>
    <cellStyle name="Normal 3 8 6 7 7" xfId="20815"/>
    <cellStyle name="Normal 3 8 6 8" xfId="20816"/>
    <cellStyle name="Normal 3 8 6 8 2" xfId="20817"/>
    <cellStyle name="Normal 3 8 6 8 2 2" xfId="20818"/>
    <cellStyle name="Normal 3 8 6 8 3" xfId="20819"/>
    <cellStyle name="Normal 3 8 6 8 3 2" xfId="20820"/>
    <cellStyle name="Normal 3 8 6 8 4" xfId="20821"/>
    <cellStyle name="Normal 3 8 6 8 4 2" xfId="20822"/>
    <cellStyle name="Normal 3 8 6 8 5" xfId="20823"/>
    <cellStyle name="Normal 3 8 6 9" xfId="20824"/>
    <cellStyle name="Normal 3 8 6 9 2" xfId="20825"/>
    <cellStyle name="Normal 3 8 6 9 2 2" xfId="20826"/>
    <cellStyle name="Normal 3 8 6 9 3" xfId="20827"/>
    <cellStyle name="Normal 3 8 6 9 3 2" xfId="20828"/>
    <cellStyle name="Normal 3 8 6 9 4" xfId="20829"/>
    <cellStyle name="Normal 3 8 6 9 4 2" xfId="20830"/>
    <cellStyle name="Normal 3 8 6 9 5" xfId="20831"/>
    <cellStyle name="Normal 3 8 7" xfId="20832"/>
    <cellStyle name="Normal 3 8 7 2" xfId="20833"/>
    <cellStyle name="Normal 3 8 7 2 2" xfId="20834"/>
    <cellStyle name="Normal 3 8 7 2 2 2" xfId="20835"/>
    <cellStyle name="Normal 3 8 7 2 2 2 2" xfId="20836"/>
    <cellStyle name="Normal 3 8 7 2 2 3" xfId="20837"/>
    <cellStyle name="Normal 3 8 7 2 2 3 2" xfId="20838"/>
    <cellStyle name="Normal 3 8 7 2 2 4" xfId="20839"/>
    <cellStyle name="Normal 3 8 7 2 2 4 2" xfId="20840"/>
    <cellStyle name="Normal 3 8 7 2 2 5" xfId="20841"/>
    <cellStyle name="Normal 3 8 7 2 3" xfId="20842"/>
    <cellStyle name="Normal 3 8 7 2 3 2" xfId="20843"/>
    <cellStyle name="Normal 3 8 7 2 3 2 2" xfId="20844"/>
    <cellStyle name="Normal 3 8 7 2 3 3" xfId="20845"/>
    <cellStyle name="Normal 3 8 7 2 3 3 2" xfId="20846"/>
    <cellStyle name="Normal 3 8 7 2 3 4" xfId="20847"/>
    <cellStyle name="Normal 3 8 7 2 3 4 2" xfId="20848"/>
    <cellStyle name="Normal 3 8 7 2 3 5" xfId="20849"/>
    <cellStyle name="Normal 3 8 7 2 4" xfId="20850"/>
    <cellStyle name="Normal 3 8 7 2 4 2" xfId="20851"/>
    <cellStyle name="Normal 3 8 7 2 5" xfId="20852"/>
    <cellStyle name="Normal 3 8 7 2 5 2" xfId="20853"/>
    <cellStyle name="Normal 3 8 7 2 6" xfId="20854"/>
    <cellStyle name="Normal 3 8 7 2 6 2" xfId="20855"/>
    <cellStyle name="Normal 3 8 7 2 7" xfId="20856"/>
    <cellStyle name="Normal 3 8 7 3" xfId="20857"/>
    <cellStyle name="Normal 3 8 7 3 2" xfId="20858"/>
    <cellStyle name="Normal 3 8 7 3 2 2" xfId="20859"/>
    <cellStyle name="Normal 3 8 7 3 3" xfId="20860"/>
    <cellStyle name="Normal 3 8 7 3 3 2" xfId="20861"/>
    <cellStyle name="Normal 3 8 7 3 4" xfId="20862"/>
    <cellStyle name="Normal 3 8 7 3 4 2" xfId="20863"/>
    <cellStyle name="Normal 3 8 7 3 5" xfId="20864"/>
    <cellStyle name="Normal 3 8 7 4" xfId="20865"/>
    <cellStyle name="Normal 3 8 7 4 2" xfId="20866"/>
    <cellStyle name="Normal 3 8 7 4 2 2" xfId="20867"/>
    <cellStyle name="Normal 3 8 7 4 3" xfId="20868"/>
    <cellStyle name="Normal 3 8 7 4 3 2" xfId="20869"/>
    <cellStyle name="Normal 3 8 7 4 4" xfId="20870"/>
    <cellStyle name="Normal 3 8 7 4 4 2" xfId="20871"/>
    <cellStyle name="Normal 3 8 7 4 5" xfId="20872"/>
    <cellStyle name="Normal 3 8 7 5" xfId="20873"/>
    <cellStyle name="Normal 3 8 7 5 2" xfId="20874"/>
    <cellStyle name="Normal 3 8 7 6" xfId="20875"/>
    <cellStyle name="Normal 3 8 7 6 2" xfId="20876"/>
    <cellStyle name="Normal 3 8 7 7" xfId="20877"/>
    <cellStyle name="Normal 3 8 7 7 2" xfId="20878"/>
    <cellStyle name="Normal 3 8 7 8" xfId="20879"/>
    <cellStyle name="Normal 3 8 8" xfId="20880"/>
    <cellStyle name="Normal 3 8 8 2" xfId="20881"/>
    <cellStyle name="Normal 3 8 8 2 2" xfId="20882"/>
    <cellStyle name="Normal 3 8 8 2 2 2" xfId="20883"/>
    <cellStyle name="Normal 3 8 8 2 2 2 2" xfId="20884"/>
    <cellStyle name="Normal 3 8 8 2 2 3" xfId="20885"/>
    <cellStyle name="Normal 3 8 8 2 2 3 2" xfId="20886"/>
    <cellStyle name="Normal 3 8 8 2 2 4" xfId="20887"/>
    <cellStyle name="Normal 3 8 8 2 2 4 2" xfId="20888"/>
    <cellStyle name="Normal 3 8 8 2 2 5" xfId="20889"/>
    <cellStyle name="Normal 3 8 8 2 3" xfId="20890"/>
    <cellStyle name="Normal 3 8 8 2 3 2" xfId="20891"/>
    <cellStyle name="Normal 3 8 8 2 3 2 2" xfId="20892"/>
    <cellStyle name="Normal 3 8 8 2 3 3" xfId="20893"/>
    <cellStyle name="Normal 3 8 8 2 3 3 2" xfId="20894"/>
    <cellStyle name="Normal 3 8 8 2 3 4" xfId="20895"/>
    <cellStyle name="Normal 3 8 8 2 3 4 2" xfId="20896"/>
    <cellStyle name="Normal 3 8 8 2 3 5" xfId="20897"/>
    <cellStyle name="Normal 3 8 8 2 4" xfId="20898"/>
    <cellStyle name="Normal 3 8 8 2 4 2" xfId="20899"/>
    <cellStyle name="Normal 3 8 8 2 5" xfId="20900"/>
    <cellStyle name="Normal 3 8 8 2 5 2" xfId="20901"/>
    <cellStyle name="Normal 3 8 8 2 6" xfId="20902"/>
    <cellStyle name="Normal 3 8 8 2 6 2" xfId="20903"/>
    <cellStyle name="Normal 3 8 8 2 7" xfId="20904"/>
    <cellStyle name="Normal 3 8 8 3" xfId="20905"/>
    <cellStyle name="Normal 3 8 8 3 2" xfId="20906"/>
    <cellStyle name="Normal 3 8 8 3 2 2" xfId="20907"/>
    <cellStyle name="Normal 3 8 8 3 3" xfId="20908"/>
    <cellStyle name="Normal 3 8 8 3 3 2" xfId="20909"/>
    <cellStyle name="Normal 3 8 8 3 4" xfId="20910"/>
    <cellStyle name="Normal 3 8 8 3 4 2" xfId="20911"/>
    <cellStyle name="Normal 3 8 8 3 5" xfId="20912"/>
    <cellStyle name="Normal 3 8 8 4" xfId="20913"/>
    <cellStyle name="Normal 3 8 8 4 2" xfId="20914"/>
    <cellStyle name="Normal 3 8 8 4 2 2" xfId="20915"/>
    <cellStyle name="Normal 3 8 8 4 3" xfId="20916"/>
    <cellStyle name="Normal 3 8 8 4 3 2" xfId="20917"/>
    <cellStyle name="Normal 3 8 8 4 4" xfId="20918"/>
    <cellStyle name="Normal 3 8 8 4 4 2" xfId="20919"/>
    <cellStyle name="Normal 3 8 8 4 5" xfId="20920"/>
    <cellStyle name="Normal 3 8 8 5" xfId="20921"/>
    <cellStyle name="Normal 3 8 8 5 2" xfId="20922"/>
    <cellStyle name="Normal 3 8 8 6" xfId="20923"/>
    <cellStyle name="Normal 3 8 8 6 2" xfId="20924"/>
    <cellStyle name="Normal 3 8 8 7" xfId="20925"/>
    <cellStyle name="Normal 3 8 8 7 2" xfId="20926"/>
    <cellStyle name="Normal 3 8 8 8" xfId="20927"/>
    <cellStyle name="Normal 3 8 9" xfId="20928"/>
    <cellStyle name="Normal 3 8 9 2" xfId="20929"/>
    <cellStyle name="Normal 3 8 9 2 2" xfId="20930"/>
    <cellStyle name="Normal 3 8 9 2 2 2" xfId="20931"/>
    <cellStyle name="Normal 3 8 9 2 2 2 2" xfId="20932"/>
    <cellStyle name="Normal 3 8 9 2 2 3" xfId="20933"/>
    <cellStyle name="Normal 3 8 9 2 2 3 2" xfId="20934"/>
    <cellStyle name="Normal 3 8 9 2 2 4" xfId="20935"/>
    <cellStyle name="Normal 3 8 9 2 2 4 2" xfId="20936"/>
    <cellStyle name="Normal 3 8 9 2 2 5" xfId="20937"/>
    <cellStyle name="Normal 3 8 9 2 3" xfId="20938"/>
    <cellStyle name="Normal 3 8 9 2 3 2" xfId="20939"/>
    <cellStyle name="Normal 3 8 9 2 3 2 2" xfId="20940"/>
    <cellStyle name="Normal 3 8 9 2 3 3" xfId="20941"/>
    <cellStyle name="Normal 3 8 9 2 3 3 2" xfId="20942"/>
    <cellStyle name="Normal 3 8 9 2 3 4" xfId="20943"/>
    <cellStyle name="Normal 3 8 9 2 3 4 2" xfId="20944"/>
    <cellStyle name="Normal 3 8 9 2 3 5" xfId="20945"/>
    <cellStyle name="Normal 3 8 9 2 4" xfId="20946"/>
    <cellStyle name="Normal 3 8 9 2 4 2" xfId="20947"/>
    <cellStyle name="Normal 3 8 9 2 5" xfId="20948"/>
    <cellStyle name="Normal 3 8 9 2 5 2" xfId="20949"/>
    <cellStyle name="Normal 3 8 9 2 6" xfId="20950"/>
    <cellStyle name="Normal 3 8 9 2 6 2" xfId="20951"/>
    <cellStyle name="Normal 3 8 9 2 7" xfId="20952"/>
    <cellStyle name="Normal 3 8 9 3" xfId="20953"/>
    <cellStyle name="Normal 3 8 9 3 2" xfId="20954"/>
    <cellStyle name="Normal 3 8 9 3 2 2" xfId="20955"/>
    <cellStyle name="Normal 3 8 9 3 3" xfId="20956"/>
    <cellStyle name="Normal 3 8 9 3 3 2" xfId="20957"/>
    <cellStyle name="Normal 3 8 9 3 4" xfId="20958"/>
    <cellStyle name="Normal 3 8 9 3 4 2" xfId="20959"/>
    <cellStyle name="Normal 3 8 9 3 5" xfId="20960"/>
    <cellStyle name="Normal 3 8 9 4" xfId="20961"/>
    <cellStyle name="Normal 3 8 9 4 2" xfId="20962"/>
    <cellStyle name="Normal 3 8 9 4 2 2" xfId="20963"/>
    <cellStyle name="Normal 3 8 9 4 3" xfId="20964"/>
    <cellStyle name="Normal 3 8 9 4 3 2" xfId="20965"/>
    <cellStyle name="Normal 3 8 9 4 4" xfId="20966"/>
    <cellStyle name="Normal 3 8 9 4 4 2" xfId="20967"/>
    <cellStyle name="Normal 3 8 9 4 5" xfId="20968"/>
    <cellStyle name="Normal 3 8 9 5" xfId="20969"/>
    <cellStyle name="Normal 3 8 9 5 2" xfId="20970"/>
    <cellStyle name="Normal 3 8 9 6" xfId="20971"/>
    <cellStyle name="Normal 3 8 9 6 2" xfId="20972"/>
    <cellStyle name="Normal 3 8 9 7" xfId="20973"/>
    <cellStyle name="Normal 3 8 9 7 2" xfId="20974"/>
    <cellStyle name="Normal 3 8 9 8" xfId="20975"/>
    <cellStyle name="Normal 3 8_Input" xfId="1489"/>
    <cellStyle name="Normal 3 9" xfId="846"/>
    <cellStyle name="Normal 3 9 10" xfId="20976"/>
    <cellStyle name="Normal 3 9 10 2" xfId="20977"/>
    <cellStyle name="Normal 3 9 10 2 2" xfId="20978"/>
    <cellStyle name="Normal 3 9 10 3" xfId="20979"/>
    <cellStyle name="Normal 3 9 10 3 2" xfId="20980"/>
    <cellStyle name="Normal 3 9 10 4" xfId="20981"/>
    <cellStyle name="Normal 3 9 10 4 2" xfId="20982"/>
    <cellStyle name="Normal 3 9 10 5" xfId="20983"/>
    <cellStyle name="Normal 3 9 11" xfId="20984"/>
    <cellStyle name="Normal 3 9 11 2" xfId="20985"/>
    <cellStyle name="Normal 3 9 12" xfId="20986"/>
    <cellStyle name="Normal 3 9 12 2" xfId="20987"/>
    <cellStyle name="Normal 3 9 13" xfId="20988"/>
    <cellStyle name="Normal 3 9 13 2" xfId="20989"/>
    <cellStyle name="Normal 3 9 14" xfId="20990"/>
    <cellStyle name="Normal 3 9 2" xfId="1402"/>
    <cellStyle name="Normal 3 9 2 10" xfId="20991"/>
    <cellStyle name="Normal 3 9 2 10 2" xfId="20992"/>
    <cellStyle name="Normal 3 9 2 11" xfId="20993"/>
    <cellStyle name="Normal 3 9 2 11 2" xfId="20994"/>
    <cellStyle name="Normal 3 9 2 12" xfId="20995"/>
    <cellStyle name="Normal 3 9 2 12 2" xfId="20996"/>
    <cellStyle name="Normal 3 9 2 13" xfId="20997"/>
    <cellStyle name="Normal 3 9 2 2" xfId="2008"/>
    <cellStyle name="Normal 3 9 2 2 2" xfId="20998"/>
    <cellStyle name="Normal 3 9 2 2 2 2" xfId="20999"/>
    <cellStyle name="Normal 3 9 2 2 2 2 2" xfId="21000"/>
    <cellStyle name="Normal 3 9 2 2 2 2 2 2" xfId="21001"/>
    <cellStyle name="Normal 3 9 2 2 2 2 3" xfId="21002"/>
    <cellStyle name="Normal 3 9 2 2 2 2 3 2" xfId="21003"/>
    <cellStyle name="Normal 3 9 2 2 2 2 4" xfId="21004"/>
    <cellStyle name="Normal 3 9 2 2 2 2 4 2" xfId="21005"/>
    <cellStyle name="Normal 3 9 2 2 2 2 5" xfId="21006"/>
    <cellStyle name="Normal 3 9 2 2 2 3" xfId="21007"/>
    <cellStyle name="Normal 3 9 2 2 2 3 2" xfId="21008"/>
    <cellStyle name="Normal 3 9 2 2 2 3 2 2" xfId="21009"/>
    <cellStyle name="Normal 3 9 2 2 2 3 3" xfId="21010"/>
    <cellStyle name="Normal 3 9 2 2 2 3 3 2" xfId="21011"/>
    <cellStyle name="Normal 3 9 2 2 2 3 4" xfId="21012"/>
    <cellStyle name="Normal 3 9 2 2 2 3 4 2" xfId="21013"/>
    <cellStyle name="Normal 3 9 2 2 2 3 5" xfId="21014"/>
    <cellStyle name="Normal 3 9 2 2 2 4" xfId="21015"/>
    <cellStyle name="Normal 3 9 2 2 2 4 2" xfId="21016"/>
    <cellStyle name="Normal 3 9 2 2 2 5" xfId="21017"/>
    <cellStyle name="Normal 3 9 2 2 2 5 2" xfId="21018"/>
    <cellStyle name="Normal 3 9 2 2 2 6" xfId="21019"/>
    <cellStyle name="Normal 3 9 2 2 2 6 2" xfId="21020"/>
    <cellStyle name="Normal 3 9 2 2 2 7" xfId="21021"/>
    <cellStyle name="Normal 3 9 2 2 3" xfId="21022"/>
    <cellStyle name="Normal 3 9 2 2 3 2" xfId="21023"/>
    <cellStyle name="Normal 3 9 2 2 3 2 2" xfId="21024"/>
    <cellStyle name="Normal 3 9 2 2 3 3" xfId="21025"/>
    <cellStyle name="Normal 3 9 2 2 3 3 2" xfId="21026"/>
    <cellStyle name="Normal 3 9 2 2 3 4" xfId="21027"/>
    <cellStyle name="Normal 3 9 2 2 3 4 2" xfId="21028"/>
    <cellStyle name="Normal 3 9 2 2 3 5" xfId="21029"/>
    <cellStyle name="Normal 3 9 2 2 4" xfId="21030"/>
    <cellStyle name="Normal 3 9 2 2 4 2" xfId="21031"/>
    <cellStyle name="Normal 3 9 2 2 4 2 2" xfId="21032"/>
    <cellStyle name="Normal 3 9 2 2 4 3" xfId="21033"/>
    <cellStyle name="Normal 3 9 2 2 4 3 2" xfId="21034"/>
    <cellStyle name="Normal 3 9 2 2 4 4" xfId="21035"/>
    <cellStyle name="Normal 3 9 2 2 4 4 2" xfId="21036"/>
    <cellStyle name="Normal 3 9 2 2 4 5" xfId="21037"/>
    <cellStyle name="Normal 3 9 2 2 5" xfId="21038"/>
    <cellStyle name="Normal 3 9 2 2 5 2" xfId="21039"/>
    <cellStyle name="Normal 3 9 2 2 6" xfId="21040"/>
    <cellStyle name="Normal 3 9 2 2 6 2" xfId="21041"/>
    <cellStyle name="Normal 3 9 2 2 7" xfId="21042"/>
    <cellStyle name="Normal 3 9 2 2 7 2" xfId="21043"/>
    <cellStyle name="Normal 3 9 2 2 8" xfId="21044"/>
    <cellStyle name="Normal 3 9 2 3" xfId="21045"/>
    <cellStyle name="Normal 3 9 2 3 2" xfId="21046"/>
    <cellStyle name="Normal 3 9 2 3 2 2" xfId="21047"/>
    <cellStyle name="Normal 3 9 2 3 2 2 2" xfId="21048"/>
    <cellStyle name="Normal 3 9 2 3 2 2 2 2" xfId="21049"/>
    <cellStyle name="Normal 3 9 2 3 2 2 3" xfId="21050"/>
    <cellStyle name="Normal 3 9 2 3 2 2 3 2" xfId="21051"/>
    <cellStyle name="Normal 3 9 2 3 2 2 4" xfId="21052"/>
    <cellStyle name="Normal 3 9 2 3 2 2 4 2" xfId="21053"/>
    <cellStyle name="Normal 3 9 2 3 2 2 5" xfId="21054"/>
    <cellStyle name="Normal 3 9 2 3 2 3" xfId="21055"/>
    <cellStyle name="Normal 3 9 2 3 2 3 2" xfId="21056"/>
    <cellStyle name="Normal 3 9 2 3 2 3 2 2" xfId="21057"/>
    <cellStyle name="Normal 3 9 2 3 2 3 3" xfId="21058"/>
    <cellStyle name="Normal 3 9 2 3 2 3 3 2" xfId="21059"/>
    <cellStyle name="Normal 3 9 2 3 2 3 4" xfId="21060"/>
    <cellStyle name="Normal 3 9 2 3 2 3 4 2" xfId="21061"/>
    <cellStyle name="Normal 3 9 2 3 2 3 5" xfId="21062"/>
    <cellStyle name="Normal 3 9 2 3 2 4" xfId="21063"/>
    <cellStyle name="Normal 3 9 2 3 2 4 2" xfId="21064"/>
    <cellStyle name="Normal 3 9 2 3 2 5" xfId="21065"/>
    <cellStyle name="Normal 3 9 2 3 2 5 2" xfId="21066"/>
    <cellStyle name="Normal 3 9 2 3 2 6" xfId="21067"/>
    <cellStyle name="Normal 3 9 2 3 2 6 2" xfId="21068"/>
    <cellStyle name="Normal 3 9 2 3 2 7" xfId="21069"/>
    <cellStyle name="Normal 3 9 2 3 3" xfId="21070"/>
    <cellStyle name="Normal 3 9 2 3 3 2" xfId="21071"/>
    <cellStyle name="Normal 3 9 2 3 3 2 2" xfId="21072"/>
    <cellStyle name="Normal 3 9 2 3 3 3" xfId="21073"/>
    <cellStyle name="Normal 3 9 2 3 3 3 2" xfId="21074"/>
    <cellStyle name="Normal 3 9 2 3 3 4" xfId="21075"/>
    <cellStyle name="Normal 3 9 2 3 3 4 2" xfId="21076"/>
    <cellStyle name="Normal 3 9 2 3 3 5" xfId="21077"/>
    <cellStyle name="Normal 3 9 2 3 4" xfId="21078"/>
    <cellStyle name="Normal 3 9 2 3 4 2" xfId="21079"/>
    <cellStyle name="Normal 3 9 2 3 4 2 2" xfId="21080"/>
    <cellStyle name="Normal 3 9 2 3 4 3" xfId="21081"/>
    <cellStyle name="Normal 3 9 2 3 4 3 2" xfId="21082"/>
    <cellStyle name="Normal 3 9 2 3 4 4" xfId="21083"/>
    <cellStyle name="Normal 3 9 2 3 4 4 2" xfId="21084"/>
    <cellStyle name="Normal 3 9 2 3 4 5" xfId="21085"/>
    <cellStyle name="Normal 3 9 2 3 5" xfId="21086"/>
    <cellStyle name="Normal 3 9 2 3 5 2" xfId="21087"/>
    <cellStyle name="Normal 3 9 2 3 6" xfId="21088"/>
    <cellStyle name="Normal 3 9 2 3 6 2" xfId="21089"/>
    <cellStyle name="Normal 3 9 2 3 7" xfId="21090"/>
    <cellStyle name="Normal 3 9 2 3 7 2" xfId="21091"/>
    <cellStyle name="Normal 3 9 2 3 8" xfId="21092"/>
    <cellStyle name="Normal 3 9 2 4" xfId="21093"/>
    <cellStyle name="Normal 3 9 2 4 2" xfId="21094"/>
    <cellStyle name="Normal 3 9 2 4 2 2" xfId="21095"/>
    <cellStyle name="Normal 3 9 2 4 2 2 2" xfId="21096"/>
    <cellStyle name="Normal 3 9 2 4 2 2 2 2" xfId="21097"/>
    <cellStyle name="Normal 3 9 2 4 2 2 3" xfId="21098"/>
    <cellStyle name="Normal 3 9 2 4 2 2 3 2" xfId="21099"/>
    <cellStyle name="Normal 3 9 2 4 2 2 4" xfId="21100"/>
    <cellStyle name="Normal 3 9 2 4 2 2 4 2" xfId="21101"/>
    <cellStyle name="Normal 3 9 2 4 2 2 5" xfId="21102"/>
    <cellStyle name="Normal 3 9 2 4 2 3" xfId="21103"/>
    <cellStyle name="Normal 3 9 2 4 2 3 2" xfId="21104"/>
    <cellStyle name="Normal 3 9 2 4 2 3 2 2" xfId="21105"/>
    <cellStyle name="Normal 3 9 2 4 2 3 3" xfId="21106"/>
    <cellStyle name="Normal 3 9 2 4 2 3 3 2" xfId="21107"/>
    <cellStyle name="Normal 3 9 2 4 2 3 4" xfId="21108"/>
    <cellStyle name="Normal 3 9 2 4 2 3 4 2" xfId="21109"/>
    <cellStyle name="Normal 3 9 2 4 2 3 5" xfId="21110"/>
    <cellStyle name="Normal 3 9 2 4 2 4" xfId="21111"/>
    <cellStyle name="Normal 3 9 2 4 2 4 2" xfId="21112"/>
    <cellStyle name="Normal 3 9 2 4 2 5" xfId="21113"/>
    <cellStyle name="Normal 3 9 2 4 2 5 2" xfId="21114"/>
    <cellStyle name="Normal 3 9 2 4 2 6" xfId="21115"/>
    <cellStyle name="Normal 3 9 2 4 2 6 2" xfId="21116"/>
    <cellStyle name="Normal 3 9 2 4 2 7" xfId="21117"/>
    <cellStyle name="Normal 3 9 2 4 3" xfId="21118"/>
    <cellStyle name="Normal 3 9 2 4 3 2" xfId="21119"/>
    <cellStyle name="Normal 3 9 2 4 3 2 2" xfId="21120"/>
    <cellStyle name="Normal 3 9 2 4 3 3" xfId="21121"/>
    <cellStyle name="Normal 3 9 2 4 3 3 2" xfId="21122"/>
    <cellStyle name="Normal 3 9 2 4 3 4" xfId="21123"/>
    <cellStyle name="Normal 3 9 2 4 3 4 2" xfId="21124"/>
    <cellStyle name="Normal 3 9 2 4 3 5" xfId="21125"/>
    <cellStyle name="Normal 3 9 2 4 4" xfId="21126"/>
    <cellStyle name="Normal 3 9 2 4 4 2" xfId="21127"/>
    <cellStyle name="Normal 3 9 2 4 4 2 2" xfId="21128"/>
    <cellStyle name="Normal 3 9 2 4 4 3" xfId="21129"/>
    <cellStyle name="Normal 3 9 2 4 4 3 2" xfId="21130"/>
    <cellStyle name="Normal 3 9 2 4 4 4" xfId="21131"/>
    <cellStyle name="Normal 3 9 2 4 4 4 2" xfId="21132"/>
    <cellStyle name="Normal 3 9 2 4 4 5" xfId="21133"/>
    <cellStyle name="Normal 3 9 2 4 5" xfId="21134"/>
    <cellStyle name="Normal 3 9 2 4 5 2" xfId="21135"/>
    <cellStyle name="Normal 3 9 2 4 6" xfId="21136"/>
    <cellStyle name="Normal 3 9 2 4 6 2" xfId="21137"/>
    <cellStyle name="Normal 3 9 2 4 7" xfId="21138"/>
    <cellStyle name="Normal 3 9 2 4 7 2" xfId="21139"/>
    <cellStyle name="Normal 3 9 2 4 8" xfId="21140"/>
    <cellStyle name="Normal 3 9 2 5" xfId="21141"/>
    <cellStyle name="Normal 3 9 2 5 2" xfId="21142"/>
    <cellStyle name="Normal 3 9 2 5 2 2" xfId="21143"/>
    <cellStyle name="Normal 3 9 2 5 2 2 2" xfId="21144"/>
    <cellStyle name="Normal 3 9 2 5 2 2 2 2" xfId="21145"/>
    <cellStyle name="Normal 3 9 2 5 2 2 3" xfId="21146"/>
    <cellStyle name="Normal 3 9 2 5 2 2 3 2" xfId="21147"/>
    <cellStyle name="Normal 3 9 2 5 2 2 4" xfId="21148"/>
    <cellStyle name="Normal 3 9 2 5 2 2 4 2" xfId="21149"/>
    <cellStyle name="Normal 3 9 2 5 2 2 5" xfId="21150"/>
    <cellStyle name="Normal 3 9 2 5 2 3" xfId="21151"/>
    <cellStyle name="Normal 3 9 2 5 2 3 2" xfId="21152"/>
    <cellStyle name="Normal 3 9 2 5 2 3 2 2" xfId="21153"/>
    <cellStyle name="Normal 3 9 2 5 2 3 3" xfId="21154"/>
    <cellStyle name="Normal 3 9 2 5 2 3 3 2" xfId="21155"/>
    <cellStyle name="Normal 3 9 2 5 2 3 4" xfId="21156"/>
    <cellStyle name="Normal 3 9 2 5 2 3 4 2" xfId="21157"/>
    <cellStyle name="Normal 3 9 2 5 2 3 5" xfId="21158"/>
    <cellStyle name="Normal 3 9 2 5 2 4" xfId="21159"/>
    <cellStyle name="Normal 3 9 2 5 2 4 2" xfId="21160"/>
    <cellStyle name="Normal 3 9 2 5 2 5" xfId="21161"/>
    <cellStyle name="Normal 3 9 2 5 2 5 2" xfId="21162"/>
    <cellStyle name="Normal 3 9 2 5 2 6" xfId="21163"/>
    <cellStyle name="Normal 3 9 2 5 2 6 2" xfId="21164"/>
    <cellStyle name="Normal 3 9 2 5 2 7" xfId="21165"/>
    <cellStyle name="Normal 3 9 2 5 3" xfId="21166"/>
    <cellStyle name="Normal 3 9 2 5 3 2" xfId="21167"/>
    <cellStyle name="Normal 3 9 2 5 3 2 2" xfId="21168"/>
    <cellStyle name="Normal 3 9 2 5 3 3" xfId="21169"/>
    <cellStyle name="Normal 3 9 2 5 3 3 2" xfId="21170"/>
    <cellStyle name="Normal 3 9 2 5 3 4" xfId="21171"/>
    <cellStyle name="Normal 3 9 2 5 3 4 2" xfId="21172"/>
    <cellStyle name="Normal 3 9 2 5 3 5" xfId="21173"/>
    <cellStyle name="Normal 3 9 2 5 4" xfId="21174"/>
    <cellStyle name="Normal 3 9 2 5 4 2" xfId="21175"/>
    <cellStyle name="Normal 3 9 2 5 4 2 2" xfId="21176"/>
    <cellStyle name="Normal 3 9 2 5 4 3" xfId="21177"/>
    <cellStyle name="Normal 3 9 2 5 4 3 2" xfId="21178"/>
    <cellStyle name="Normal 3 9 2 5 4 4" xfId="21179"/>
    <cellStyle name="Normal 3 9 2 5 4 4 2" xfId="21180"/>
    <cellStyle name="Normal 3 9 2 5 4 5" xfId="21181"/>
    <cellStyle name="Normal 3 9 2 5 5" xfId="21182"/>
    <cellStyle name="Normal 3 9 2 5 5 2" xfId="21183"/>
    <cellStyle name="Normal 3 9 2 5 6" xfId="21184"/>
    <cellStyle name="Normal 3 9 2 5 6 2" xfId="21185"/>
    <cellStyle name="Normal 3 9 2 5 7" xfId="21186"/>
    <cellStyle name="Normal 3 9 2 5 7 2" xfId="21187"/>
    <cellStyle name="Normal 3 9 2 5 8" xfId="21188"/>
    <cellStyle name="Normal 3 9 2 6" xfId="21189"/>
    <cellStyle name="Normal 3 9 2 6 2" xfId="21190"/>
    <cellStyle name="Normal 3 9 2 6 2 2" xfId="21191"/>
    <cellStyle name="Normal 3 9 2 6 2 2 2" xfId="21192"/>
    <cellStyle name="Normal 3 9 2 6 2 2 2 2" xfId="21193"/>
    <cellStyle name="Normal 3 9 2 6 2 2 3" xfId="21194"/>
    <cellStyle name="Normal 3 9 2 6 2 2 3 2" xfId="21195"/>
    <cellStyle name="Normal 3 9 2 6 2 2 4" xfId="21196"/>
    <cellStyle name="Normal 3 9 2 6 2 2 4 2" xfId="21197"/>
    <cellStyle name="Normal 3 9 2 6 2 2 5" xfId="21198"/>
    <cellStyle name="Normal 3 9 2 6 2 3" xfId="21199"/>
    <cellStyle name="Normal 3 9 2 6 2 3 2" xfId="21200"/>
    <cellStyle name="Normal 3 9 2 6 2 3 2 2" xfId="21201"/>
    <cellStyle name="Normal 3 9 2 6 2 3 3" xfId="21202"/>
    <cellStyle name="Normal 3 9 2 6 2 3 3 2" xfId="21203"/>
    <cellStyle name="Normal 3 9 2 6 2 3 4" xfId="21204"/>
    <cellStyle name="Normal 3 9 2 6 2 3 4 2" xfId="21205"/>
    <cellStyle name="Normal 3 9 2 6 2 3 5" xfId="21206"/>
    <cellStyle name="Normal 3 9 2 6 2 4" xfId="21207"/>
    <cellStyle name="Normal 3 9 2 6 2 4 2" xfId="21208"/>
    <cellStyle name="Normal 3 9 2 6 2 5" xfId="21209"/>
    <cellStyle name="Normal 3 9 2 6 2 5 2" xfId="21210"/>
    <cellStyle name="Normal 3 9 2 6 2 6" xfId="21211"/>
    <cellStyle name="Normal 3 9 2 6 2 6 2" xfId="21212"/>
    <cellStyle name="Normal 3 9 2 6 2 7" xfId="21213"/>
    <cellStyle name="Normal 3 9 2 6 3" xfId="21214"/>
    <cellStyle name="Normal 3 9 2 6 3 2" xfId="21215"/>
    <cellStyle name="Normal 3 9 2 6 3 2 2" xfId="21216"/>
    <cellStyle name="Normal 3 9 2 6 3 3" xfId="21217"/>
    <cellStyle name="Normal 3 9 2 6 3 3 2" xfId="21218"/>
    <cellStyle name="Normal 3 9 2 6 3 4" xfId="21219"/>
    <cellStyle name="Normal 3 9 2 6 3 4 2" xfId="21220"/>
    <cellStyle name="Normal 3 9 2 6 3 5" xfId="21221"/>
    <cellStyle name="Normal 3 9 2 6 4" xfId="21222"/>
    <cellStyle name="Normal 3 9 2 6 4 2" xfId="21223"/>
    <cellStyle name="Normal 3 9 2 6 4 2 2" xfId="21224"/>
    <cellStyle name="Normal 3 9 2 6 4 3" xfId="21225"/>
    <cellStyle name="Normal 3 9 2 6 4 3 2" xfId="21226"/>
    <cellStyle name="Normal 3 9 2 6 4 4" xfId="21227"/>
    <cellStyle name="Normal 3 9 2 6 4 4 2" xfId="21228"/>
    <cellStyle name="Normal 3 9 2 6 4 5" xfId="21229"/>
    <cellStyle name="Normal 3 9 2 6 5" xfId="21230"/>
    <cellStyle name="Normal 3 9 2 6 5 2" xfId="21231"/>
    <cellStyle name="Normal 3 9 2 6 6" xfId="21232"/>
    <cellStyle name="Normal 3 9 2 6 6 2" xfId="21233"/>
    <cellStyle name="Normal 3 9 2 6 7" xfId="21234"/>
    <cellStyle name="Normal 3 9 2 6 7 2" xfId="21235"/>
    <cellStyle name="Normal 3 9 2 6 8" xfId="21236"/>
    <cellStyle name="Normal 3 9 2 7" xfId="21237"/>
    <cellStyle name="Normal 3 9 2 7 2" xfId="21238"/>
    <cellStyle name="Normal 3 9 2 7 2 2" xfId="21239"/>
    <cellStyle name="Normal 3 9 2 7 2 2 2" xfId="21240"/>
    <cellStyle name="Normal 3 9 2 7 2 3" xfId="21241"/>
    <cellStyle name="Normal 3 9 2 7 2 3 2" xfId="21242"/>
    <cellStyle name="Normal 3 9 2 7 2 4" xfId="21243"/>
    <cellStyle name="Normal 3 9 2 7 2 4 2" xfId="21244"/>
    <cellStyle name="Normal 3 9 2 7 2 5" xfId="21245"/>
    <cellStyle name="Normal 3 9 2 7 3" xfId="21246"/>
    <cellStyle name="Normal 3 9 2 7 3 2" xfId="21247"/>
    <cellStyle name="Normal 3 9 2 7 3 2 2" xfId="21248"/>
    <cellStyle name="Normal 3 9 2 7 3 3" xfId="21249"/>
    <cellStyle name="Normal 3 9 2 7 3 3 2" xfId="21250"/>
    <cellStyle name="Normal 3 9 2 7 3 4" xfId="21251"/>
    <cellStyle name="Normal 3 9 2 7 3 4 2" xfId="21252"/>
    <cellStyle name="Normal 3 9 2 7 3 5" xfId="21253"/>
    <cellStyle name="Normal 3 9 2 7 4" xfId="21254"/>
    <cellStyle name="Normal 3 9 2 7 4 2" xfId="21255"/>
    <cellStyle name="Normal 3 9 2 7 5" xfId="21256"/>
    <cellStyle name="Normal 3 9 2 7 5 2" xfId="21257"/>
    <cellStyle name="Normal 3 9 2 7 6" xfId="21258"/>
    <cellStyle name="Normal 3 9 2 7 6 2" xfId="21259"/>
    <cellStyle name="Normal 3 9 2 7 7" xfId="21260"/>
    <cellStyle name="Normal 3 9 2 8" xfId="21261"/>
    <cellStyle name="Normal 3 9 2 8 2" xfId="21262"/>
    <cellStyle name="Normal 3 9 2 8 2 2" xfId="21263"/>
    <cellStyle name="Normal 3 9 2 8 3" xfId="21264"/>
    <cellStyle name="Normal 3 9 2 8 3 2" xfId="21265"/>
    <cellStyle name="Normal 3 9 2 8 4" xfId="21266"/>
    <cellStyle name="Normal 3 9 2 8 4 2" xfId="21267"/>
    <cellStyle name="Normal 3 9 2 8 5" xfId="21268"/>
    <cellStyle name="Normal 3 9 2 9" xfId="21269"/>
    <cellStyle name="Normal 3 9 2 9 2" xfId="21270"/>
    <cellStyle name="Normal 3 9 2 9 2 2" xfId="21271"/>
    <cellStyle name="Normal 3 9 2 9 3" xfId="21272"/>
    <cellStyle name="Normal 3 9 2 9 3 2" xfId="21273"/>
    <cellStyle name="Normal 3 9 2 9 4" xfId="21274"/>
    <cellStyle name="Normal 3 9 2 9 4 2" xfId="21275"/>
    <cellStyle name="Normal 3 9 2 9 5" xfId="21276"/>
    <cellStyle name="Normal 3 9 2_Input" xfId="2036"/>
    <cellStyle name="Normal 3 9 3" xfId="1992"/>
    <cellStyle name="Normal 3 9 3 2" xfId="21277"/>
    <cellStyle name="Normal 3 9 3 2 2" xfId="21278"/>
    <cellStyle name="Normal 3 9 3 2 2 2" xfId="21279"/>
    <cellStyle name="Normal 3 9 3 2 2 2 2" xfId="21280"/>
    <cellStyle name="Normal 3 9 3 2 2 3" xfId="21281"/>
    <cellStyle name="Normal 3 9 3 2 2 3 2" xfId="21282"/>
    <cellStyle name="Normal 3 9 3 2 2 4" xfId="21283"/>
    <cellStyle name="Normal 3 9 3 2 2 4 2" xfId="21284"/>
    <cellStyle name="Normal 3 9 3 2 2 5" xfId="21285"/>
    <cellStyle name="Normal 3 9 3 2 3" xfId="21286"/>
    <cellStyle name="Normal 3 9 3 2 3 2" xfId="21287"/>
    <cellStyle name="Normal 3 9 3 2 3 2 2" xfId="21288"/>
    <cellStyle name="Normal 3 9 3 2 3 3" xfId="21289"/>
    <cellStyle name="Normal 3 9 3 2 3 3 2" xfId="21290"/>
    <cellStyle name="Normal 3 9 3 2 3 4" xfId="21291"/>
    <cellStyle name="Normal 3 9 3 2 3 4 2" xfId="21292"/>
    <cellStyle name="Normal 3 9 3 2 3 5" xfId="21293"/>
    <cellStyle name="Normal 3 9 3 2 4" xfId="21294"/>
    <cellStyle name="Normal 3 9 3 2 4 2" xfId="21295"/>
    <cellStyle name="Normal 3 9 3 2 5" xfId="21296"/>
    <cellStyle name="Normal 3 9 3 2 5 2" xfId="21297"/>
    <cellStyle name="Normal 3 9 3 2 6" xfId="21298"/>
    <cellStyle name="Normal 3 9 3 2 6 2" xfId="21299"/>
    <cellStyle name="Normal 3 9 3 2 7" xfId="21300"/>
    <cellStyle name="Normal 3 9 3 3" xfId="21301"/>
    <cellStyle name="Normal 3 9 3 3 2" xfId="21302"/>
    <cellStyle name="Normal 3 9 3 3 2 2" xfId="21303"/>
    <cellStyle name="Normal 3 9 3 3 3" xfId="21304"/>
    <cellStyle name="Normal 3 9 3 3 3 2" xfId="21305"/>
    <cellStyle name="Normal 3 9 3 3 4" xfId="21306"/>
    <cellStyle name="Normal 3 9 3 3 4 2" xfId="21307"/>
    <cellStyle name="Normal 3 9 3 3 5" xfId="21308"/>
    <cellStyle name="Normal 3 9 3 4" xfId="21309"/>
    <cellStyle name="Normal 3 9 3 4 2" xfId="21310"/>
    <cellStyle name="Normal 3 9 3 4 2 2" xfId="21311"/>
    <cellStyle name="Normal 3 9 3 4 3" xfId="21312"/>
    <cellStyle name="Normal 3 9 3 4 3 2" xfId="21313"/>
    <cellStyle name="Normal 3 9 3 4 4" xfId="21314"/>
    <cellStyle name="Normal 3 9 3 4 4 2" xfId="21315"/>
    <cellStyle name="Normal 3 9 3 4 5" xfId="21316"/>
    <cellStyle name="Normal 3 9 3 5" xfId="21317"/>
    <cellStyle name="Normal 3 9 3 5 2" xfId="21318"/>
    <cellStyle name="Normal 3 9 3 6" xfId="21319"/>
    <cellStyle name="Normal 3 9 3 6 2" xfId="21320"/>
    <cellStyle name="Normal 3 9 3 7" xfId="21321"/>
    <cellStyle name="Normal 3 9 3 7 2" xfId="21322"/>
    <cellStyle name="Normal 3 9 3 8" xfId="21323"/>
    <cellStyle name="Normal 3 9 4" xfId="21324"/>
    <cellStyle name="Normal 3 9 4 2" xfId="21325"/>
    <cellStyle name="Normal 3 9 4 2 2" xfId="21326"/>
    <cellStyle name="Normal 3 9 4 2 2 2" xfId="21327"/>
    <cellStyle name="Normal 3 9 4 2 2 2 2" xfId="21328"/>
    <cellStyle name="Normal 3 9 4 2 2 3" xfId="21329"/>
    <cellStyle name="Normal 3 9 4 2 2 3 2" xfId="21330"/>
    <cellStyle name="Normal 3 9 4 2 2 4" xfId="21331"/>
    <cellStyle name="Normal 3 9 4 2 2 4 2" xfId="21332"/>
    <cellStyle name="Normal 3 9 4 2 2 5" xfId="21333"/>
    <cellStyle name="Normal 3 9 4 2 3" xfId="21334"/>
    <cellStyle name="Normal 3 9 4 2 3 2" xfId="21335"/>
    <cellStyle name="Normal 3 9 4 2 3 2 2" xfId="21336"/>
    <cellStyle name="Normal 3 9 4 2 3 3" xfId="21337"/>
    <cellStyle name="Normal 3 9 4 2 3 3 2" xfId="21338"/>
    <cellStyle name="Normal 3 9 4 2 3 4" xfId="21339"/>
    <cellStyle name="Normal 3 9 4 2 3 4 2" xfId="21340"/>
    <cellStyle name="Normal 3 9 4 2 3 5" xfId="21341"/>
    <cellStyle name="Normal 3 9 4 2 4" xfId="21342"/>
    <cellStyle name="Normal 3 9 4 2 4 2" xfId="21343"/>
    <cellStyle name="Normal 3 9 4 2 5" xfId="21344"/>
    <cellStyle name="Normal 3 9 4 2 5 2" xfId="21345"/>
    <cellStyle name="Normal 3 9 4 2 6" xfId="21346"/>
    <cellStyle name="Normal 3 9 4 2 6 2" xfId="21347"/>
    <cellStyle name="Normal 3 9 4 2 7" xfId="21348"/>
    <cellStyle name="Normal 3 9 4 3" xfId="21349"/>
    <cellStyle name="Normal 3 9 4 3 2" xfId="21350"/>
    <cellStyle name="Normal 3 9 4 3 2 2" xfId="21351"/>
    <cellStyle name="Normal 3 9 4 3 3" xfId="21352"/>
    <cellStyle name="Normal 3 9 4 3 3 2" xfId="21353"/>
    <cellStyle name="Normal 3 9 4 3 4" xfId="21354"/>
    <cellStyle name="Normal 3 9 4 3 4 2" xfId="21355"/>
    <cellStyle name="Normal 3 9 4 3 5" xfId="21356"/>
    <cellStyle name="Normal 3 9 4 4" xfId="21357"/>
    <cellStyle name="Normal 3 9 4 4 2" xfId="21358"/>
    <cellStyle name="Normal 3 9 4 4 2 2" xfId="21359"/>
    <cellStyle name="Normal 3 9 4 4 3" xfId="21360"/>
    <cellStyle name="Normal 3 9 4 4 3 2" xfId="21361"/>
    <cellStyle name="Normal 3 9 4 4 4" xfId="21362"/>
    <cellStyle name="Normal 3 9 4 4 4 2" xfId="21363"/>
    <cellStyle name="Normal 3 9 4 4 5" xfId="21364"/>
    <cellStyle name="Normal 3 9 4 5" xfId="21365"/>
    <cellStyle name="Normal 3 9 4 5 2" xfId="21366"/>
    <cellStyle name="Normal 3 9 4 6" xfId="21367"/>
    <cellStyle name="Normal 3 9 4 6 2" xfId="21368"/>
    <cellStyle name="Normal 3 9 4 7" xfId="21369"/>
    <cellStyle name="Normal 3 9 4 7 2" xfId="21370"/>
    <cellStyle name="Normal 3 9 4 8" xfId="21371"/>
    <cellStyle name="Normal 3 9 5" xfId="21372"/>
    <cellStyle name="Normal 3 9 5 2" xfId="21373"/>
    <cellStyle name="Normal 3 9 5 2 2" xfId="21374"/>
    <cellStyle name="Normal 3 9 5 2 2 2" xfId="21375"/>
    <cellStyle name="Normal 3 9 5 2 2 2 2" xfId="21376"/>
    <cellStyle name="Normal 3 9 5 2 2 3" xfId="21377"/>
    <cellStyle name="Normal 3 9 5 2 2 3 2" xfId="21378"/>
    <cellStyle name="Normal 3 9 5 2 2 4" xfId="21379"/>
    <cellStyle name="Normal 3 9 5 2 2 4 2" xfId="21380"/>
    <cellStyle name="Normal 3 9 5 2 2 5" xfId="21381"/>
    <cellStyle name="Normal 3 9 5 2 3" xfId="21382"/>
    <cellStyle name="Normal 3 9 5 2 3 2" xfId="21383"/>
    <cellStyle name="Normal 3 9 5 2 3 2 2" xfId="21384"/>
    <cellStyle name="Normal 3 9 5 2 3 3" xfId="21385"/>
    <cellStyle name="Normal 3 9 5 2 3 3 2" xfId="21386"/>
    <cellStyle name="Normal 3 9 5 2 3 4" xfId="21387"/>
    <cellStyle name="Normal 3 9 5 2 3 4 2" xfId="21388"/>
    <cellStyle name="Normal 3 9 5 2 3 5" xfId="21389"/>
    <cellStyle name="Normal 3 9 5 2 4" xfId="21390"/>
    <cellStyle name="Normal 3 9 5 2 4 2" xfId="21391"/>
    <cellStyle name="Normal 3 9 5 2 5" xfId="21392"/>
    <cellStyle name="Normal 3 9 5 2 5 2" xfId="21393"/>
    <cellStyle name="Normal 3 9 5 2 6" xfId="21394"/>
    <cellStyle name="Normal 3 9 5 2 6 2" xfId="21395"/>
    <cellStyle name="Normal 3 9 5 2 7" xfId="21396"/>
    <cellStyle name="Normal 3 9 5 3" xfId="21397"/>
    <cellStyle name="Normal 3 9 5 3 2" xfId="21398"/>
    <cellStyle name="Normal 3 9 5 3 2 2" xfId="21399"/>
    <cellStyle name="Normal 3 9 5 3 3" xfId="21400"/>
    <cellStyle name="Normal 3 9 5 3 3 2" xfId="21401"/>
    <cellStyle name="Normal 3 9 5 3 4" xfId="21402"/>
    <cellStyle name="Normal 3 9 5 3 4 2" xfId="21403"/>
    <cellStyle name="Normal 3 9 5 3 5" xfId="21404"/>
    <cellStyle name="Normal 3 9 5 4" xfId="21405"/>
    <cellStyle name="Normal 3 9 5 4 2" xfId="21406"/>
    <cellStyle name="Normal 3 9 5 4 2 2" xfId="21407"/>
    <cellStyle name="Normal 3 9 5 4 3" xfId="21408"/>
    <cellStyle name="Normal 3 9 5 4 3 2" xfId="21409"/>
    <cellStyle name="Normal 3 9 5 4 4" xfId="21410"/>
    <cellStyle name="Normal 3 9 5 4 4 2" xfId="21411"/>
    <cellStyle name="Normal 3 9 5 4 5" xfId="21412"/>
    <cellStyle name="Normal 3 9 5 5" xfId="21413"/>
    <cellStyle name="Normal 3 9 5 5 2" xfId="21414"/>
    <cellStyle name="Normal 3 9 5 6" xfId="21415"/>
    <cellStyle name="Normal 3 9 5 6 2" xfId="21416"/>
    <cellStyle name="Normal 3 9 5 7" xfId="21417"/>
    <cellStyle name="Normal 3 9 5 7 2" xfId="21418"/>
    <cellStyle name="Normal 3 9 5 8" xfId="21419"/>
    <cellStyle name="Normal 3 9 6" xfId="21420"/>
    <cellStyle name="Normal 3 9 6 2" xfId="21421"/>
    <cellStyle name="Normal 3 9 6 2 2" xfId="21422"/>
    <cellStyle name="Normal 3 9 6 2 2 2" xfId="21423"/>
    <cellStyle name="Normal 3 9 6 2 2 2 2" xfId="21424"/>
    <cellStyle name="Normal 3 9 6 2 2 3" xfId="21425"/>
    <cellStyle name="Normal 3 9 6 2 2 3 2" xfId="21426"/>
    <cellStyle name="Normal 3 9 6 2 2 4" xfId="21427"/>
    <cellStyle name="Normal 3 9 6 2 2 4 2" xfId="21428"/>
    <cellStyle name="Normal 3 9 6 2 2 5" xfId="21429"/>
    <cellStyle name="Normal 3 9 6 2 3" xfId="21430"/>
    <cellStyle name="Normal 3 9 6 2 3 2" xfId="21431"/>
    <cellStyle name="Normal 3 9 6 2 3 2 2" xfId="21432"/>
    <cellStyle name="Normal 3 9 6 2 3 3" xfId="21433"/>
    <cellStyle name="Normal 3 9 6 2 3 3 2" xfId="21434"/>
    <cellStyle name="Normal 3 9 6 2 3 4" xfId="21435"/>
    <cellStyle name="Normal 3 9 6 2 3 4 2" xfId="21436"/>
    <cellStyle name="Normal 3 9 6 2 3 5" xfId="21437"/>
    <cellStyle name="Normal 3 9 6 2 4" xfId="21438"/>
    <cellStyle name="Normal 3 9 6 2 4 2" xfId="21439"/>
    <cellStyle name="Normal 3 9 6 2 5" xfId="21440"/>
    <cellStyle name="Normal 3 9 6 2 5 2" xfId="21441"/>
    <cellStyle name="Normal 3 9 6 2 6" xfId="21442"/>
    <cellStyle name="Normal 3 9 6 2 6 2" xfId="21443"/>
    <cellStyle name="Normal 3 9 6 2 7" xfId="21444"/>
    <cellStyle name="Normal 3 9 6 3" xfId="21445"/>
    <cellStyle name="Normal 3 9 6 3 2" xfId="21446"/>
    <cellStyle name="Normal 3 9 6 3 2 2" xfId="21447"/>
    <cellStyle name="Normal 3 9 6 3 3" xfId="21448"/>
    <cellStyle name="Normal 3 9 6 3 3 2" xfId="21449"/>
    <cellStyle name="Normal 3 9 6 3 4" xfId="21450"/>
    <cellStyle name="Normal 3 9 6 3 4 2" xfId="21451"/>
    <cellStyle name="Normal 3 9 6 3 5" xfId="21452"/>
    <cellStyle name="Normal 3 9 6 4" xfId="21453"/>
    <cellStyle name="Normal 3 9 6 4 2" xfId="21454"/>
    <cellStyle name="Normal 3 9 6 4 2 2" xfId="21455"/>
    <cellStyle name="Normal 3 9 6 4 3" xfId="21456"/>
    <cellStyle name="Normal 3 9 6 4 3 2" xfId="21457"/>
    <cellStyle name="Normal 3 9 6 4 4" xfId="21458"/>
    <cellStyle name="Normal 3 9 6 4 4 2" xfId="21459"/>
    <cellStyle name="Normal 3 9 6 4 5" xfId="21460"/>
    <cellStyle name="Normal 3 9 6 5" xfId="21461"/>
    <cellStyle name="Normal 3 9 6 5 2" xfId="21462"/>
    <cellStyle name="Normal 3 9 6 6" xfId="21463"/>
    <cellStyle name="Normal 3 9 6 6 2" xfId="21464"/>
    <cellStyle name="Normal 3 9 6 7" xfId="21465"/>
    <cellStyle name="Normal 3 9 6 7 2" xfId="21466"/>
    <cellStyle name="Normal 3 9 6 8" xfId="21467"/>
    <cellStyle name="Normal 3 9 7" xfId="21468"/>
    <cellStyle name="Normal 3 9 7 2" xfId="21469"/>
    <cellStyle name="Normal 3 9 7 2 2" xfId="21470"/>
    <cellStyle name="Normal 3 9 7 2 2 2" xfId="21471"/>
    <cellStyle name="Normal 3 9 7 2 2 2 2" xfId="21472"/>
    <cellStyle name="Normal 3 9 7 2 2 3" xfId="21473"/>
    <cellStyle name="Normal 3 9 7 2 2 3 2" xfId="21474"/>
    <cellStyle name="Normal 3 9 7 2 2 4" xfId="21475"/>
    <cellStyle name="Normal 3 9 7 2 2 4 2" xfId="21476"/>
    <cellStyle name="Normal 3 9 7 2 2 5" xfId="21477"/>
    <cellStyle name="Normal 3 9 7 2 3" xfId="21478"/>
    <cellStyle name="Normal 3 9 7 2 3 2" xfId="21479"/>
    <cellStyle name="Normal 3 9 7 2 3 2 2" xfId="21480"/>
    <cellStyle name="Normal 3 9 7 2 3 3" xfId="21481"/>
    <cellStyle name="Normal 3 9 7 2 3 3 2" xfId="21482"/>
    <cellStyle name="Normal 3 9 7 2 3 4" xfId="21483"/>
    <cellStyle name="Normal 3 9 7 2 3 4 2" xfId="21484"/>
    <cellStyle name="Normal 3 9 7 2 3 5" xfId="21485"/>
    <cellStyle name="Normal 3 9 7 2 4" xfId="21486"/>
    <cellStyle name="Normal 3 9 7 2 4 2" xfId="21487"/>
    <cellStyle name="Normal 3 9 7 2 5" xfId="21488"/>
    <cellStyle name="Normal 3 9 7 2 5 2" xfId="21489"/>
    <cellStyle name="Normal 3 9 7 2 6" xfId="21490"/>
    <cellStyle name="Normal 3 9 7 2 6 2" xfId="21491"/>
    <cellStyle name="Normal 3 9 7 2 7" xfId="21492"/>
    <cellStyle name="Normal 3 9 7 3" xfId="21493"/>
    <cellStyle name="Normal 3 9 7 3 2" xfId="21494"/>
    <cellStyle name="Normal 3 9 7 3 2 2" xfId="21495"/>
    <cellStyle name="Normal 3 9 7 3 3" xfId="21496"/>
    <cellStyle name="Normal 3 9 7 3 3 2" xfId="21497"/>
    <cellStyle name="Normal 3 9 7 3 4" xfId="21498"/>
    <cellStyle name="Normal 3 9 7 3 4 2" xfId="21499"/>
    <cellStyle name="Normal 3 9 7 3 5" xfId="21500"/>
    <cellStyle name="Normal 3 9 7 4" xfId="21501"/>
    <cellStyle name="Normal 3 9 7 4 2" xfId="21502"/>
    <cellStyle name="Normal 3 9 7 4 2 2" xfId="21503"/>
    <cellStyle name="Normal 3 9 7 4 3" xfId="21504"/>
    <cellStyle name="Normal 3 9 7 4 3 2" xfId="21505"/>
    <cellStyle name="Normal 3 9 7 4 4" xfId="21506"/>
    <cellStyle name="Normal 3 9 7 4 4 2" xfId="21507"/>
    <cellStyle name="Normal 3 9 7 4 5" xfId="21508"/>
    <cellStyle name="Normal 3 9 7 5" xfId="21509"/>
    <cellStyle name="Normal 3 9 7 5 2" xfId="21510"/>
    <cellStyle name="Normal 3 9 7 6" xfId="21511"/>
    <cellStyle name="Normal 3 9 7 6 2" xfId="21512"/>
    <cellStyle name="Normal 3 9 7 7" xfId="21513"/>
    <cellStyle name="Normal 3 9 7 7 2" xfId="21514"/>
    <cellStyle name="Normal 3 9 7 8" xfId="21515"/>
    <cellStyle name="Normal 3 9 8" xfId="21516"/>
    <cellStyle name="Normal 3 9 8 2" xfId="21517"/>
    <cellStyle name="Normal 3 9 8 2 2" xfId="21518"/>
    <cellStyle name="Normal 3 9 8 2 2 2" xfId="21519"/>
    <cellStyle name="Normal 3 9 8 2 3" xfId="21520"/>
    <cellStyle name="Normal 3 9 8 2 3 2" xfId="21521"/>
    <cellStyle name="Normal 3 9 8 2 4" xfId="21522"/>
    <cellStyle name="Normal 3 9 8 2 4 2" xfId="21523"/>
    <cellStyle name="Normal 3 9 8 2 5" xfId="21524"/>
    <cellStyle name="Normal 3 9 8 3" xfId="21525"/>
    <cellStyle name="Normal 3 9 8 3 2" xfId="21526"/>
    <cellStyle name="Normal 3 9 8 3 2 2" xfId="21527"/>
    <cellStyle name="Normal 3 9 8 3 3" xfId="21528"/>
    <cellStyle name="Normal 3 9 8 3 3 2" xfId="21529"/>
    <cellStyle name="Normal 3 9 8 3 4" xfId="21530"/>
    <cellStyle name="Normal 3 9 8 3 4 2" xfId="21531"/>
    <cellStyle name="Normal 3 9 8 3 5" xfId="21532"/>
    <cellStyle name="Normal 3 9 8 4" xfId="21533"/>
    <cellStyle name="Normal 3 9 8 4 2" xfId="21534"/>
    <cellStyle name="Normal 3 9 8 5" xfId="21535"/>
    <cellStyle name="Normal 3 9 8 5 2" xfId="21536"/>
    <cellStyle name="Normal 3 9 8 6" xfId="21537"/>
    <cellStyle name="Normal 3 9 8 6 2" xfId="21538"/>
    <cellStyle name="Normal 3 9 8 7" xfId="21539"/>
    <cellStyle name="Normal 3 9 9" xfId="21540"/>
    <cellStyle name="Normal 3 9 9 2" xfId="21541"/>
    <cellStyle name="Normal 3 9 9 2 2" xfId="21542"/>
    <cellStyle name="Normal 3 9 9 3" xfId="21543"/>
    <cellStyle name="Normal 3 9 9 3 2" xfId="21544"/>
    <cellStyle name="Normal 3 9 9 4" xfId="21545"/>
    <cellStyle name="Normal 3 9 9 4 2" xfId="21546"/>
    <cellStyle name="Normal 3 9 9 5" xfId="21547"/>
    <cellStyle name="Normal 3 9_Input" xfId="1490"/>
    <cellStyle name="Normal 3_2010-2014 HW Support LABOR R1 w PP" xfId="178"/>
    <cellStyle name="Normal 30" xfId="179"/>
    <cellStyle name="Normal 30 2" xfId="180"/>
    <cellStyle name="Normal 30 2 2" xfId="966"/>
    <cellStyle name="Normal 30 2 3" xfId="21549"/>
    <cellStyle name="Normal 30 2_Input" xfId="1492"/>
    <cellStyle name="Normal 30 3" xfId="181"/>
    <cellStyle name="Normal 30 3 2" xfId="967"/>
    <cellStyle name="Normal 30 3_Input" xfId="1493"/>
    <cellStyle name="Normal 30 4" xfId="182"/>
    <cellStyle name="Normal 30 4 2" xfId="968"/>
    <cellStyle name="Normal 30 4_Input" xfId="1494"/>
    <cellStyle name="Normal 30 5" xfId="965"/>
    <cellStyle name="Normal 30 6" xfId="21548"/>
    <cellStyle name="Normal 30_Input" xfId="1491"/>
    <cellStyle name="Normal 31" xfId="183"/>
    <cellStyle name="Normal 31 2" xfId="184"/>
    <cellStyle name="Normal 31 2 2" xfId="970"/>
    <cellStyle name="Normal 31 2 2 2" xfId="21553"/>
    <cellStyle name="Normal 31 2 2 3" xfId="21552"/>
    <cellStyle name="Normal 31 2 3" xfId="21554"/>
    <cellStyle name="Normal 31 2 3 2" xfId="21555"/>
    <cellStyle name="Normal 31 2 4" xfId="21556"/>
    <cellStyle name="Normal 31 2 4 2" xfId="21557"/>
    <cellStyle name="Normal 31 2 5" xfId="21558"/>
    <cellStyle name="Normal 31 2 6" xfId="21551"/>
    <cellStyle name="Normal 31 2_Input" xfId="1496"/>
    <cellStyle name="Normal 31 3" xfId="185"/>
    <cellStyle name="Normal 31 3 2" xfId="971"/>
    <cellStyle name="Normal 31 3 2 2" xfId="21561"/>
    <cellStyle name="Normal 31 3 2 3" xfId="21560"/>
    <cellStyle name="Normal 31 3 3" xfId="21562"/>
    <cellStyle name="Normal 31 3 3 2" xfId="21563"/>
    <cellStyle name="Normal 31 3 4" xfId="21564"/>
    <cellStyle name="Normal 31 3 4 2" xfId="21565"/>
    <cellStyle name="Normal 31 3 5" xfId="21566"/>
    <cellStyle name="Normal 31 3 6" xfId="21559"/>
    <cellStyle name="Normal 31 3_Input" xfId="1497"/>
    <cellStyle name="Normal 31 4" xfId="186"/>
    <cellStyle name="Normal 31 4 2" xfId="972"/>
    <cellStyle name="Normal 31 4 2 2" xfId="21568"/>
    <cellStyle name="Normal 31 4 3" xfId="21567"/>
    <cellStyle name="Normal 31 4_Input" xfId="1498"/>
    <cellStyle name="Normal 31 5" xfId="969"/>
    <cellStyle name="Normal 31 5 2" xfId="21570"/>
    <cellStyle name="Normal 31 5 3" xfId="21569"/>
    <cellStyle name="Normal 31 6" xfId="21571"/>
    <cellStyle name="Normal 31 6 2" xfId="21572"/>
    <cellStyle name="Normal 31 7" xfId="21573"/>
    <cellStyle name="Normal 31 8" xfId="21550"/>
    <cellStyle name="Normal 31_Input" xfId="1495"/>
    <cellStyle name="Normal 32" xfId="187"/>
    <cellStyle name="Normal 32 2" xfId="188"/>
    <cellStyle name="Normal 32 2 2" xfId="974"/>
    <cellStyle name="Normal 32 2 3" xfId="21575"/>
    <cellStyle name="Normal 32 2_Input" xfId="1500"/>
    <cellStyle name="Normal 32 3" xfId="189"/>
    <cellStyle name="Normal 32 3 2" xfId="975"/>
    <cellStyle name="Normal 32 3_Input" xfId="1501"/>
    <cellStyle name="Normal 32 4" xfId="190"/>
    <cellStyle name="Normal 32 4 2" xfId="976"/>
    <cellStyle name="Normal 32 4_Input" xfId="1502"/>
    <cellStyle name="Normal 32 5" xfId="973"/>
    <cellStyle name="Normal 32 6" xfId="21574"/>
    <cellStyle name="Normal 32_Input" xfId="1499"/>
    <cellStyle name="Normal 33" xfId="191"/>
    <cellStyle name="Normal 33 2" xfId="192"/>
    <cellStyle name="Normal 33 2 2" xfId="978"/>
    <cellStyle name="Normal 33 2_Input" xfId="1504"/>
    <cellStyle name="Normal 33 3" xfId="193"/>
    <cellStyle name="Normal 33 3 2" xfId="979"/>
    <cellStyle name="Normal 33 3_Input" xfId="1505"/>
    <cellStyle name="Normal 33 4" xfId="194"/>
    <cellStyle name="Normal 33 4 2" xfId="980"/>
    <cellStyle name="Normal 33 4_Input" xfId="1506"/>
    <cellStyle name="Normal 33 5" xfId="977"/>
    <cellStyle name="Normal 33_Input" xfId="1503"/>
    <cellStyle name="Normal 34" xfId="195"/>
    <cellStyle name="Normal 34 2" xfId="196"/>
    <cellStyle name="Normal 34 2 2" xfId="982"/>
    <cellStyle name="Normal 34 2_Input" xfId="1508"/>
    <cellStyle name="Normal 34 3" xfId="197"/>
    <cellStyle name="Normal 34 3 2" xfId="983"/>
    <cellStyle name="Normal 34 3_Input" xfId="1509"/>
    <cellStyle name="Normal 34 4" xfId="198"/>
    <cellStyle name="Normal 34 4 2" xfId="984"/>
    <cellStyle name="Normal 34 4_Input" xfId="1510"/>
    <cellStyle name="Normal 34 5" xfId="981"/>
    <cellStyle name="Normal 34_Input" xfId="1507"/>
    <cellStyle name="Normal 35" xfId="199"/>
    <cellStyle name="Normal 35 2" xfId="200"/>
    <cellStyle name="Normal 35 2 2" xfId="986"/>
    <cellStyle name="Normal 35 2_Input" xfId="1512"/>
    <cellStyle name="Normal 35 3" xfId="201"/>
    <cellStyle name="Normal 35 3 2" xfId="987"/>
    <cellStyle name="Normal 35 3_Input" xfId="1513"/>
    <cellStyle name="Normal 35 4" xfId="202"/>
    <cellStyle name="Normal 35 4 2" xfId="988"/>
    <cellStyle name="Normal 35 4_Input" xfId="1514"/>
    <cellStyle name="Normal 35 5" xfId="203"/>
    <cellStyle name="Normal 35 5 2" xfId="989"/>
    <cellStyle name="Normal 35 5_Input" xfId="1515"/>
    <cellStyle name="Normal 35 6" xfId="985"/>
    <cellStyle name="Normal 35_Input" xfId="1511"/>
    <cellStyle name="Normal 36" xfId="204"/>
    <cellStyle name="Normal 36 2" xfId="205"/>
    <cellStyle name="Normal 36 2 2" xfId="991"/>
    <cellStyle name="Normal 36 2_Input" xfId="1517"/>
    <cellStyle name="Normal 36 3" xfId="206"/>
    <cellStyle name="Normal 36 3 2" xfId="992"/>
    <cellStyle name="Normal 36 3_Input" xfId="1518"/>
    <cellStyle name="Normal 36 4" xfId="207"/>
    <cellStyle name="Normal 36 4 2" xfId="993"/>
    <cellStyle name="Normal 36 4_Input" xfId="1519"/>
    <cellStyle name="Normal 36 5" xfId="990"/>
    <cellStyle name="Normal 36_Input" xfId="1516"/>
    <cellStyle name="Normal 37" xfId="208"/>
    <cellStyle name="Normal 37 2" xfId="994"/>
    <cellStyle name="Normal 37 2 2" xfId="1999"/>
    <cellStyle name="Normal 37 2_Input" xfId="2037"/>
    <cellStyle name="Normal 37 3" xfId="1977"/>
    <cellStyle name="Normal 37_Input" xfId="1520"/>
    <cellStyle name="Normal 38" xfId="209"/>
    <cellStyle name="Normal 38 2" xfId="995"/>
    <cellStyle name="Normal 38_Input" xfId="1521"/>
    <cellStyle name="Normal 39" xfId="210"/>
    <cellStyle name="Normal 39 2" xfId="996"/>
    <cellStyle name="Normal 39 3" xfId="21576"/>
    <cellStyle name="Normal 39_Input" xfId="1522"/>
    <cellStyle name="Normal 4" xfId="211"/>
    <cellStyle name="Normal 4 10" xfId="39771"/>
    <cellStyle name="Normal 4 2" xfId="212"/>
    <cellStyle name="Normal 4 2 2" xfId="998"/>
    <cellStyle name="Normal 4 2 3" xfId="21578"/>
    <cellStyle name="Normal 4 2_Input" xfId="1524"/>
    <cellStyle name="Normal 4 3" xfId="997"/>
    <cellStyle name="Normal 4 3 10" xfId="21579"/>
    <cellStyle name="Normal 4 3 2" xfId="21580"/>
    <cellStyle name="Normal 4 3 2 2" xfId="21581"/>
    <cellStyle name="Normal 4 3 2 2 2" xfId="21582"/>
    <cellStyle name="Normal 4 3 2 2 2 2" xfId="21583"/>
    <cellStyle name="Normal 4 3 2 2 3" xfId="21584"/>
    <cellStyle name="Normal 4 3 2 2 3 2" xfId="21585"/>
    <cellStyle name="Normal 4 3 2 2 4" xfId="21586"/>
    <cellStyle name="Normal 4 3 2 2 4 2" xfId="21587"/>
    <cellStyle name="Normal 4 3 2 2 5" xfId="21588"/>
    <cellStyle name="Normal 4 3 2 3" xfId="21589"/>
    <cellStyle name="Normal 4 3 2 3 2" xfId="21590"/>
    <cellStyle name="Normal 4 3 2 3 2 2" xfId="21591"/>
    <cellStyle name="Normal 4 3 2 3 3" xfId="21592"/>
    <cellStyle name="Normal 4 3 2 3 3 2" xfId="21593"/>
    <cellStyle name="Normal 4 3 2 3 4" xfId="21594"/>
    <cellStyle name="Normal 4 3 2 3 4 2" xfId="21595"/>
    <cellStyle name="Normal 4 3 2 3 5" xfId="21596"/>
    <cellStyle name="Normal 4 3 2 4" xfId="21597"/>
    <cellStyle name="Normal 4 3 2 4 2" xfId="21598"/>
    <cellStyle name="Normal 4 3 2 5" xfId="21599"/>
    <cellStyle name="Normal 4 3 2 5 2" xfId="21600"/>
    <cellStyle name="Normal 4 3 2 6" xfId="21601"/>
    <cellStyle name="Normal 4 3 2 6 2" xfId="21602"/>
    <cellStyle name="Normal 4 3 2 7" xfId="21603"/>
    <cellStyle name="Normal 4 3 3" xfId="21604"/>
    <cellStyle name="Normal 4 3 4" xfId="21605"/>
    <cellStyle name="Normal 4 3 4 2" xfId="21606"/>
    <cellStyle name="Normal 4 3 4 2 2" xfId="21607"/>
    <cellStyle name="Normal 4 3 4 3" xfId="21608"/>
    <cellStyle name="Normal 4 3 4 3 2" xfId="21609"/>
    <cellStyle name="Normal 4 3 4 4" xfId="21610"/>
    <cellStyle name="Normal 4 3 4 4 2" xfId="21611"/>
    <cellStyle name="Normal 4 3 4 5" xfId="21612"/>
    <cellStyle name="Normal 4 3 5" xfId="21613"/>
    <cellStyle name="Normal 4 3 5 2" xfId="21614"/>
    <cellStyle name="Normal 4 3 5 2 2" xfId="21615"/>
    <cellStyle name="Normal 4 3 5 3" xfId="21616"/>
    <cellStyle name="Normal 4 3 5 3 2" xfId="21617"/>
    <cellStyle name="Normal 4 3 5 4" xfId="21618"/>
    <cellStyle name="Normal 4 3 5 4 2" xfId="21619"/>
    <cellStyle name="Normal 4 3 5 5" xfId="21620"/>
    <cellStyle name="Normal 4 3 6" xfId="21621"/>
    <cellStyle name="Normal 4 3 6 2" xfId="21622"/>
    <cellStyle name="Normal 4 3 7" xfId="21623"/>
    <cellStyle name="Normal 4 3 7 2" xfId="21624"/>
    <cellStyle name="Normal 4 3 8" xfId="21625"/>
    <cellStyle name="Normal 4 3 8 2" xfId="21626"/>
    <cellStyle name="Normal 4 3 9" xfId="21627"/>
    <cellStyle name="Normal 4 4" xfId="2102"/>
    <cellStyle name="Normal 4 4 10" xfId="39476"/>
    <cellStyle name="Normal 4 4 2" xfId="3574"/>
    <cellStyle name="Normal 4 4 3" xfId="21629"/>
    <cellStyle name="Normal 4 4 3 2" xfId="21630"/>
    <cellStyle name="Normal 4 4 3 2 2" xfId="21631"/>
    <cellStyle name="Normal 4 4 3 3" xfId="21632"/>
    <cellStyle name="Normal 4 4 3 3 2" xfId="21633"/>
    <cellStyle name="Normal 4 4 3 4" xfId="21634"/>
    <cellStyle name="Normal 4 4 3 4 2" xfId="21635"/>
    <cellStyle name="Normal 4 4 3 5" xfId="21636"/>
    <cellStyle name="Normal 4 4 4" xfId="21637"/>
    <cellStyle name="Normal 4 4 4 2" xfId="21638"/>
    <cellStyle name="Normal 4 4 4 2 2" xfId="21639"/>
    <cellStyle name="Normal 4 4 4 3" xfId="21640"/>
    <cellStyle name="Normal 4 4 4 3 2" xfId="21641"/>
    <cellStyle name="Normal 4 4 4 4" xfId="21642"/>
    <cellStyle name="Normal 4 4 4 4 2" xfId="21643"/>
    <cellStyle name="Normal 4 4 4 5" xfId="21644"/>
    <cellStyle name="Normal 4 4 5" xfId="21645"/>
    <cellStyle name="Normal 4 4 5 2" xfId="21646"/>
    <cellStyle name="Normal 4 4 6" xfId="21647"/>
    <cellStyle name="Normal 4 4 6 2" xfId="21648"/>
    <cellStyle name="Normal 4 4 7" xfId="21649"/>
    <cellStyle name="Normal 4 4 7 2" xfId="21650"/>
    <cellStyle name="Normal 4 4 8" xfId="21651"/>
    <cellStyle name="Normal 4 4 9" xfId="21628"/>
    <cellStyle name="Normal 4 5" xfId="3573"/>
    <cellStyle name="Normal 4 5 2" xfId="21652"/>
    <cellStyle name="Normal 4 6" xfId="3696"/>
    <cellStyle name="Normal 4 6 2" xfId="21653"/>
    <cellStyle name="Normal 4 7" xfId="21577"/>
    <cellStyle name="Normal 4 8" xfId="39770"/>
    <cellStyle name="Normal 4 9" xfId="39765"/>
    <cellStyle name="Normal 4_Input" xfId="1523"/>
    <cellStyle name="Normal 40" xfId="213"/>
    <cellStyle name="Normal 40 2" xfId="999"/>
    <cellStyle name="Normal 40_Input" xfId="1525"/>
    <cellStyle name="Normal 41" xfId="214"/>
    <cellStyle name="Normal 41 2" xfId="1000"/>
    <cellStyle name="Normal 41_Input" xfId="1526"/>
    <cellStyle name="Normal 42" xfId="215"/>
    <cellStyle name="Normal 42 2" xfId="1001"/>
    <cellStyle name="Normal 42_Input" xfId="1527"/>
    <cellStyle name="Normal 43" xfId="216"/>
    <cellStyle name="Normal 43 2" xfId="1002"/>
    <cellStyle name="Normal 43 3" xfId="21654"/>
    <cellStyle name="Normal 43_Input" xfId="1528"/>
    <cellStyle name="Normal 44" xfId="217"/>
    <cellStyle name="Normal 44 2" xfId="1003"/>
    <cellStyle name="Normal 44_Input" xfId="1529"/>
    <cellStyle name="Normal 45" xfId="218"/>
    <cellStyle name="Normal 45 10" xfId="21655"/>
    <cellStyle name="Normal 45 2" xfId="1004"/>
    <cellStyle name="Normal 45 2 2" xfId="21657"/>
    <cellStyle name="Normal 45 2 2 2" xfId="21658"/>
    <cellStyle name="Normal 45 2 2 2 2" xfId="21659"/>
    <cellStyle name="Normal 45 2 2 2 2 2" xfId="21660"/>
    <cellStyle name="Normal 45 2 2 2 3" xfId="21661"/>
    <cellStyle name="Normal 45 2 2 2 3 2" xfId="21662"/>
    <cellStyle name="Normal 45 2 2 2 4" xfId="21663"/>
    <cellStyle name="Normal 45 2 2 2 4 2" xfId="21664"/>
    <cellStyle name="Normal 45 2 2 2 5" xfId="21665"/>
    <cellStyle name="Normal 45 2 2 3" xfId="21666"/>
    <cellStyle name="Normal 45 2 2 3 2" xfId="21667"/>
    <cellStyle name="Normal 45 2 2 3 2 2" xfId="21668"/>
    <cellStyle name="Normal 45 2 2 3 3" xfId="21669"/>
    <cellStyle name="Normal 45 2 2 3 3 2" xfId="21670"/>
    <cellStyle name="Normal 45 2 2 3 4" xfId="21671"/>
    <cellStyle name="Normal 45 2 2 3 4 2" xfId="21672"/>
    <cellStyle name="Normal 45 2 2 3 5" xfId="21673"/>
    <cellStyle name="Normal 45 2 2 4" xfId="21674"/>
    <cellStyle name="Normal 45 2 2 4 2" xfId="21675"/>
    <cellStyle name="Normal 45 2 2 5" xfId="21676"/>
    <cellStyle name="Normal 45 2 2 5 2" xfId="21677"/>
    <cellStyle name="Normal 45 2 2 6" xfId="21678"/>
    <cellStyle name="Normal 45 2 2 6 2" xfId="21679"/>
    <cellStyle name="Normal 45 2 2 7" xfId="21680"/>
    <cellStyle name="Normal 45 2 3" xfId="21681"/>
    <cellStyle name="Normal 45 2 3 2" xfId="21682"/>
    <cellStyle name="Normal 45 2 3 2 2" xfId="21683"/>
    <cellStyle name="Normal 45 2 3 3" xfId="21684"/>
    <cellStyle name="Normal 45 2 3 3 2" xfId="21685"/>
    <cellStyle name="Normal 45 2 3 4" xfId="21686"/>
    <cellStyle name="Normal 45 2 3 4 2" xfId="21687"/>
    <cellStyle name="Normal 45 2 3 5" xfId="21688"/>
    <cellStyle name="Normal 45 2 4" xfId="21689"/>
    <cellStyle name="Normal 45 2 4 2" xfId="21690"/>
    <cellStyle name="Normal 45 2 4 2 2" xfId="21691"/>
    <cellStyle name="Normal 45 2 4 3" xfId="21692"/>
    <cellStyle name="Normal 45 2 4 3 2" xfId="21693"/>
    <cellStyle name="Normal 45 2 4 4" xfId="21694"/>
    <cellStyle name="Normal 45 2 4 4 2" xfId="21695"/>
    <cellStyle name="Normal 45 2 4 5" xfId="21696"/>
    <cellStyle name="Normal 45 2 5" xfId="21697"/>
    <cellStyle name="Normal 45 2 5 2" xfId="21698"/>
    <cellStyle name="Normal 45 2 6" xfId="21699"/>
    <cellStyle name="Normal 45 2 6 2" xfId="21700"/>
    <cellStyle name="Normal 45 2 7" xfId="21701"/>
    <cellStyle name="Normal 45 2 7 2" xfId="21702"/>
    <cellStyle name="Normal 45 2 8" xfId="21703"/>
    <cellStyle name="Normal 45 2 9" xfId="21656"/>
    <cellStyle name="Normal 45 3" xfId="21704"/>
    <cellStyle name="Normal 45 3 2" xfId="21705"/>
    <cellStyle name="Normal 45 3 2 2" xfId="21706"/>
    <cellStyle name="Normal 45 3 2 2 2" xfId="21707"/>
    <cellStyle name="Normal 45 3 2 3" xfId="21708"/>
    <cellStyle name="Normal 45 3 2 3 2" xfId="21709"/>
    <cellStyle name="Normal 45 3 2 4" xfId="21710"/>
    <cellStyle name="Normal 45 3 2 4 2" xfId="21711"/>
    <cellStyle name="Normal 45 3 2 5" xfId="21712"/>
    <cellStyle name="Normal 45 3 3" xfId="21713"/>
    <cellStyle name="Normal 45 3 3 2" xfId="21714"/>
    <cellStyle name="Normal 45 3 3 2 2" xfId="21715"/>
    <cellStyle name="Normal 45 3 3 3" xfId="21716"/>
    <cellStyle name="Normal 45 3 3 3 2" xfId="21717"/>
    <cellStyle name="Normal 45 3 3 4" xfId="21718"/>
    <cellStyle name="Normal 45 3 3 4 2" xfId="21719"/>
    <cellStyle name="Normal 45 3 3 5" xfId="21720"/>
    <cellStyle name="Normal 45 3 4" xfId="21721"/>
    <cellStyle name="Normal 45 3 4 2" xfId="21722"/>
    <cellStyle name="Normal 45 3 5" xfId="21723"/>
    <cellStyle name="Normal 45 3 5 2" xfId="21724"/>
    <cellStyle name="Normal 45 3 6" xfId="21725"/>
    <cellStyle name="Normal 45 3 6 2" xfId="21726"/>
    <cellStyle name="Normal 45 3 7" xfId="21727"/>
    <cellStyle name="Normal 45 4" xfId="21728"/>
    <cellStyle name="Normal 45 4 2" xfId="21729"/>
    <cellStyle name="Normal 45 4 2 2" xfId="21730"/>
    <cellStyle name="Normal 45 4 3" xfId="21731"/>
    <cellStyle name="Normal 45 4 3 2" xfId="21732"/>
    <cellStyle name="Normal 45 4 4" xfId="21733"/>
    <cellStyle name="Normal 45 4 4 2" xfId="21734"/>
    <cellStyle name="Normal 45 4 5" xfId="21735"/>
    <cellStyle name="Normal 45 5" xfId="21736"/>
    <cellStyle name="Normal 45 5 2" xfId="21737"/>
    <cellStyle name="Normal 45 5 2 2" xfId="21738"/>
    <cellStyle name="Normal 45 5 3" xfId="21739"/>
    <cellStyle name="Normal 45 5 3 2" xfId="21740"/>
    <cellStyle name="Normal 45 5 4" xfId="21741"/>
    <cellStyle name="Normal 45 5 4 2" xfId="21742"/>
    <cellStyle name="Normal 45 5 5" xfId="21743"/>
    <cellStyle name="Normal 45 6" xfId="21744"/>
    <cellStyle name="Normal 45 6 2" xfId="21745"/>
    <cellStyle name="Normal 45 7" xfId="21746"/>
    <cellStyle name="Normal 45 7 2" xfId="21747"/>
    <cellStyle name="Normal 45 8" xfId="21748"/>
    <cellStyle name="Normal 45 8 2" xfId="21749"/>
    <cellStyle name="Normal 45 9" xfId="21750"/>
    <cellStyle name="Normal 45_Input" xfId="1530"/>
    <cellStyle name="Normal 46" xfId="219"/>
    <cellStyle name="Normal 46 2" xfId="1005"/>
    <cellStyle name="Normal 46_Input" xfId="1531"/>
    <cellStyle name="Normal 47" xfId="220"/>
    <cellStyle name="Normal 47 2" xfId="1006"/>
    <cellStyle name="Normal 47_Input" xfId="1532"/>
    <cellStyle name="Normal 48" xfId="221"/>
    <cellStyle name="Normal 48 2" xfId="1007"/>
    <cellStyle name="Normal 48_Input" xfId="1533"/>
    <cellStyle name="Normal 49" xfId="222"/>
    <cellStyle name="Normal 49 2" xfId="1008"/>
    <cellStyle name="Normal 49_Input" xfId="1534"/>
    <cellStyle name="Normal 5" xfId="223"/>
    <cellStyle name="Normal 5 2" xfId="224"/>
    <cellStyle name="Normal 5 2 2" xfId="1010"/>
    <cellStyle name="Normal 5 2 3" xfId="21752"/>
    <cellStyle name="Normal 5 2_Input" xfId="1536"/>
    <cellStyle name="Normal 5 3" xfId="1009"/>
    <cellStyle name="Normal 5 3 2" xfId="2000"/>
    <cellStyle name="Normal 5 3 2 2" xfId="21753"/>
    <cellStyle name="Normal 5 3 2 2 2" xfId="21754"/>
    <cellStyle name="Normal 5 3 2 2 2 2" xfId="21755"/>
    <cellStyle name="Normal 5 3 2 2 3" xfId="21756"/>
    <cellStyle name="Normal 5 3 2 2 3 2" xfId="21757"/>
    <cellStyle name="Normal 5 3 2 2 4" xfId="21758"/>
    <cellStyle name="Normal 5 3 2 2 4 2" xfId="21759"/>
    <cellStyle name="Normal 5 3 2 2 5" xfId="21760"/>
    <cellStyle name="Normal 5 3 2 3" xfId="21761"/>
    <cellStyle name="Normal 5 3 2 3 2" xfId="21762"/>
    <cellStyle name="Normal 5 3 2 3 2 2" xfId="21763"/>
    <cellStyle name="Normal 5 3 2 3 3" xfId="21764"/>
    <cellStyle name="Normal 5 3 2 3 3 2" xfId="21765"/>
    <cellStyle name="Normal 5 3 2 3 4" xfId="21766"/>
    <cellStyle name="Normal 5 3 2 3 4 2" xfId="21767"/>
    <cellStyle name="Normal 5 3 2 3 5" xfId="21768"/>
    <cellStyle name="Normal 5 3 2 4" xfId="21769"/>
    <cellStyle name="Normal 5 3 2 4 2" xfId="21770"/>
    <cellStyle name="Normal 5 3 2 5" xfId="21771"/>
    <cellStyle name="Normal 5 3 2 5 2" xfId="21772"/>
    <cellStyle name="Normal 5 3 2 6" xfId="21773"/>
    <cellStyle name="Normal 5 3 2 6 2" xfId="21774"/>
    <cellStyle name="Normal 5 3 2 7" xfId="21775"/>
    <cellStyle name="Normal 5 3 3" xfId="21776"/>
    <cellStyle name="Normal 5 3 4" xfId="21777"/>
    <cellStyle name="Normal 5 3 4 2" xfId="21778"/>
    <cellStyle name="Normal 5 3 4 2 2" xfId="21779"/>
    <cellStyle name="Normal 5 3 4 3" xfId="21780"/>
    <cellStyle name="Normal 5 3 4 3 2" xfId="21781"/>
    <cellStyle name="Normal 5 3 4 4" xfId="21782"/>
    <cellStyle name="Normal 5 3 4 4 2" xfId="21783"/>
    <cellStyle name="Normal 5 3 4 5" xfId="21784"/>
    <cellStyle name="Normal 5 3 5" xfId="21785"/>
    <cellStyle name="Normal 5 3 5 2" xfId="21786"/>
    <cellStyle name="Normal 5 3 5 2 2" xfId="21787"/>
    <cellStyle name="Normal 5 3 5 3" xfId="21788"/>
    <cellStyle name="Normal 5 3 5 3 2" xfId="21789"/>
    <cellStyle name="Normal 5 3 5 4" xfId="21790"/>
    <cellStyle name="Normal 5 3 5 4 2" xfId="21791"/>
    <cellStyle name="Normal 5 3 5 5" xfId="21792"/>
    <cellStyle name="Normal 5 3 6" xfId="21793"/>
    <cellStyle name="Normal 5 3 6 2" xfId="21794"/>
    <cellStyle name="Normal 5 3 7" xfId="21795"/>
    <cellStyle name="Normal 5 3 7 2" xfId="21796"/>
    <cellStyle name="Normal 5 3 8" xfId="21797"/>
    <cellStyle name="Normal 5 3 8 2" xfId="21798"/>
    <cellStyle name="Normal 5 3 9" xfId="21799"/>
    <cellStyle name="Normal 5 3_Input" xfId="2038"/>
    <cellStyle name="Normal 5 4" xfId="1978"/>
    <cellStyle name="Normal 5 4 2" xfId="21800"/>
    <cellStyle name="Normal 5 4 3" xfId="21801"/>
    <cellStyle name="Normal 5 4 3 2" xfId="21802"/>
    <cellStyle name="Normal 5 4 3 2 2" xfId="21803"/>
    <cellStyle name="Normal 5 4 3 3" xfId="21804"/>
    <cellStyle name="Normal 5 4 3 3 2" xfId="21805"/>
    <cellStyle name="Normal 5 4 3 4" xfId="21806"/>
    <cellStyle name="Normal 5 4 3 4 2" xfId="21807"/>
    <cellStyle name="Normal 5 4 3 5" xfId="21808"/>
    <cellStyle name="Normal 5 4 4" xfId="21809"/>
    <cellStyle name="Normal 5 4 4 2" xfId="21810"/>
    <cellStyle name="Normal 5 4 4 2 2" xfId="21811"/>
    <cellStyle name="Normal 5 4 4 3" xfId="21812"/>
    <cellStyle name="Normal 5 4 4 3 2" xfId="21813"/>
    <cellStyle name="Normal 5 4 4 4" xfId="21814"/>
    <cellStyle name="Normal 5 4 4 4 2" xfId="21815"/>
    <cellStyle name="Normal 5 4 4 5" xfId="21816"/>
    <cellStyle name="Normal 5 4 5" xfId="21817"/>
    <cellStyle name="Normal 5 4 5 2" xfId="21818"/>
    <cellStyle name="Normal 5 4 6" xfId="21819"/>
    <cellStyle name="Normal 5 4 6 2" xfId="21820"/>
    <cellStyle name="Normal 5 4 7" xfId="21821"/>
    <cellStyle name="Normal 5 4 7 2" xfId="21822"/>
    <cellStyle name="Normal 5 4 8" xfId="21823"/>
    <cellStyle name="Normal 5 5" xfId="1982"/>
    <cellStyle name="Normal 5 5 2" xfId="21824"/>
    <cellStyle name="Normal 5 5 3" xfId="39477"/>
    <cellStyle name="Normal 5 6" xfId="21825"/>
    <cellStyle name="Normal 5 7" xfId="21751"/>
    <cellStyle name="Normal 5_Input" xfId="1535"/>
    <cellStyle name="Normal 50" xfId="225"/>
    <cellStyle name="Normal 50 2" xfId="1011"/>
    <cellStyle name="Normal 50_Input" xfId="1537"/>
    <cellStyle name="Normal 51" xfId="226"/>
    <cellStyle name="Normal 51 2" xfId="1012"/>
    <cellStyle name="Normal 51_Input" xfId="1538"/>
    <cellStyle name="Normal 52" xfId="227"/>
    <cellStyle name="Normal 52 2" xfId="1013"/>
    <cellStyle name="Normal 52 2 2" xfId="2001"/>
    <cellStyle name="Normal 52 2_Input" xfId="2039"/>
    <cellStyle name="Normal 52 3" xfId="1979"/>
    <cellStyle name="Normal 52 4" xfId="39501"/>
    <cellStyle name="Normal 52 5" xfId="39788"/>
    <cellStyle name="Normal 52_Input" xfId="1539"/>
    <cellStyle name="Normal 53" xfId="761"/>
    <cellStyle name="Normal 54" xfId="762"/>
    <cellStyle name="Normal 55" xfId="763"/>
    <cellStyle name="Normal 56" xfId="820"/>
    <cellStyle name="Normal 57" xfId="760"/>
    <cellStyle name="Normal 58" xfId="822"/>
    <cellStyle name="Normal 59" xfId="825"/>
    <cellStyle name="Normal 6" xfId="228"/>
    <cellStyle name="Normal 6 2" xfId="1014"/>
    <cellStyle name="Normal 6 2 2" xfId="3577"/>
    <cellStyle name="Normal 6 2 2 2" xfId="3578"/>
    <cellStyle name="Normal 6 2 3" xfId="3579"/>
    <cellStyle name="Normal 6 3" xfId="3576"/>
    <cellStyle name="Normal 6 3 2" xfId="21827"/>
    <cellStyle name="Normal 6 3 3" xfId="39478"/>
    <cellStyle name="Normal 6 4" xfId="21828"/>
    <cellStyle name="Normal 6 4 2" xfId="39497"/>
    <cellStyle name="Normal 6 5" xfId="21829"/>
    <cellStyle name="Normal 6 6" xfId="21826"/>
    <cellStyle name="Normal 6_Input" xfId="1540"/>
    <cellStyle name="Normal 60" xfId="828"/>
    <cellStyle name="Normal 61" xfId="831"/>
    <cellStyle name="Normal 62" xfId="832"/>
    <cellStyle name="Normal 63" xfId="834"/>
    <cellStyle name="Normal 64" xfId="837"/>
    <cellStyle name="Normal 65" xfId="839"/>
    <cellStyle name="Normal 65 2" xfId="39296"/>
    <cellStyle name="Normal 65 2 2" xfId="39439"/>
    <cellStyle name="Normal 65 3" xfId="39438"/>
    <cellStyle name="Normal 65 4" xfId="39295"/>
    <cellStyle name="Normal 66" xfId="842"/>
    <cellStyle name="Normal 67" xfId="844"/>
    <cellStyle name="Normal 67 2" xfId="39298"/>
    <cellStyle name="Normal 67 2 2" xfId="39441"/>
    <cellStyle name="Normal 67 3" xfId="39440"/>
    <cellStyle name="Normal 67 4" xfId="39297"/>
    <cellStyle name="Normal 68" xfId="848"/>
    <cellStyle name="Normal 68 2" xfId="39300"/>
    <cellStyle name="Normal 68 2 2" xfId="39443"/>
    <cellStyle name="Normal 68 3" xfId="39442"/>
    <cellStyle name="Normal 68 4" xfId="39299"/>
    <cellStyle name="Normal 69" xfId="847"/>
    <cellStyle name="Normal 69 2" xfId="1993"/>
    <cellStyle name="Normal 69 2 2" xfId="39445"/>
    <cellStyle name="Normal 69 3" xfId="39444"/>
    <cellStyle name="Normal 69_Input" xfId="2040"/>
    <cellStyle name="Normal 7" xfId="229"/>
    <cellStyle name="Normal 7 10" xfId="21830"/>
    <cellStyle name="Normal 7 10 10" xfId="21831"/>
    <cellStyle name="Normal 7 10 10 2" xfId="21832"/>
    <cellStyle name="Normal 7 10 11" xfId="21833"/>
    <cellStyle name="Normal 7 10 11 2" xfId="21834"/>
    <cellStyle name="Normal 7 10 12" xfId="21835"/>
    <cellStyle name="Normal 7 10 12 2" xfId="21836"/>
    <cellStyle name="Normal 7 10 13" xfId="21837"/>
    <cellStyle name="Normal 7 10 2" xfId="21838"/>
    <cellStyle name="Normal 7 10 2 2" xfId="21839"/>
    <cellStyle name="Normal 7 10 2 2 2" xfId="21840"/>
    <cellStyle name="Normal 7 10 2 2 2 2" xfId="21841"/>
    <cellStyle name="Normal 7 10 2 2 2 2 2" xfId="21842"/>
    <cellStyle name="Normal 7 10 2 2 2 3" xfId="21843"/>
    <cellStyle name="Normal 7 10 2 2 2 3 2" xfId="21844"/>
    <cellStyle name="Normal 7 10 2 2 2 4" xfId="21845"/>
    <cellStyle name="Normal 7 10 2 2 2 4 2" xfId="21846"/>
    <cellStyle name="Normal 7 10 2 2 2 5" xfId="21847"/>
    <cellStyle name="Normal 7 10 2 2 3" xfId="21848"/>
    <cellStyle name="Normal 7 10 2 2 3 2" xfId="21849"/>
    <cellStyle name="Normal 7 10 2 2 3 2 2" xfId="21850"/>
    <cellStyle name="Normal 7 10 2 2 3 3" xfId="21851"/>
    <cellStyle name="Normal 7 10 2 2 3 3 2" xfId="21852"/>
    <cellStyle name="Normal 7 10 2 2 3 4" xfId="21853"/>
    <cellStyle name="Normal 7 10 2 2 3 4 2" xfId="21854"/>
    <cellStyle name="Normal 7 10 2 2 3 5" xfId="21855"/>
    <cellStyle name="Normal 7 10 2 2 4" xfId="21856"/>
    <cellStyle name="Normal 7 10 2 2 4 2" xfId="21857"/>
    <cellStyle name="Normal 7 10 2 2 5" xfId="21858"/>
    <cellStyle name="Normal 7 10 2 2 5 2" xfId="21859"/>
    <cellStyle name="Normal 7 10 2 2 6" xfId="21860"/>
    <cellStyle name="Normal 7 10 2 2 6 2" xfId="21861"/>
    <cellStyle name="Normal 7 10 2 2 7" xfId="21862"/>
    <cellStyle name="Normal 7 10 2 3" xfId="21863"/>
    <cellStyle name="Normal 7 10 2 3 2" xfId="21864"/>
    <cellStyle name="Normal 7 10 2 3 2 2" xfId="21865"/>
    <cellStyle name="Normal 7 10 2 3 3" xfId="21866"/>
    <cellStyle name="Normal 7 10 2 3 3 2" xfId="21867"/>
    <cellStyle name="Normal 7 10 2 3 4" xfId="21868"/>
    <cellStyle name="Normal 7 10 2 3 4 2" xfId="21869"/>
    <cellStyle name="Normal 7 10 2 3 5" xfId="21870"/>
    <cellStyle name="Normal 7 10 2 4" xfId="21871"/>
    <cellStyle name="Normal 7 10 2 4 2" xfId="21872"/>
    <cellStyle name="Normal 7 10 2 4 2 2" xfId="21873"/>
    <cellStyle name="Normal 7 10 2 4 3" xfId="21874"/>
    <cellStyle name="Normal 7 10 2 4 3 2" xfId="21875"/>
    <cellStyle name="Normal 7 10 2 4 4" xfId="21876"/>
    <cellStyle name="Normal 7 10 2 4 4 2" xfId="21877"/>
    <cellStyle name="Normal 7 10 2 4 5" xfId="21878"/>
    <cellStyle name="Normal 7 10 2 5" xfId="21879"/>
    <cellStyle name="Normal 7 10 2 5 2" xfId="21880"/>
    <cellStyle name="Normal 7 10 2 6" xfId="21881"/>
    <cellStyle name="Normal 7 10 2 6 2" xfId="21882"/>
    <cellStyle name="Normal 7 10 2 7" xfId="21883"/>
    <cellStyle name="Normal 7 10 2 7 2" xfId="21884"/>
    <cellStyle name="Normal 7 10 2 8" xfId="21885"/>
    <cellStyle name="Normal 7 10 3" xfId="21886"/>
    <cellStyle name="Normal 7 10 3 2" xfId="21887"/>
    <cellStyle name="Normal 7 10 3 2 2" xfId="21888"/>
    <cellStyle name="Normal 7 10 3 2 2 2" xfId="21889"/>
    <cellStyle name="Normal 7 10 3 2 2 2 2" xfId="21890"/>
    <cellStyle name="Normal 7 10 3 2 2 3" xfId="21891"/>
    <cellStyle name="Normal 7 10 3 2 2 3 2" xfId="21892"/>
    <cellStyle name="Normal 7 10 3 2 2 4" xfId="21893"/>
    <cellStyle name="Normal 7 10 3 2 2 4 2" xfId="21894"/>
    <cellStyle name="Normal 7 10 3 2 2 5" xfId="21895"/>
    <cellStyle name="Normal 7 10 3 2 3" xfId="21896"/>
    <cellStyle name="Normal 7 10 3 2 3 2" xfId="21897"/>
    <cellStyle name="Normal 7 10 3 2 3 2 2" xfId="21898"/>
    <cellStyle name="Normal 7 10 3 2 3 3" xfId="21899"/>
    <cellStyle name="Normal 7 10 3 2 3 3 2" xfId="21900"/>
    <cellStyle name="Normal 7 10 3 2 3 4" xfId="21901"/>
    <cellStyle name="Normal 7 10 3 2 3 4 2" xfId="21902"/>
    <cellStyle name="Normal 7 10 3 2 3 5" xfId="21903"/>
    <cellStyle name="Normal 7 10 3 2 4" xfId="21904"/>
    <cellStyle name="Normal 7 10 3 2 4 2" xfId="21905"/>
    <cellStyle name="Normal 7 10 3 2 5" xfId="21906"/>
    <cellStyle name="Normal 7 10 3 2 5 2" xfId="21907"/>
    <cellStyle name="Normal 7 10 3 2 6" xfId="21908"/>
    <cellStyle name="Normal 7 10 3 2 6 2" xfId="21909"/>
    <cellStyle name="Normal 7 10 3 2 7" xfId="21910"/>
    <cellStyle name="Normal 7 10 3 3" xfId="21911"/>
    <cellStyle name="Normal 7 10 3 3 2" xfId="21912"/>
    <cellStyle name="Normal 7 10 3 3 2 2" xfId="21913"/>
    <cellStyle name="Normal 7 10 3 3 3" xfId="21914"/>
    <cellStyle name="Normal 7 10 3 3 3 2" xfId="21915"/>
    <cellStyle name="Normal 7 10 3 3 4" xfId="21916"/>
    <cellStyle name="Normal 7 10 3 3 4 2" xfId="21917"/>
    <cellStyle name="Normal 7 10 3 3 5" xfId="21918"/>
    <cellStyle name="Normal 7 10 3 4" xfId="21919"/>
    <cellStyle name="Normal 7 10 3 4 2" xfId="21920"/>
    <cellStyle name="Normal 7 10 3 4 2 2" xfId="21921"/>
    <cellStyle name="Normal 7 10 3 4 3" xfId="21922"/>
    <cellStyle name="Normal 7 10 3 4 3 2" xfId="21923"/>
    <cellStyle name="Normal 7 10 3 4 4" xfId="21924"/>
    <cellStyle name="Normal 7 10 3 4 4 2" xfId="21925"/>
    <cellStyle name="Normal 7 10 3 4 5" xfId="21926"/>
    <cellStyle name="Normal 7 10 3 5" xfId="21927"/>
    <cellStyle name="Normal 7 10 3 5 2" xfId="21928"/>
    <cellStyle name="Normal 7 10 3 6" xfId="21929"/>
    <cellStyle name="Normal 7 10 3 6 2" xfId="21930"/>
    <cellStyle name="Normal 7 10 3 7" xfId="21931"/>
    <cellStyle name="Normal 7 10 3 7 2" xfId="21932"/>
    <cellStyle name="Normal 7 10 3 8" xfId="21933"/>
    <cellStyle name="Normal 7 10 4" xfId="21934"/>
    <cellStyle name="Normal 7 10 4 2" xfId="21935"/>
    <cellStyle name="Normal 7 10 4 2 2" xfId="21936"/>
    <cellStyle name="Normal 7 10 4 2 2 2" xfId="21937"/>
    <cellStyle name="Normal 7 10 4 2 2 2 2" xfId="21938"/>
    <cellStyle name="Normal 7 10 4 2 2 3" xfId="21939"/>
    <cellStyle name="Normal 7 10 4 2 2 3 2" xfId="21940"/>
    <cellStyle name="Normal 7 10 4 2 2 4" xfId="21941"/>
    <cellStyle name="Normal 7 10 4 2 2 4 2" xfId="21942"/>
    <cellStyle name="Normal 7 10 4 2 2 5" xfId="21943"/>
    <cellStyle name="Normal 7 10 4 2 3" xfId="21944"/>
    <cellStyle name="Normal 7 10 4 2 3 2" xfId="21945"/>
    <cellStyle name="Normal 7 10 4 2 3 2 2" xfId="21946"/>
    <cellStyle name="Normal 7 10 4 2 3 3" xfId="21947"/>
    <cellStyle name="Normal 7 10 4 2 3 3 2" xfId="21948"/>
    <cellStyle name="Normal 7 10 4 2 3 4" xfId="21949"/>
    <cellStyle name="Normal 7 10 4 2 3 4 2" xfId="21950"/>
    <cellStyle name="Normal 7 10 4 2 3 5" xfId="21951"/>
    <cellStyle name="Normal 7 10 4 2 4" xfId="21952"/>
    <cellStyle name="Normal 7 10 4 2 4 2" xfId="21953"/>
    <cellStyle name="Normal 7 10 4 2 5" xfId="21954"/>
    <cellStyle name="Normal 7 10 4 2 5 2" xfId="21955"/>
    <cellStyle name="Normal 7 10 4 2 6" xfId="21956"/>
    <cellStyle name="Normal 7 10 4 2 6 2" xfId="21957"/>
    <cellStyle name="Normal 7 10 4 2 7" xfId="21958"/>
    <cellStyle name="Normal 7 10 4 3" xfId="21959"/>
    <cellStyle name="Normal 7 10 4 3 2" xfId="21960"/>
    <cellStyle name="Normal 7 10 4 3 2 2" xfId="21961"/>
    <cellStyle name="Normal 7 10 4 3 3" xfId="21962"/>
    <cellStyle name="Normal 7 10 4 3 3 2" xfId="21963"/>
    <cellStyle name="Normal 7 10 4 3 4" xfId="21964"/>
    <cellStyle name="Normal 7 10 4 3 4 2" xfId="21965"/>
    <cellStyle name="Normal 7 10 4 3 5" xfId="21966"/>
    <cellStyle name="Normal 7 10 4 4" xfId="21967"/>
    <cellStyle name="Normal 7 10 4 4 2" xfId="21968"/>
    <cellStyle name="Normal 7 10 4 4 2 2" xfId="21969"/>
    <cellStyle name="Normal 7 10 4 4 3" xfId="21970"/>
    <cellStyle name="Normal 7 10 4 4 3 2" xfId="21971"/>
    <cellStyle name="Normal 7 10 4 4 4" xfId="21972"/>
    <cellStyle name="Normal 7 10 4 4 4 2" xfId="21973"/>
    <cellStyle name="Normal 7 10 4 4 5" xfId="21974"/>
    <cellStyle name="Normal 7 10 4 5" xfId="21975"/>
    <cellStyle name="Normal 7 10 4 5 2" xfId="21976"/>
    <cellStyle name="Normal 7 10 4 6" xfId="21977"/>
    <cellStyle name="Normal 7 10 4 6 2" xfId="21978"/>
    <cellStyle name="Normal 7 10 4 7" xfId="21979"/>
    <cellStyle name="Normal 7 10 4 7 2" xfId="21980"/>
    <cellStyle name="Normal 7 10 4 8" xfId="21981"/>
    <cellStyle name="Normal 7 10 5" xfId="21982"/>
    <cellStyle name="Normal 7 10 5 2" xfId="21983"/>
    <cellStyle name="Normal 7 10 5 2 2" xfId="21984"/>
    <cellStyle name="Normal 7 10 5 2 2 2" xfId="21985"/>
    <cellStyle name="Normal 7 10 5 2 2 2 2" xfId="21986"/>
    <cellStyle name="Normal 7 10 5 2 2 3" xfId="21987"/>
    <cellStyle name="Normal 7 10 5 2 2 3 2" xfId="21988"/>
    <cellStyle name="Normal 7 10 5 2 2 4" xfId="21989"/>
    <cellStyle name="Normal 7 10 5 2 2 4 2" xfId="21990"/>
    <cellStyle name="Normal 7 10 5 2 2 5" xfId="21991"/>
    <cellStyle name="Normal 7 10 5 2 3" xfId="21992"/>
    <cellStyle name="Normal 7 10 5 2 3 2" xfId="21993"/>
    <cellStyle name="Normal 7 10 5 2 3 2 2" xfId="21994"/>
    <cellStyle name="Normal 7 10 5 2 3 3" xfId="21995"/>
    <cellStyle name="Normal 7 10 5 2 3 3 2" xfId="21996"/>
    <cellStyle name="Normal 7 10 5 2 3 4" xfId="21997"/>
    <cellStyle name="Normal 7 10 5 2 3 4 2" xfId="21998"/>
    <cellStyle name="Normal 7 10 5 2 3 5" xfId="21999"/>
    <cellStyle name="Normal 7 10 5 2 4" xfId="22000"/>
    <cellStyle name="Normal 7 10 5 2 4 2" xfId="22001"/>
    <cellStyle name="Normal 7 10 5 2 5" xfId="22002"/>
    <cellStyle name="Normal 7 10 5 2 5 2" xfId="22003"/>
    <cellStyle name="Normal 7 10 5 2 6" xfId="22004"/>
    <cellStyle name="Normal 7 10 5 2 6 2" xfId="22005"/>
    <cellStyle name="Normal 7 10 5 2 7" xfId="22006"/>
    <cellStyle name="Normal 7 10 5 3" xfId="22007"/>
    <cellStyle name="Normal 7 10 5 3 2" xfId="22008"/>
    <cellStyle name="Normal 7 10 5 3 2 2" xfId="22009"/>
    <cellStyle name="Normal 7 10 5 3 3" xfId="22010"/>
    <cellStyle name="Normal 7 10 5 3 3 2" xfId="22011"/>
    <cellStyle name="Normal 7 10 5 3 4" xfId="22012"/>
    <cellStyle name="Normal 7 10 5 3 4 2" xfId="22013"/>
    <cellStyle name="Normal 7 10 5 3 5" xfId="22014"/>
    <cellStyle name="Normal 7 10 5 4" xfId="22015"/>
    <cellStyle name="Normal 7 10 5 4 2" xfId="22016"/>
    <cellStyle name="Normal 7 10 5 4 2 2" xfId="22017"/>
    <cellStyle name="Normal 7 10 5 4 3" xfId="22018"/>
    <cellStyle name="Normal 7 10 5 4 3 2" xfId="22019"/>
    <cellStyle name="Normal 7 10 5 4 4" xfId="22020"/>
    <cellStyle name="Normal 7 10 5 4 4 2" xfId="22021"/>
    <cellStyle name="Normal 7 10 5 4 5" xfId="22022"/>
    <cellStyle name="Normal 7 10 5 5" xfId="22023"/>
    <cellStyle name="Normal 7 10 5 5 2" xfId="22024"/>
    <cellStyle name="Normal 7 10 5 6" xfId="22025"/>
    <cellStyle name="Normal 7 10 5 6 2" xfId="22026"/>
    <cellStyle name="Normal 7 10 5 7" xfId="22027"/>
    <cellStyle name="Normal 7 10 5 7 2" xfId="22028"/>
    <cellStyle name="Normal 7 10 5 8" xfId="22029"/>
    <cellStyle name="Normal 7 10 6" xfId="22030"/>
    <cellStyle name="Normal 7 10 6 2" xfId="22031"/>
    <cellStyle name="Normal 7 10 6 2 2" xfId="22032"/>
    <cellStyle name="Normal 7 10 6 2 2 2" xfId="22033"/>
    <cellStyle name="Normal 7 10 6 2 2 2 2" xfId="22034"/>
    <cellStyle name="Normal 7 10 6 2 2 3" xfId="22035"/>
    <cellStyle name="Normal 7 10 6 2 2 3 2" xfId="22036"/>
    <cellStyle name="Normal 7 10 6 2 2 4" xfId="22037"/>
    <cellStyle name="Normal 7 10 6 2 2 4 2" xfId="22038"/>
    <cellStyle name="Normal 7 10 6 2 2 5" xfId="22039"/>
    <cellStyle name="Normal 7 10 6 2 3" xfId="22040"/>
    <cellStyle name="Normal 7 10 6 2 3 2" xfId="22041"/>
    <cellStyle name="Normal 7 10 6 2 3 2 2" xfId="22042"/>
    <cellStyle name="Normal 7 10 6 2 3 3" xfId="22043"/>
    <cellStyle name="Normal 7 10 6 2 3 3 2" xfId="22044"/>
    <cellStyle name="Normal 7 10 6 2 3 4" xfId="22045"/>
    <cellStyle name="Normal 7 10 6 2 3 4 2" xfId="22046"/>
    <cellStyle name="Normal 7 10 6 2 3 5" xfId="22047"/>
    <cellStyle name="Normal 7 10 6 2 4" xfId="22048"/>
    <cellStyle name="Normal 7 10 6 2 4 2" xfId="22049"/>
    <cellStyle name="Normal 7 10 6 2 5" xfId="22050"/>
    <cellStyle name="Normal 7 10 6 2 5 2" xfId="22051"/>
    <cellStyle name="Normal 7 10 6 2 6" xfId="22052"/>
    <cellStyle name="Normal 7 10 6 2 6 2" xfId="22053"/>
    <cellStyle name="Normal 7 10 6 2 7" xfId="22054"/>
    <cellStyle name="Normal 7 10 6 3" xfId="22055"/>
    <cellStyle name="Normal 7 10 6 3 2" xfId="22056"/>
    <cellStyle name="Normal 7 10 6 3 2 2" xfId="22057"/>
    <cellStyle name="Normal 7 10 6 3 3" xfId="22058"/>
    <cellStyle name="Normal 7 10 6 3 3 2" xfId="22059"/>
    <cellStyle name="Normal 7 10 6 3 4" xfId="22060"/>
    <cellStyle name="Normal 7 10 6 3 4 2" xfId="22061"/>
    <cellStyle name="Normal 7 10 6 3 5" xfId="22062"/>
    <cellStyle name="Normal 7 10 6 4" xfId="22063"/>
    <cellStyle name="Normal 7 10 6 4 2" xfId="22064"/>
    <cellStyle name="Normal 7 10 6 4 2 2" xfId="22065"/>
    <cellStyle name="Normal 7 10 6 4 3" xfId="22066"/>
    <cellStyle name="Normal 7 10 6 4 3 2" xfId="22067"/>
    <cellStyle name="Normal 7 10 6 4 4" xfId="22068"/>
    <cellStyle name="Normal 7 10 6 4 4 2" xfId="22069"/>
    <cellStyle name="Normal 7 10 6 4 5" xfId="22070"/>
    <cellStyle name="Normal 7 10 6 5" xfId="22071"/>
    <cellStyle name="Normal 7 10 6 5 2" xfId="22072"/>
    <cellStyle name="Normal 7 10 6 6" xfId="22073"/>
    <cellStyle name="Normal 7 10 6 6 2" xfId="22074"/>
    <cellStyle name="Normal 7 10 6 7" xfId="22075"/>
    <cellStyle name="Normal 7 10 6 7 2" xfId="22076"/>
    <cellStyle name="Normal 7 10 6 8" xfId="22077"/>
    <cellStyle name="Normal 7 10 7" xfId="22078"/>
    <cellStyle name="Normal 7 10 7 2" xfId="22079"/>
    <cellStyle name="Normal 7 10 7 2 2" xfId="22080"/>
    <cellStyle name="Normal 7 10 7 2 2 2" xfId="22081"/>
    <cellStyle name="Normal 7 10 7 2 3" xfId="22082"/>
    <cellStyle name="Normal 7 10 7 2 3 2" xfId="22083"/>
    <cellStyle name="Normal 7 10 7 2 4" xfId="22084"/>
    <cellStyle name="Normal 7 10 7 2 4 2" xfId="22085"/>
    <cellStyle name="Normal 7 10 7 2 5" xfId="22086"/>
    <cellStyle name="Normal 7 10 7 3" xfId="22087"/>
    <cellStyle name="Normal 7 10 7 3 2" xfId="22088"/>
    <cellStyle name="Normal 7 10 7 3 2 2" xfId="22089"/>
    <cellStyle name="Normal 7 10 7 3 3" xfId="22090"/>
    <cellStyle name="Normal 7 10 7 3 3 2" xfId="22091"/>
    <cellStyle name="Normal 7 10 7 3 4" xfId="22092"/>
    <cellStyle name="Normal 7 10 7 3 4 2" xfId="22093"/>
    <cellStyle name="Normal 7 10 7 3 5" xfId="22094"/>
    <cellStyle name="Normal 7 10 7 4" xfId="22095"/>
    <cellStyle name="Normal 7 10 7 4 2" xfId="22096"/>
    <cellStyle name="Normal 7 10 7 5" xfId="22097"/>
    <cellStyle name="Normal 7 10 7 5 2" xfId="22098"/>
    <cellStyle name="Normal 7 10 7 6" xfId="22099"/>
    <cellStyle name="Normal 7 10 7 6 2" xfId="22100"/>
    <cellStyle name="Normal 7 10 7 7" xfId="22101"/>
    <cellStyle name="Normal 7 10 8" xfId="22102"/>
    <cellStyle name="Normal 7 10 8 2" xfId="22103"/>
    <cellStyle name="Normal 7 10 8 2 2" xfId="22104"/>
    <cellStyle name="Normal 7 10 8 3" xfId="22105"/>
    <cellStyle name="Normal 7 10 8 3 2" xfId="22106"/>
    <cellStyle name="Normal 7 10 8 4" xfId="22107"/>
    <cellStyle name="Normal 7 10 8 4 2" xfId="22108"/>
    <cellStyle name="Normal 7 10 8 5" xfId="22109"/>
    <cellStyle name="Normal 7 10 9" xfId="22110"/>
    <cellStyle name="Normal 7 10 9 2" xfId="22111"/>
    <cellStyle name="Normal 7 10 9 2 2" xfId="22112"/>
    <cellStyle name="Normal 7 10 9 3" xfId="22113"/>
    <cellStyle name="Normal 7 10 9 3 2" xfId="22114"/>
    <cellStyle name="Normal 7 10 9 4" xfId="22115"/>
    <cellStyle name="Normal 7 10 9 4 2" xfId="22116"/>
    <cellStyle name="Normal 7 10 9 5" xfId="22117"/>
    <cellStyle name="Normal 7 11" xfId="22118"/>
    <cellStyle name="Normal 7 11 2" xfId="22119"/>
    <cellStyle name="Normal 7 11 2 2" xfId="22120"/>
    <cellStyle name="Normal 7 11 2 2 2" xfId="22121"/>
    <cellStyle name="Normal 7 11 2 2 2 2" xfId="22122"/>
    <cellStyle name="Normal 7 11 2 2 3" xfId="22123"/>
    <cellStyle name="Normal 7 11 2 2 3 2" xfId="22124"/>
    <cellStyle name="Normal 7 11 2 2 4" xfId="22125"/>
    <cellStyle name="Normal 7 11 2 2 4 2" xfId="22126"/>
    <cellStyle name="Normal 7 11 2 2 5" xfId="22127"/>
    <cellStyle name="Normal 7 11 2 3" xfId="22128"/>
    <cellStyle name="Normal 7 11 2 3 2" xfId="22129"/>
    <cellStyle name="Normal 7 11 2 3 2 2" xfId="22130"/>
    <cellStyle name="Normal 7 11 2 3 3" xfId="22131"/>
    <cellStyle name="Normal 7 11 2 3 3 2" xfId="22132"/>
    <cellStyle name="Normal 7 11 2 3 4" xfId="22133"/>
    <cellStyle name="Normal 7 11 2 3 4 2" xfId="22134"/>
    <cellStyle name="Normal 7 11 2 3 5" xfId="22135"/>
    <cellStyle name="Normal 7 11 2 4" xfId="22136"/>
    <cellStyle name="Normal 7 11 2 4 2" xfId="22137"/>
    <cellStyle name="Normal 7 11 2 5" xfId="22138"/>
    <cellStyle name="Normal 7 11 2 5 2" xfId="22139"/>
    <cellStyle name="Normal 7 11 2 6" xfId="22140"/>
    <cellStyle name="Normal 7 11 2 6 2" xfId="22141"/>
    <cellStyle name="Normal 7 11 2 7" xfId="22142"/>
    <cellStyle name="Normal 7 11 3" xfId="22143"/>
    <cellStyle name="Normal 7 11 3 2" xfId="22144"/>
    <cellStyle name="Normal 7 11 3 2 2" xfId="22145"/>
    <cellStyle name="Normal 7 11 3 3" xfId="22146"/>
    <cellStyle name="Normal 7 11 3 3 2" xfId="22147"/>
    <cellStyle name="Normal 7 11 3 4" xfId="22148"/>
    <cellStyle name="Normal 7 11 3 4 2" xfId="22149"/>
    <cellStyle name="Normal 7 11 3 5" xfId="22150"/>
    <cellStyle name="Normal 7 11 4" xfId="22151"/>
    <cellStyle name="Normal 7 11 4 2" xfId="22152"/>
    <cellStyle name="Normal 7 11 4 2 2" xfId="22153"/>
    <cellStyle name="Normal 7 11 4 3" xfId="22154"/>
    <cellStyle name="Normal 7 11 4 3 2" xfId="22155"/>
    <cellStyle name="Normal 7 11 4 4" xfId="22156"/>
    <cellStyle name="Normal 7 11 4 4 2" xfId="22157"/>
    <cellStyle name="Normal 7 11 4 5" xfId="22158"/>
    <cellStyle name="Normal 7 11 5" xfId="22159"/>
    <cellStyle name="Normal 7 11 5 2" xfId="22160"/>
    <cellStyle name="Normal 7 11 6" xfId="22161"/>
    <cellStyle name="Normal 7 11 6 2" xfId="22162"/>
    <cellStyle name="Normal 7 11 7" xfId="22163"/>
    <cellStyle name="Normal 7 11 7 2" xfId="22164"/>
    <cellStyle name="Normal 7 11 8" xfId="22165"/>
    <cellStyle name="Normal 7 12" xfId="22166"/>
    <cellStyle name="Normal 7 12 2" xfId="22167"/>
    <cellStyle name="Normal 7 12 2 2" xfId="22168"/>
    <cellStyle name="Normal 7 12 2 2 2" xfId="22169"/>
    <cellStyle name="Normal 7 12 2 2 2 2" xfId="22170"/>
    <cellStyle name="Normal 7 12 2 2 3" xfId="22171"/>
    <cellStyle name="Normal 7 12 2 2 3 2" xfId="22172"/>
    <cellStyle name="Normal 7 12 2 2 4" xfId="22173"/>
    <cellStyle name="Normal 7 12 2 2 4 2" xfId="22174"/>
    <cellStyle name="Normal 7 12 2 2 5" xfId="22175"/>
    <cellStyle name="Normal 7 12 2 3" xfId="22176"/>
    <cellStyle name="Normal 7 12 2 3 2" xfId="22177"/>
    <cellStyle name="Normal 7 12 2 3 2 2" xfId="22178"/>
    <cellStyle name="Normal 7 12 2 3 3" xfId="22179"/>
    <cellStyle name="Normal 7 12 2 3 3 2" xfId="22180"/>
    <cellStyle name="Normal 7 12 2 3 4" xfId="22181"/>
    <cellStyle name="Normal 7 12 2 3 4 2" xfId="22182"/>
    <cellStyle name="Normal 7 12 2 3 5" xfId="22183"/>
    <cellStyle name="Normal 7 12 2 4" xfId="22184"/>
    <cellStyle name="Normal 7 12 2 4 2" xfId="22185"/>
    <cellStyle name="Normal 7 12 2 5" xfId="22186"/>
    <cellStyle name="Normal 7 12 2 5 2" xfId="22187"/>
    <cellStyle name="Normal 7 12 2 6" xfId="22188"/>
    <cellStyle name="Normal 7 12 2 6 2" xfId="22189"/>
    <cellStyle name="Normal 7 12 2 7" xfId="22190"/>
    <cellStyle name="Normal 7 12 3" xfId="22191"/>
    <cellStyle name="Normal 7 12 3 2" xfId="22192"/>
    <cellStyle name="Normal 7 12 3 2 2" xfId="22193"/>
    <cellStyle name="Normal 7 12 3 3" xfId="22194"/>
    <cellStyle name="Normal 7 12 3 3 2" xfId="22195"/>
    <cellStyle name="Normal 7 12 3 4" xfId="22196"/>
    <cellStyle name="Normal 7 12 3 4 2" xfId="22197"/>
    <cellStyle name="Normal 7 12 3 5" xfId="22198"/>
    <cellStyle name="Normal 7 12 4" xfId="22199"/>
    <cellStyle name="Normal 7 12 4 2" xfId="22200"/>
    <cellStyle name="Normal 7 12 4 2 2" xfId="22201"/>
    <cellStyle name="Normal 7 12 4 3" xfId="22202"/>
    <cellStyle name="Normal 7 12 4 3 2" xfId="22203"/>
    <cellStyle name="Normal 7 12 4 4" xfId="22204"/>
    <cellStyle name="Normal 7 12 4 4 2" xfId="22205"/>
    <cellStyle name="Normal 7 12 4 5" xfId="22206"/>
    <cellStyle name="Normal 7 12 5" xfId="22207"/>
    <cellStyle name="Normal 7 12 5 2" xfId="22208"/>
    <cellStyle name="Normal 7 12 6" xfId="22209"/>
    <cellStyle name="Normal 7 12 6 2" xfId="22210"/>
    <cellStyle name="Normal 7 12 7" xfId="22211"/>
    <cellStyle name="Normal 7 12 7 2" xfId="22212"/>
    <cellStyle name="Normal 7 12 8" xfId="22213"/>
    <cellStyle name="Normal 7 13" xfId="22214"/>
    <cellStyle name="Normal 7 13 2" xfId="22215"/>
    <cellStyle name="Normal 7 13 2 2" xfId="22216"/>
    <cellStyle name="Normal 7 13 2 2 2" xfId="22217"/>
    <cellStyle name="Normal 7 13 2 2 2 2" xfId="22218"/>
    <cellStyle name="Normal 7 13 2 2 3" xfId="22219"/>
    <cellStyle name="Normal 7 13 2 2 3 2" xfId="22220"/>
    <cellStyle name="Normal 7 13 2 2 4" xfId="22221"/>
    <cellStyle name="Normal 7 13 2 2 4 2" xfId="22222"/>
    <cellStyle name="Normal 7 13 2 2 5" xfId="22223"/>
    <cellStyle name="Normal 7 13 2 3" xfId="22224"/>
    <cellStyle name="Normal 7 13 2 3 2" xfId="22225"/>
    <cellStyle name="Normal 7 13 2 3 2 2" xfId="22226"/>
    <cellStyle name="Normal 7 13 2 3 3" xfId="22227"/>
    <cellStyle name="Normal 7 13 2 3 3 2" xfId="22228"/>
    <cellStyle name="Normal 7 13 2 3 4" xfId="22229"/>
    <cellStyle name="Normal 7 13 2 3 4 2" xfId="22230"/>
    <cellStyle name="Normal 7 13 2 3 5" xfId="22231"/>
    <cellStyle name="Normal 7 13 2 4" xfId="22232"/>
    <cellStyle name="Normal 7 13 2 4 2" xfId="22233"/>
    <cellStyle name="Normal 7 13 2 5" xfId="22234"/>
    <cellStyle name="Normal 7 13 2 5 2" xfId="22235"/>
    <cellStyle name="Normal 7 13 2 6" xfId="22236"/>
    <cellStyle name="Normal 7 13 2 6 2" xfId="22237"/>
    <cellStyle name="Normal 7 13 2 7" xfId="22238"/>
    <cellStyle name="Normal 7 13 3" xfId="22239"/>
    <cellStyle name="Normal 7 13 3 2" xfId="22240"/>
    <cellStyle name="Normal 7 13 3 2 2" xfId="22241"/>
    <cellStyle name="Normal 7 13 3 3" xfId="22242"/>
    <cellStyle name="Normal 7 13 3 3 2" xfId="22243"/>
    <cellStyle name="Normal 7 13 3 4" xfId="22244"/>
    <cellStyle name="Normal 7 13 3 4 2" xfId="22245"/>
    <cellStyle name="Normal 7 13 3 5" xfId="22246"/>
    <cellStyle name="Normal 7 13 4" xfId="22247"/>
    <cellStyle name="Normal 7 13 4 2" xfId="22248"/>
    <cellStyle name="Normal 7 13 4 2 2" xfId="22249"/>
    <cellStyle name="Normal 7 13 4 3" xfId="22250"/>
    <cellStyle name="Normal 7 13 4 3 2" xfId="22251"/>
    <cellStyle name="Normal 7 13 4 4" xfId="22252"/>
    <cellStyle name="Normal 7 13 4 4 2" xfId="22253"/>
    <cellStyle name="Normal 7 13 4 5" xfId="22254"/>
    <cellStyle name="Normal 7 13 5" xfId="22255"/>
    <cellStyle name="Normal 7 13 5 2" xfId="22256"/>
    <cellStyle name="Normal 7 13 6" xfId="22257"/>
    <cellStyle name="Normal 7 13 6 2" xfId="22258"/>
    <cellStyle name="Normal 7 13 7" xfId="22259"/>
    <cellStyle name="Normal 7 13 7 2" xfId="22260"/>
    <cellStyle name="Normal 7 13 8" xfId="22261"/>
    <cellStyle name="Normal 7 14" xfId="22262"/>
    <cellStyle name="Normal 7 14 2" xfId="22263"/>
    <cellStyle name="Normal 7 14 2 2" xfId="22264"/>
    <cellStyle name="Normal 7 14 2 2 2" xfId="22265"/>
    <cellStyle name="Normal 7 14 2 2 2 2" xfId="22266"/>
    <cellStyle name="Normal 7 14 2 2 3" xfId="22267"/>
    <cellStyle name="Normal 7 14 2 2 3 2" xfId="22268"/>
    <cellStyle name="Normal 7 14 2 2 4" xfId="22269"/>
    <cellStyle name="Normal 7 14 2 2 4 2" xfId="22270"/>
    <cellStyle name="Normal 7 14 2 2 5" xfId="22271"/>
    <cellStyle name="Normal 7 14 2 3" xfId="22272"/>
    <cellStyle name="Normal 7 14 2 3 2" xfId="22273"/>
    <cellStyle name="Normal 7 14 2 3 2 2" xfId="22274"/>
    <cellStyle name="Normal 7 14 2 3 3" xfId="22275"/>
    <cellStyle name="Normal 7 14 2 3 3 2" xfId="22276"/>
    <cellStyle name="Normal 7 14 2 3 4" xfId="22277"/>
    <cellStyle name="Normal 7 14 2 3 4 2" xfId="22278"/>
    <cellStyle name="Normal 7 14 2 3 5" xfId="22279"/>
    <cellStyle name="Normal 7 14 2 4" xfId="22280"/>
    <cellStyle name="Normal 7 14 2 4 2" xfId="22281"/>
    <cellStyle name="Normal 7 14 2 5" xfId="22282"/>
    <cellStyle name="Normal 7 14 2 5 2" xfId="22283"/>
    <cellStyle name="Normal 7 14 2 6" xfId="22284"/>
    <cellStyle name="Normal 7 14 2 6 2" xfId="22285"/>
    <cellStyle name="Normal 7 14 2 7" xfId="22286"/>
    <cellStyle name="Normal 7 14 3" xfId="22287"/>
    <cellStyle name="Normal 7 14 3 2" xfId="22288"/>
    <cellStyle name="Normal 7 14 3 2 2" xfId="22289"/>
    <cellStyle name="Normal 7 14 3 3" xfId="22290"/>
    <cellStyle name="Normal 7 14 3 3 2" xfId="22291"/>
    <cellStyle name="Normal 7 14 3 4" xfId="22292"/>
    <cellStyle name="Normal 7 14 3 4 2" xfId="22293"/>
    <cellStyle name="Normal 7 14 3 5" xfId="22294"/>
    <cellStyle name="Normal 7 14 4" xfId="22295"/>
    <cellStyle name="Normal 7 14 4 2" xfId="22296"/>
    <cellStyle name="Normal 7 14 4 2 2" xfId="22297"/>
    <cellStyle name="Normal 7 14 4 3" xfId="22298"/>
    <cellStyle name="Normal 7 14 4 3 2" xfId="22299"/>
    <cellStyle name="Normal 7 14 4 4" xfId="22300"/>
    <cellStyle name="Normal 7 14 4 4 2" xfId="22301"/>
    <cellStyle name="Normal 7 14 4 5" xfId="22302"/>
    <cellStyle name="Normal 7 14 5" xfId="22303"/>
    <cellStyle name="Normal 7 14 5 2" xfId="22304"/>
    <cellStyle name="Normal 7 14 6" xfId="22305"/>
    <cellStyle name="Normal 7 14 6 2" xfId="22306"/>
    <cellStyle name="Normal 7 14 7" xfId="22307"/>
    <cellStyle name="Normal 7 14 7 2" xfId="22308"/>
    <cellStyle name="Normal 7 14 8" xfId="22309"/>
    <cellStyle name="Normal 7 15" xfId="22310"/>
    <cellStyle name="Normal 7 15 2" xfId="22311"/>
    <cellStyle name="Normal 7 15 2 2" xfId="22312"/>
    <cellStyle name="Normal 7 15 2 2 2" xfId="22313"/>
    <cellStyle name="Normal 7 15 2 2 2 2" xfId="22314"/>
    <cellStyle name="Normal 7 15 2 2 3" xfId="22315"/>
    <cellStyle name="Normal 7 15 2 2 3 2" xfId="22316"/>
    <cellStyle name="Normal 7 15 2 2 4" xfId="22317"/>
    <cellStyle name="Normal 7 15 2 2 4 2" xfId="22318"/>
    <cellStyle name="Normal 7 15 2 2 5" xfId="22319"/>
    <cellStyle name="Normal 7 15 2 3" xfId="22320"/>
    <cellStyle name="Normal 7 15 2 3 2" xfId="22321"/>
    <cellStyle name="Normal 7 15 2 3 2 2" xfId="22322"/>
    <cellStyle name="Normal 7 15 2 3 3" xfId="22323"/>
    <cellStyle name="Normal 7 15 2 3 3 2" xfId="22324"/>
    <cellStyle name="Normal 7 15 2 3 4" xfId="22325"/>
    <cellStyle name="Normal 7 15 2 3 4 2" xfId="22326"/>
    <cellStyle name="Normal 7 15 2 3 5" xfId="22327"/>
    <cellStyle name="Normal 7 15 2 4" xfId="22328"/>
    <cellStyle name="Normal 7 15 2 4 2" xfId="22329"/>
    <cellStyle name="Normal 7 15 2 5" xfId="22330"/>
    <cellStyle name="Normal 7 15 2 5 2" xfId="22331"/>
    <cellStyle name="Normal 7 15 2 6" xfId="22332"/>
    <cellStyle name="Normal 7 15 2 6 2" xfId="22333"/>
    <cellStyle name="Normal 7 15 2 7" xfId="22334"/>
    <cellStyle name="Normal 7 15 3" xfId="22335"/>
    <cellStyle name="Normal 7 15 3 2" xfId="22336"/>
    <cellStyle name="Normal 7 15 3 2 2" xfId="22337"/>
    <cellStyle name="Normal 7 15 3 3" xfId="22338"/>
    <cellStyle name="Normal 7 15 3 3 2" xfId="22339"/>
    <cellStyle name="Normal 7 15 3 4" xfId="22340"/>
    <cellStyle name="Normal 7 15 3 4 2" xfId="22341"/>
    <cellStyle name="Normal 7 15 3 5" xfId="22342"/>
    <cellStyle name="Normal 7 15 4" xfId="22343"/>
    <cellStyle name="Normal 7 15 4 2" xfId="22344"/>
    <cellStyle name="Normal 7 15 4 2 2" xfId="22345"/>
    <cellStyle name="Normal 7 15 4 3" xfId="22346"/>
    <cellStyle name="Normal 7 15 4 3 2" xfId="22347"/>
    <cellStyle name="Normal 7 15 4 4" xfId="22348"/>
    <cellStyle name="Normal 7 15 4 4 2" xfId="22349"/>
    <cellStyle name="Normal 7 15 4 5" xfId="22350"/>
    <cellStyle name="Normal 7 15 5" xfId="22351"/>
    <cellStyle name="Normal 7 15 5 2" xfId="22352"/>
    <cellStyle name="Normal 7 15 6" xfId="22353"/>
    <cellStyle name="Normal 7 15 6 2" xfId="22354"/>
    <cellStyle name="Normal 7 15 7" xfId="22355"/>
    <cellStyle name="Normal 7 15 7 2" xfId="22356"/>
    <cellStyle name="Normal 7 15 8" xfId="22357"/>
    <cellStyle name="Normal 7 16" xfId="22358"/>
    <cellStyle name="Normal 7 16 2" xfId="22359"/>
    <cellStyle name="Normal 7 16 2 2" xfId="22360"/>
    <cellStyle name="Normal 7 16 2 2 2" xfId="22361"/>
    <cellStyle name="Normal 7 16 2 3" xfId="22362"/>
    <cellStyle name="Normal 7 16 2 3 2" xfId="22363"/>
    <cellStyle name="Normal 7 16 2 4" xfId="22364"/>
    <cellStyle name="Normal 7 16 2 4 2" xfId="22365"/>
    <cellStyle name="Normal 7 16 2 5" xfId="22366"/>
    <cellStyle name="Normal 7 16 3" xfId="22367"/>
    <cellStyle name="Normal 7 16 3 2" xfId="22368"/>
    <cellStyle name="Normal 7 16 3 2 2" xfId="22369"/>
    <cellStyle name="Normal 7 16 3 3" xfId="22370"/>
    <cellStyle name="Normal 7 16 3 3 2" xfId="22371"/>
    <cellStyle name="Normal 7 16 3 4" xfId="22372"/>
    <cellStyle name="Normal 7 16 3 4 2" xfId="22373"/>
    <cellStyle name="Normal 7 16 3 5" xfId="22374"/>
    <cellStyle name="Normal 7 16 4" xfId="22375"/>
    <cellStyle name="Normal 7 16 4 2" xfId="22376"/>
    <cellStyle name="Normal 7 16 5" xfId="22377"/>
    <cellStyle name="Normal 7 16 5 2" xfId="22378"/>
    <cellStyle name="Normal 7 16 6" xfId="22379"/>
    <cellStyle name="Normal 7 16 6 2" xfId="22380"/>
    <cellStyle name="Normal 7 16 7" xfId="22381"/>
    <cellStyle name="Normal 7 2" xfId="1015"/>
    <cellStyle name="Normal 7 2 10" xfId="22382"/>
    <cellStyle name="Normal 7 2 2" xfId="22383"/>
    <cellStyle name="Normal 7 2 2 2" xfId="22384"/>
    <cellStyle name="Normal 7 2 2 2 2" xfId="22385"/>
    <cellStyle name="Normal 7 2 2 2 2 2" xfId="22386"/>
    <cellStyle name="Normal 7 2 2 2 3" xfId="22387"/>
    <cellStyle name="Normal 7 2 2 2 3 2" xfId="22388"/>
    <cellStyle name="Normal 7 2 2 2 4" xfId="22389"/>
    <cellStyle name="Normal 7 2 2 2 4 2" xfId="22390"/>
    <cellStyle name="Normal 7 2 2 2 5" xfId="22391"/>
    <cellStyle name="Normal 7 2 2 3" xfId="22392"/>
    <cellStyle name="Normal 7 2 2 3 2" xfId="22393"/>
    <cellStyle name="Normal 7 2 2 3 2 2" xfId="22394"/>
    <cellStyle name="Normal 7 2 2 3 3" xfId="22395"/>
    <cellStyle name="Normal 7 2 2 3 3 2" xfId="22396"/>
    <cellStyle name="Normal 7 2 2 3 4" xfId="22397"/>
    <cellStyle name="Normal 7 2 2 3 4 2" xfId="22398"/>
    <cellStyle name="Normal 7 2 2 3 5" xfId="22399"/>
    <cellStyle name="Normal 7 2 2 4" xfId="22400"/>
    <cellStyle name="Normal 7 2 2 4 2" xfId="22401"/>
    <cellStyle name="Normal 7 2 2 5" xfId="22402"/>
    <cellStyle name="Normal 7 2 2 5 2" xfId="22403"/>
    <cellStyle name="Normal 7 2 2 6" xfId="22404"/>
    <cellStyle name="Normal 7 2 2 6 2" xfId="22405"/>
    <cellStyle name="Normal 7 2 2 7" xfId="22406"/>
    <cellStyle name="Normal 7 2 3" xfId="22407"/>
    <cellStyle name="Normal 7 2 4" xfId="22408"/>
    <cellStyle name="Normal 7 2 4 2" xfId="22409"/>
    <cellStyle name="Normal 7 2 4 2 2" xfId="22410"/>
    <cellStyle name="Normal 7 2 4 3" xfId="22411"/>
    <cellStyle name="Normal 7 2 4 3 2" xfId="22412"/>
    <cellStyle name="Normal 7 2 4 4" xfId="22413"/>
    <cellStyle name="Normal 7 2 4 4 2" xfId="22414"/>
    <cellStyle name="Normal 7 2 4 5" xfId="22415"/>
    <cellStyle name="Normal 7 2 5" xfId="22416"/>
    <cellStyle name="Normal 7 2 5 2" xfId="22417"/>
    <cellStyle name="Normal 7 2 5 2 2" xfId="22418"/>
    <cellStyle name="Normal 7 2 5 3" xfId="22419"/>
    <cellStyle name="Normal 7 2 5 3 2" xfId="22420"/>
    <cellStyle name="Normal 7 2 5 4" xfId="22421"/>
    <cellStyle name="Normal 7 2 5 4 2" xfId="22422"/>
    <cellStyle name="Normal 7 2 5 5" xfId="22423"/>
    <cellStyle name="Normal 7 2 6" xfId="22424"/>
    <cellStyle name="Normal 7 2 6 2" xfId="22425"/>
    <cellStyle name="Normal 7 2 7" xfId="22426"/>
    <cellStyle name="Normal 7 2 7 2" xfId="22427"/>
    <cellStyle name="Normal 7 2 8" xfId="22428"/>
    <cellStyle name="Normal 7 2 8 2" xfId="22429"/>
    <cellStyle name="Normal 7 2 9" xfId="22430"/>
    <cellStyle name="Normal 7 3" xfId="3580"/>
    <cellStyle name="Normal 7 3 10" xfId="22432"/>
    <cellStyle name="Normal 7 3 10 2" xfId="22433"/>
    <cellStyle name="Normal 7 3 10 2 2" xfId="22434"/>
    <cellStyle name="Normal 7 3 10 2 2 2" xfId="22435"/>
    <cellStyle name="Normal 7 3 10 2 2 2 2" xfId="22436"/>
    <cellStyle name="Normal 7 3 10 2 2 3" xfId="22437"/>
    <cellStyle name="Normal 7 3 10 2 2 3 2" xfId="22438"/>
    <cellStyle name="Normal 7 3 10 2 2 4" xfId="22439"/>
    <cellStyle name="Normal 7 3 10 2 2 4 2" xfId="22440"/>
    <cellStyle name="Normal 7 3 10 2 2 5" xfId="22441"/>
    <cellStyle name="Normal 7 3 10 2 3" xfId="22442"/>
    <cellStyle name="Normal 7 3 10 2 3 2" xfId="22443"/>
    <cellStyle name="Normal 7 3 10 2 3 2 2" xfId="22444"/>
    <cellStyle name="Normal 7 3 10 2 3 3" xfId="22445"/>
    <cellStyle name="Normal 7 3 10 2 3 3 2" xfId="22446"/>
    <cellStyle name="Normal 7 3 10 2 3 4" xfId="22447"/>
    <cellStyle name="Normal 7 3 10 2 3 4 2" xfId="22448"/>
    <cellStyle name="Normal 7 3 10 2 3 5" xfId="22449"/>
    <cellStyle name="Normal 7 3 10 2 4" xfId="22450"/>
    <cellStyle name="Normal 7 3 10 2 4 2" xfId="22451"/>
    <cellStyle name="Normal 7 3 10 2 5" xfId="22452"/>
    <cellStyle name="Normal 7 3 10 2 5 2" xfId="22453"/>
    <cellStyle name="Normal 7 3 10 2 6" xfId="22454"/>
    <cellStyle name="Normal 7 3 10 2 6 2" xfId="22455"/>
    <cellStyle name="Normal 7 3 10 2 7" xfId="22456"/>
    <cellStyle name="Normal 7 3 10 3" xfId="22457"/>
    <cellStyle name="Normal 7 3 10 3 2" xfId="22458"/>
    <cellStyle name="Normal 7 3 10 3 2 2" xfId="22459"/>
    <cellStyle name="Normal 7 3 10 3 3" xfId="22460"/>
    <cellStyle name="Normal 7 3 10 3 3 2" xfId="22461"/>
    <cellStyle name="Normal 7 3 10 3 4" xfId="22462"/>
    <cellStyle name="Normal 7 3 10 3 4 2" xfId="22463"/>
    <cellStyle name="Normal 7 3 10 3 5" xfId="22464"/>
    <cellStyle name="Normal 7 3 10 4" xfId="22465"/>
    <cellStyle name="Normal 7 3 10 4 2" xfId="22466"/>
    <cellStyle name="Normal 7 3 10 4 2 2" xfId="22467"/>
    <cellStyle name="Normal 7 3 10 4 3" xfId="22468"/>
    <cellStyle name="Normal 7 3 10 4 3 2" xfId="22469"/>
    <cellStyle name="Normal 7 3 10 4 4" xfId="22470"/>
    <cellStyle name="Normal 7 3 10 4 4 2" xfId="22471"/>
    <cellStyle name="Normal 7 3 10 4 5" xfId="22472"/>
    <cellStyle name="Normal 7 3 10 5" xfId="22473"/>
    <cellStyle name="Normal 7 3 10 5 2" xfId="22474"/>
    <cellStyle name="Normal 7 3 10 6" xfId="22475"/>
    <cellStyle name="Normal 7 3 10 6 2" xfId="22476"/>
    <cellStyle name="Normal 7 3 10 7" xfId="22477"/>
    <cellStyle name="Normal 7 3 10 7 2" xfId="22478"/>
    <cellStyle name="Normal 7 3 10 8" xfId="22479"/>
    <cellStyle name="Normal 7 3 11" xfId="22480"/>
    <cellStyle name="Normal 7 3 11 2" xfId="22481"/>
    <cellStyle name="Normal 7 3 11 2 2" xfId="22482"/>
    <cellStyle name="Normal 7 3 11 2 2 2" xfId="22483"/>
    <cellStyle name="Normal 7 3 11 2 2 2 2" xfId="22484"/>
    <cellStyle name="Normal 7 3 11 2 2 3" xfId="22485"/>
    <cellStyle name="Normal 7 3 11 2 2 3 2" xfId="22486"/>
    <cellStyle name="Normal 7 3 11 2 2 4" xfId="22487"/>
    <cellStyle name="Normal 7 3 11 2 2 4 2" xfId="22488"/>
    <cellStyle name="Normal 7 3 11 2 2 5" xfId="22489"/>
    <cellStyle name="Normal 7 3 11 2 3" xfId="22490"/>
    <cellStyle name="Normal 7 3 11 2 3 2" xfId="22491"/>
    <cellStyle name="Normal 7 3 11 2 3 2 2" xfId="22492"/>
    <cellStyle name="Normal 7 3 11 2 3 3" xfId="22493"/>
    <cellStyle name="Normal 7 3 11 2 3 3 2" xfId="22494"/>
    <cellStyle name="Normal 7 3 11 2 3 4" xfId="22495"/>
    <cellStyle name="Normal 7 3 11 2 3 4 2" xfId="22496"/>
    <cellStyle name="Normal 7 3 11 2 3 5" xfId="22497"/>
    <cellStyle name="Normal 7 3 11 2 4" xfId="22498"/>
    <cellStyle name="Normal 7 3 11 2 4 2" xfId="22499"/>
    <cellStyle name="Normal 7 3 11 2 5" xfId="22500"/>
    <cellStyle name="Normal 7 3 11 2 5 2" xfId="22501"/>
    <cellStyle name="Normal 7 3 11 2 6" xfId="22502"/>
    <cellStyle name="Normal 7 3 11 2 6 2" xfId="22503"/>
    <cellStyle name="Normal 7 3 11 2 7" xfId="22504"/>
    <cellStyle name="Normal 7 3 11 3" xfId="22505"/>
    <cellStyle name="Normal 7 3 11 3 2" xfId="22506"/>
    <cellStyle name="Normal 7 3 11 3 2 2" xfId="22507"/>
    <cellStyle name="Normal 7 3 11 3 3" xfId="22508"/>
    <cellStyle name="Normal 7 3 11 3 3 2" xfId="22509"/>
    <cellStyle name="Normal 7 3 11 3 4" xfId="22510"/>
    <cellStyle name="Normal 7 3 11 3 4 2" xfId="22511"/>
    <cellStyle name="Normal 7 3 11 3 5" xfId="22512"/>
    <cellStyle name="Normal 7 3 11 4" xfId="22513"/>
    <cellStyle name="Normal 7 3 11 4 2" xfId="22514"/>
    <cellStyle name="Normal 7 3 11 4 2 2" xfId="22515"/>
    <cellStyle name="Normal 7 3 11 4 3" xfId="22516"/>
    <cellStyle name="Normal 7 3 11 4 3 2" xfId="22517"/>
    <cellStyle name="Normal 7 3 11 4 4" xfId="22518"/>
    <cellStyle name="Normal 7 3 11 4 4 2" xfId="22519"/>
    <cellStyle name="Normal 7 3 11 4 5" xfId="22520"/>
    <cellStyle name="Normal 7 3 11 5" xfId="22521"/>
    <cellStyle name="Normal 7 3 11 5 2" xfId="22522"/>
    <cellStyle name="Normal 7 3 11 6" xfId="22523"/>
    <cellStyle name="Normal 7 3 11 6 2" xfId="22524"/>
    <cellStyle name="Normal 7 3 11 7" xfId="22525"/>
    <cellStyle name="Normal 7 3 11 7 2" xfId="22526"/>
    <cellStyle name="Normal 7 3 11 8" xfId="22527"/>
    <cellStyle name="Normal 7 3 12" xfId="22528"/>
    <cellStyle name="Normal 7 3 12 2" xfId="22529"/>
    <cellStyle name="Normal 7 3 12 2 2" xfId="22530"/>
    <cellStyle name="Normal 7 3 12 2 2 2" xfId="22531"/>
    <cellStyle name="Normal 7 3 12 2 2 2 2" xfId="22532"/>
    <cellStyle name="Normal 7 3 12 2 2 3" xfId="22533"/>
    <cellStyle name="Normal 7 3 12 2 2 3 2" xfId="22534"/>
    <cellStyle name="Normal 7 3 12 2 2 4" xfId="22535"/>
    <cellStyle name="Normal 7 3 12 2 2 4 2" xfId="22536"/>
    <cellStyle name="Normal 7 3 12 2 2 5" xfId="22537"/>
    <cellStyle name="Normal 7 3 12 2 3" xfId="22538"/>
    <cellStyle name="Normal 7 3 12 2 3 2" xfId="22539"/>
    <cellStyle name="Normal 7 3 12 2 3 2 2" xfId="22540"/>
    <cellStyle name="Normal 7 3 12 2 3 3" xfId="22541"/>
    <cellStyle name="Normal 7 3 12 2 3 3 2" xfId="22542"/>
    <cellStyle name="Normal 7 3 12 2 3 4" xfId="22543"/>
    <cellStyle name="Normal 7 3 12 2 3 4 2" xfId="22544"/>
    <cellStyle name="Normal 7 3 12 2 3 5" xfId="22545"/>
    <cellStyle name="Normal 7 3 12 2 4" xfId="22546"/>
    <cellStyle name="Normal 7 3 12 2 4 2" xfId="22547"/>
    <cellStyle name="Normal 7 3 12 2 5" xfId="22548"/>
    <cellStyle name="Normal 7 3 12 2 5 2" xfId="22549"/>
    <cellStyle name="Normal 7 3 12 2 6" xfId="22550"/>
    <cellStyle name="Normal 7 3 12 2 6 2" xfId="22551"/>
    <cellStyle name="Normal 7 3 12 2 7" xfId="22552"/>
    <cellStyle name="Normal 7 3 12 3" xfId="22553"/>
    <cellStyle name="Normal 7 3 12 3 2" xfId="22554"/>
    <cellStyle name="Normal 7 3 12 3 2 2" xfId="22555"/>
    <cellStyle name="Normal 7 3 12 3 3" xfId="22556"/>
    <cellStyle name="Normal 7 3 12 3 3 2" xfId="22557"/>
    <cellStyle name="Normal 7 3 12 3 4" xfId="22558"/>
    <cellStyle name="Normal 7 3 12 3 4 2" xfId="22559"/>
    <cellStyle name="Normal 7 3 12 3 5" xfId="22560"/>
    <cellStyle name="Normal 7 3 12 4" xfId="22561"/>
    <cellStyle name="Normal 7 3 12 4 2" xfId="22562"/>
    <cellStyle name="Normal 7 3 12 4 2 2" xfId="22563"/>
    <cellStyle name="Normal 7 3 12 4 3" xfId="22564"/>
    <cellStyle name="Normal 7 3 12 4 3 2" xfId="22565"/>
    <cellStyle name="Normal 7 3 12 4 4" xfId="22566"/>
    <cellStyle name="Normal 7 3 12 4 4 2" xfId="22567"/>
    <cellStyle name="Normal 7 3 12 4 5" xfId="22568"/>
    <cellStyle name="Normal 7 3 12 5" xfId="22569"/>
    <cellStyle name="Normal 7 3 12 5 2" xfId="22570"/>
    <cellStyle name="Normal 7 3 12 6" xfId="22571"/>
    <cellStyle name="Normal 7 3 12 6 2" xfId="22572"/>
    <cellStyle name="Normal 7 3 12 7" xfId="22573"/>
    <cellStyle name="Normal 7 3 12 7 2" xfId="22574"/>
    <cellStyle name="Normal 7 3 12 8" xfId="22575"/>
    <cellStyle name="Normal 7 3 13" xfId="22576"/>
    <cellStyle name="Normal 7 3 13 2" xfId="22577"/>
    <cellStyle name="Normal 7 3 13 2 2" xfId="22578"/>
    <cellStyle name="Normal 7 3 13 2 2 2" xfId="22579"/>
    <cellStyle name="Normal 7 3 13 2 3" xfId="22580"/>
    <cellStyle name="Normal 7 3 13 2 3 2" xfId="22581"/>
    <cellStyle name="Normal 7 3 13 2 4" xfId="22582"/>
    <cellStyle name="Normal 7 3 13 2 4 2" xfId="22583"/>
    <cellStyle name="Normal 7 3 13 2 5" xfId="22584"/>
    <cellStyle name="Normal 7 3 13 3" xfId="22585"/>
    <cellStyle name="Normal 7 3 13 3 2" xfId="22586"/>
    <cellStyle name="Normal 7 3 13 3 2 2" xfId="22587"/>
    <cellStyle name="Normal 7 3 13 3 3" xfId="22588"/>
    <cellStyle name="Normal 7 3 13 3 3 2" xfId="22589"/>
    <cellStyle name="Normal 7 3 13 3 4" xfId="22590"/>
    <cellStyle name="Normal 7 3 13 3 4 2" xfId="22591"/>
    <cellStyle name="Normal 7 3 13 3 5" xfId="22592"/>
    <cellStyle name="Normal 7 3 13 4" xfId="22593"/>
    <cellStyle name="Normal 7 3 13 4 2" xfId="22594"/>
    <cellStyle name="Normal 7 3 13 5" xfId="22595"/>
    <cellStyle name="Normal 7 3 13 5 2" xfId="22596"/>
    <cellStyle name="Normal 7 3 13 6" xfId="22597"/>
    <cellStyle name="Normal 7 3 13 6 2" xfId="22598"/>
    <cellStyle name="Normal 7 3 13 7" xfId="22599"/>
    <cellStyle name="Normal 7 3 14" xfId="22600"/>
    <cellStyle name="Normal 7 3 14 2" xfId="22601"/>
    <cellStyle name="Normal 7 3 14 2 2" xfId="22602"/>
    <cellStyle name="Normal 7 3 14 3" xfId="22603"/>
    <cellStyle name="Normal 7 3 14 3 2" xfId="22604"/>
    <cellStyle name="Normal 7 3 14 4" xfId="22605"/>
    <cellStyle name="Normal 7 3 14 4 2" xfId="22606"/>
    <cellStyle name="Normal 7 3 14 5" xfId="22607"/>
    <cellStyle name="Normal 7 3 15" xfId="22608"/>
    <cellStyle name="Normal 7 3 15 2" xfId="22609"/>
    <cellStyle name="Normal 7 3 15 2 2" xfId="22610"/>
    <cellStyle name="Normal 7 3 15 3" xfId="22611"/>
    <cellStyle name="Normal 7 3 15 3 2" xfId="22612"/>
    <cellStyle name="Normal 7 3 15 4" xfId="22613"/>
    <cellStyle name="Normal 7 3 15 4 2" xfId="22614"/>
    <cellStyle name="Normal 7 3 15 5" xfId="22615"/>
    <cellStyle name="Normal 7 3 16" xfId="22616"/>
    <cellStyle name="Normal 7 3 16 2" xfId="22617"/>
    <cellStyle name="Normal 7 3 17" xfId="22618"/>
    <cellStyle name="Normal 7 3 17 2" xfId="22619"/>
    <cellStyle name="Normal 7 3 18" xfId="22620"/>
    <cellStyle name="Normal 7 3 18 2" xfId="22621"/>
    <cellStyle name="Normal 7 3 19" xfId="22622"/>
    <cellStyle name="Normal 7 3 2" xfId="22623"/>
    <cellStyle name="Normal 7 3 2 10" xfId="22624"/>
    <cellStyle name="Normal 7 3 2 10 2" xfId="22625"/>
    <cellStyle name="Normal 7 3 2 10 2 2" xfId="22626"/>
    <cellStyle name="Normal 7 3 2 10 2 2 2" xfId="22627"/>
    <cellStyle name="Normal 7 3 2 10 2 2 2 2" xfId="22628"/>
    <cellStyle name="Normal 7 3 2 10 2 2 3" xfId="22629"/>
    <cellStyle name="Normal 7 3 2 10 2 2 3 2" xfId="22630"/>
    <cellStyle name="Normal 7 3 2 10 2 2 4" xfId="22631"/>
    <cellStyle name="Normal 7 3 2 10 2 2 4 2" xfId="22632"/>
    <cellStyle name="Normal 7 3 2 10 2 2 5" xfId="22633"/>
    <cellStyle name="Normal 7 3 2 10 2 3" xfId="22634"/>
    <cellStyle name="Normal 7 3 2 10 2 3 2" xfId="22635"/>
    <cellStyle name="Normal 7 3 2 10 2 3 2 2" xfId="22636"/>
    <cellStyle name="Normal 7 3 2 10 2 3 3" xfId="22637"/>
    <cellStyle name="Normal 7 3 2 10 2 3 3 2" xfId="22638"/>
    <cellStyle name="Normal 7 3 2 10 2 3 4" xfId="22639"/>
    <cellStyle name="Normal 7 3 2 10 2 3 4 2" xfId="22640"/>
    <cellStyle name="Normal 7 3 2 10 2 3 5" xfId="22641"/>
    <cellStyle name="Normal 7 3 2 10 2 4" xfId="22642"/>
    <cellStyle name="Normal 7 3 2 10 2 4 2" xfId="22643"/>
    <cellStyle name="Normal 7 3 2 10 2 5" xfId="22644"/>
    <cellStyle name="Normal 7 3 2 10 2 5 2" xfId="22645"/>
    <cellStyle name="Normal 7 3 2 10 2 6" xfId="22646"/>
    <cellStyle name="Normal 7 3 2 10 2 6 2" xfId="22647"/>
    <cellStyle name="Normal 7 3 2 10 2 7" xfId="22648"/>
    <cellStyle name="Normal 7 3 2 10 3" xfId="22649"/>
    <cellStyle name="Normal 7 3 2 10 3 2" xfId="22650"/>
    <cellStyle name="Normal 7 3 2 10 3 2 2" xfId="22651"/>
    <cellStyle name="Normal 7 3 2 10 3 3" xfId="22652"/>
    <cellStyle name="Normal 7 3 2 10 3 3 2" xfId="22653"/>
    <cellStyle name="Normal 7 3 2 10 3 4" xfId="22654"/>
    <cellStyle name="Normal 7 3 2 10 3 4 2" xfId="22655"/>
    <cellStyle name="Normal 7 3 2 10 3 5" xfId="22656"/>
    <cellStyle name="Normal 7 3 2 10 4" xfId="22657"/>
    <cellStyle name="Normal 7 3 2 10 4 2" xfId="22658"/>
    <cellStyle name="Normal 7 3 2 10 4 2 2" xfId="22659"/>
    <cellStyle name="Normal 7 3 2 10 4 3" xfId="22660"/>
    <cellStyle name="Normal 7 3 2 10 4 3 2" xfId="22661"/>
    <cellStyle name="Normal 7 3 2 10 4 4" xfId="22662"/>
    <cellStyle name="Normal 7 3 2 10 4 4 2" xfId="22663"/>
    <cellStyle name="Normal 7 3 2 10 4 5" xfId="22664"/>
    <cellStyle name="Normal 7 3 2 10 5" xfId="22665"/>
    <cellStyle name="Normal 7 3 2 10 5 2" xfId="22666"/>
    <cellStyle name="Normal 7 3 2 10 6" xfId="22667"/>
    <cellStyle name="Normal 7 3 2 10 6 2" xfId="22668"/>
    <cellStyle name="Normal 7 3 2 10 7" xfId="22669"/>
    <cellStyle name="Normal 7 3 2 10 7 2" xfId="22670"/>
    <cellStyle name="Normal 7 3 2 10 8" xfId="22671"/>
    <cellStyle name="Normal 7 3 2 11" xfId="22672"/>
    <cellStyle name="Normal 7 3 2 11 2" xfId="22673"/>
    <cellStyle name="Normal 7 3 2 11 2 2" xfId="22674"/>
    <cellStyle name="Normal 7 3 2 11 2 2 2" xfId="22675"/>
    <cellStyle name="Normal 7 3 2 11 2 2 2 2" xfId="22676"/>
    <cellStyle name="Normal 7 3 2 11 2 2 3" xfId="22677"/>
    <cellStyle name="Normal 7 3 2 11 2 2 3 2" xfId="22678"/>
    <cellStyle name="Normal 7 3 2 11 2 2 4" xfId="22679"/>
    <cellStyle name="Normal 7 3 2 11 2 2 4 2" xfId="22680"/>
    <cellStyle name="Normal 7 3 2 11 2 2 5" xfId="22681"/>
    <cellStyle name="Normal 7 3 2 11 2 3" xfId="22682"/>
    <cellStyle name="Normal 7 3 2 11 2 3 2" xfId="22683"/>
    <cellStyle name="Normal 7 3 2 11 2 3 2 2" xfId="22684"/>
    <cellStyle name="Normal 7 3 2 11 2 3 3" xfId="22685"/>
    <cellStyle name="Normal 7 3 2 11 2 3 3 2" xfId="22686"/>
    <cellStyle name="Normal 7 3 2 11 2 3 4" xfId="22687"/>
    <cellStyle name="Normal 7 3 2 11 2 3 4 2" xfId="22688"/>
    <cellStyle name="Normal 7 3 2 11 2 3 5" xfId="22689"/>
    <cellStyle name="Normal 7 3 2 11 2 4" xfId="22690"/>
    <cellStyle name="Normal 7 3 2 11 2 4 2" xfId="22691"/>
    <cellStyle name="Normal 7 3 2 11 2 5" xfId="22692"/>
    <cellStyle name="Normal 7 3 2 11 2 5 2" xfId="22693"/>
    <cellStyle name="Normal 7 3 2 11 2 6" xfId="22694"/>
    <cellStyle name="Normal 7 3 2 11 2 6 2" xfId="22695"/>
    <cellStyle name="Normal 7 3 2 11 2 7" xfId="22696"/>
    <cellStyle name="Normal 7 3 2 11 3" xfId="22697"/>
    <cellStyle name="Normal 7 3 2 11 3 2" xfId="22698"/>
    <cellStyle name="Normal 7 3 2 11 3 2 2" xfId="22699"/>
    <cellStyle name="Normal 7 3 2 11 3 3" xfId="22700"/>
    <cellStyle name="Normal 7 3 2 11 3 3 2" xfId="22701"/>
    <cellStyle name="Normal 7 3 2 11 3 4" xfId="22702"/>
    <cellStyle name="Normal 7 3 2 11 3 4 2" xfId="22703"/>
    <cellStyle name="Normal 7 3 2 11 3 5" xfId="22704"/>
    <cellStyle name="Normal 7 3 2 11 4" xfId="22705"/>
    <cellStyle name="Normal 7 3 2 11 4 2" xfId="22706"/>
    <cellStyle name="Normal 7 3 2 11 4 2 2" xfId="22707"/>
    <cellStyle name="Normal 7 3 2 11 4 3" xfId="22708"/>
    <cellStyle name="Normal 7 3 2 11 4 3 2" xfId="22709"/>
    <cellStyle name="Normal 7 3 2 11 4 4" xfId="22710"/>
    <cellStyle name="Normal 7 3 2 11 4 4 2" xfId="22711"/>
    <cellStyle name="Normal 7 3 2 11 4 5" xfId="22712"/>
    <cellStyle name="Normal 7 3 2 11 5" xfId="22713"/>
    <cellStyle name="Normal 7 3 2 11 5 2" xfId="22714"/>
    <cellStyle name="Normal 7 3 2 11 6" xfId="22715"/>
    <cellStyle name="Normal 7 3 2 11 6 2" xfId="22716"/>
    <cellStyle name="Normal 7 3 2 11 7" xfId="22717"/>
    <cellStyle name="Normal 7 3 2 11 7 2" xfId="22718"/>
    <cellStyle name="Normal 7 3 2 11 8" xfId="22719"/>
    <cellStyle name="Normal 7 3 2 12" xfId="22720"/>
    <cellStyle name="Normal 7 3 2 12 2" xfId="22721"/>
    <cellStyle name="Normal 7 3 2 12 2 2" xfId="22722"/>
    <cellStyle name="Normal 7 3 2 12 2 2 2" xfId="22723"/>
    <cellStyle name="Normal 7 3 2 12 2 3" xfId="22724"/>
    <cellStyle name="Normal 7 3 2 12 2 3 2" xfId="22725"/>
    <cellStyle name="Normal 7 3 2 12 2 4" xfId="22726"/>
    <cellStyle name="Normal 7 3 2 12 2 4 2" xfId="22727"/>
    <cellStyle name="Normal 7 3 2 12 2 5" xfId="22728"/>
    <cellStyle name="Normal 7 3 2 12 3" xfId="22729"/>
    <cellStyle name="Normal 7 3 2 12 3 2" xfId="22730"/>
    <cellStyle name="Normal 7 3 2 12 3 2 2" xfId="22731"/>
    <cellStyle name="Normal 7 3 2 12 3 3" xfId="22732"/>
    <cellStyle name="Normal 7 3 2 12 3 3 2" xfId="22733"/>
    <cellStyle name="Normal 7 3 2 12 3 4" xfId="22734"/>
    <cellStyle name="Normal 7 3 2 12 3 4 2" xfId="22735"/>
    <cellStyle name="Normal 7 3 2 12 3 5" xfId="22736"/>
    <cellStyle name="Normal 7 3 2 12 4" xfId="22737"/>
    <cellStyle name="Normal 7 3 2 12 4 2" xfId="22738"/>
    <cellStyle name="Normal 7 3 2 12 5" xfId="22739"/>
    <cellStyle name="Normal 7 3 2 12 5 2" xfId="22740"/>
    <cellStyle name="Normal 7 3 2 12 6" xfId="22741"/>
    <cellStyle name="Normal 7 3 2 12 6 2" xfId="22742"/>
    <cellStyle name="Normal 7 3 2 12 7" xfId="22743"/>
    <cellStyle name="Normal 7 3 2 13" xfId="22744"/>
    <cellStyle name="Normal 7 3 2 13 2" xfId="22745"/>
    <cellStyle name="Normal 7 3 2 13 2 2" xfId="22746"/>
    <cellStyle name="Normal 7 3 2 13 3" xfId="22747"/>
    <cellStyle name="Normal 7 3 2 13 3 2" xfId="22748"/>
    <cellStyle name="Normal 7 3 2 13 4" xfId="22749"/>
    <cellStyle name="Normal 7 3 2 13 4 2" xfId="22750"/>
    <cellStyle name="Normal 7 3 2 13 5" xfId="22751"/>
    <cellStyle name="Normal 7 3 2 14" xfId="22752"/>
    <cellStyle name="Normal 7 3 2 14 2" xfId="22753"/>
    <cellStyle name="Normal 7 3 2 14 2 2" xfId="22754"/>
    <cellStyle name="Normal 7 3 2 14 3" xfId="22755"/>
    <cellStyle name="Normal 7 3 2 14 3 2" xfId="22756"/>
    <cellStyle name="Normal 7 3 2 14 4" xfId="22757"/>
    <cellStyle name="Normal 7 3 2 14 4 2" xfId="22758"/>
    <cellStyle name="Normal 7 3 2 14 5" xfId="22759"/>
    <cellStyle name="Normal 7 3 2 15" xfId="22760"/>
    <cellStyle name="Normal 7 3 2 15 2" xfId="22761"/>
    <cellStyle name="Normal 7 3 2 16" xfId="22762"/>
    <cellStyle name="Normal 7 3 2 16 2" xfId="22763"/>
    <cellStyle name="Normal 7 3 2 17" xfId="22764"/>
    <cellStyle name="Normal 7 3 2 17 2" xfId="22765"/>
    <cellStyle name="Normal 7 3 2 18" xfId="22766"/>
    <cellStyle name="Normal 7 3 2 2" xfId="22767"/>
    <cellStyle name="Normal 7 3 2 2 10" xfId="22768"/>
    <cellStyle name="Normal 7 3 2 2 10 2" xfId="22769"/>
    <cellStyle name="Normal 7 3 2 2 10 2 2" xfId="22770"/>
    <cellStyle name="Normal 7 3 2 2 10 3" xfId="22771"/>
    <cellStyle name="Normal 7 3 2 2 10 3 2" xfId="22772"/>
    <cellStyle name="Normal 7 3 2 2 10 4" xfId="22773"/>
    <cellStyle name="Normal 7 3 2 2 10 4 2" xfId="22774"/>
    <cellStyle name="Normal 7 3 2 2 10 5" xfId="22775"/>
    <cellStyle name="Normal 7 3 2 2 11" xfId="22776"/>
    <cellStyle name="Normal 7 3 2 2 11 2" xfId="22777"/>
    <cellStyle name="Normal 7 3 2 2 12" xfId="22778"/>
    <cellStyle name="Normal 7 3 2 2 12 2" xfId="22779"/>
    <cellStyle name="Normal 7 3 2 2 13" xfId="22780"/>
    <cellStyle name="Normal 7 3 2 2 13 2" xfId="22781"/>
    <cellStyle name="Normal 7 3 2 2 14" xfId="22782"/>
    <cellStyle name="Normal 7 3 2 2 2" xfId="22783"/>
    <cellStyle name="Normal 7 3 2 2 2 10" xfId="22784"/>
    <cellStyle name="Normal 7 3 2 2 2 10 2" xfId="22785"/>
    <cellStyle name="Normal 7 3 2 2 2 11" xfId="22786"/>
    <cellStyle name="Normal 7 3 2 2 2 11 2" xfId="22787"/>
    <cellStyle name="Normal 7 3 2 2 2 12" xfId="22788"/>
    <cellStyle name="Normal 7 3 2 2 2 12 2" xfId="22789"/>
    <cellStyle name="Normal 7 3 2 2 2 13" xfId="22790"/>
    <cellStyle name="Normal 7 3 2 2 2 2" xfId="22791"/>
    <cellStyle name="Normal 7 3 2 2 2 2 2" xfId="22792"/>
    <cellStyle name="Normal 7 3 2 2 2 2 2 2" xfId="22793"/>
    <cellStyle name="Normal 7 3 2 2 2 2 2 2 2" xfId="22794"/>
    <cellStyle name="Normal 7 3 2 2 2 2 2 2 2 2" xfId="22795"/>
    <cellStyle name="Normal 7 3 2 2 2 2 2 2 3" xfId="22796"/>
    <cellStyle name="Normal 7 3 2 2 2 2 2 2 3 2" xfId="22797"/>
    <cellStyle name="Normal 7 3 2 2 2 2 2 2 4" xfId="22798"/>
    <cellStyle name="Normal 7 3 2 2 2 2 2 2 4 2" xfId="22799"/>
    <cellStyle name="Normal 7 3 2 2 2 2 2 2 5" xfId="22800"/>
    <cellStyle name="Normal 7 3 2 2 2 2 2 3" xfId="22801"/>
    <cellStyle name="Normal 7 3 2 2 2 2 2 3 2" xfId="22802"/>
    <cellStyle name="Normal 7 3 2 2 2 2 2 3 2 2" xfId="22803"/>
    <cellStyle name="Normal 7 3 2 2 2 2 2 3 3" xfId="22804"/>
    <cellStyle name="Normal 7 3 2 2 2 2 2 3 3 2" xfId="22805"/>
    <cellStyle name="Normal 7 3 2 2 2 2 2 3 4" xfId="22806"/>
    <cellStyle name="Normal 7 3 2 2 2 2 2 3 4 2" xfId="22807"/>
    <cellStyle name="Normal 7 3 2 2 2 2 2 3 5" xfId="22808"/>
    <cellStyle name="Normal 7 3 2 2 2 2 2 4" xfId="22809"/>
    <cellStyle name="Normal 7 3 2 2 2 2 2 4 2" xfId="22810"/>
    <cellStyle name="Normal 7 3 2 2 2 2 2 5" xfId="22811"/>
    <cellStyle name="Normal 7 3 2 2 2 2 2 5 2" xfId="22812"/>
    <cellStyle name="Normal 7 3 2 2 2 2 2 6" xfId="22813"/>
    <cellStyle name="Normal 7 3 2 2 2 2 2 6 2" xfId="22814"/>
    <cellStyle name="Normal 7 3 2 2 2 2 2 7" xfId="22815"/>
    <cellStyle name="Normal 7 3 2 2 2 2 3" xfId="22816"/>
    <cellStyle name="Normal 7 3 2 2 2 2 3 2" xfId="22817"/>
    <cellStyle name="Normal 7 3 2 2 2 2 3 2 2" xfId="22818"/>
    <cellStyle name="Normal 7 3 2 2 2 2 3 3" xfId="22819"/>
    <cellStyle name="Normal 7 3 2 2 2 2 3 3 2" xfId="22820"/>
    <cellStyle name="Normal 7 3 2 2 2 2 3 4" xfId="22821"/>
    <cellStyle name="Normal 7 3 2 2 2 2 3 4 2" xfId="22822"/>
    <cellStyle name="Normal 7 3 2 2 2 2 3 5" xfId="22823"/>
    <cellStyle name="Normal 7 3 2 2 2 2 4" xfId="22824"/>
    <cellStyle name="Normal 7 3 2 2 2 2 4 2" xfId="22825"/>
    <cellStyle name="Normal 7 3 2 2 2 2 4 2 2" xfId="22826"/>
    <cellStyle name="Normal 7 3 2 2 2 2 4 3" xfId="22827"/>
    <cellStyle name="Normal 7 3 2 2 2 2 4 3 2" xfId="22828"/>
    <cellStyle name="Normal 7 3 2 2 2 2 4 4" xfId="22829"/>
    <cellStyle name="Normal 7 3 2 2 2 2 4 4 2" xfId="22830"/>
    <cellStyle name="Normal 7 3 2 2 2 2 4 5" xfId="22831"/>
    <cellStyle name="Normal 7 3 2 2 2 2 5" xfId="22832"/>
    <cellStyle name="Normal 7 3 2 2 2 2 5 2" xfId="22833"/>
    <cellStyle name="Normal 7 3 2 2 2 2 6" xfId="22834"/>
    <cellStyle name="Normal 7 3 2 2 2 2 6 2" xfId="22835"/>
    <cellStyle name="Normal 7 3 2 2 2 2 7" xfId="22836"/>
    <cellStyle name="Normal 7 3 2 2 2 2 7 2" xfId="22837"/>
    <cellStyle name="Normal 7 3 2 2 2 2 8" xfId="22838"/>
    <cellStyle name="Normal 7 3 2 2 2 3" xfId="22839"/>
    <cellStyle name="Normal 7 3 2 2 2 3 2" xfId="22840"/>
    <cellStyle name="Normal 7 3 2 2 2 3 2 2" xfId="22841"/>
    <cellStyle name="Normal 7 3 2 2 2 3 2 2 2" xfId="22842"/>
    <cellStyle name="Normal 7 3 2 2 2 3 2 2 2 2" xfId="22843"/>
    <cellStyle name="Normal 7 3 2 2 2 3 2 2 3" xfId="22844"/>
    <cellStyle name="Normal 7 3 2 2 2 3 2 2 3 2" xfId="22845"/>
    <cellStyle name="Normal 7 3 2 2 2 3 2 2 4" xfId="22846"/>
    <cellStyle name="Normal 7 3 2 2 2 3 2 2 4 2" xfId="22847"/>
    <cellStyle name="Normal 7 3 2 2 2 3 2 2 5" xfId="22848"/>
    <cellStyle name="Normal 7 3 2 2 2 3 2 3" xfId="22849"/>
    <cellStyle name="Normal 7 3 2 2 2 3 2 3 2" xfId="22850"/>
    <cellStyle name="Normal 7 3 2 2 2 3 2 3 2 2" xfId="22851"/>
    <cellStyle name="Normal 7 3 2 2 2 3 2 3 3" xfId="22852"/>
    <cellStyle name="Normal 7 3 2 2 2 3 2 3 3 2" xfId="22853"/>
    <cellStyle name="Normal 7 3 2 2 2 3 2 3 4" xfId="22854"/>
    <cellStyle name="Normal 7 3 2 2 2 3 2 3 4 2" xfId="22855"/>
    <cellStyle name="Normal 7 3 2 2 2 3 2 3 5" xfId="22856"/>
    <cellStyle name="Normal 7 3 2 2 2 3 2 4" xfId="22857"/>
    <cellStyle name="Normal 7 3 2 2 2 3 2 4 2" xfId="22858"/>
    <cellStyle name="Normal 7 3 2 2 2 3 2 5" xfId="22859"/>
    <cellStyle name="Normal 7 3 2 2 2 3 2 5 2" xfId="22860"/>
    <cellStyle name="Normal 7 3 2 2 2 3 2 6" xfId="22861"/>
    <cellStyle name="Normal 7 3 2 2 2 3 2 6 2" xfId="22862"/>
    <cellStyle name="Normal 7 3 2 2 2 3 2 7" xfId="22863"/>
    <cellStyle name="Normal 7 3 2 2 2 3 3" xfId="22864"/>
    <cellStyle name="Normal 7 3 2 2 2 3 3 2" xfId="22865"/>
    <cellStyle name="Normal 7 3 2 2 2 3 3 2 2" xfId="22866"/>
    <cellStyle name="Normal 7 3 2 2 2 3 3 3" xfId="22867"/>
    <cellStyle name="Normal 7 3 2 2 2 3 3 3 2" xfId="22868"/>
    <cellStyle name="Normal 7 3 2 2 2 3 3 4" xfId="22869"/>
    <cellStyle name="Normal 7 3 2 2 2 3 3 4 2" xfId="22870"/>
    <cellStyle name="Normal 7 3 2 2 2 3 3 5" xfId="22871"/>
    <cellStyle name="Normal 7 3 2 2 2 3 4" xfId="22872"/>
    <cellStyle name="Normal 7 3 2 2 2 3 4 2" xfId="22873"/>
    <cellStyle name="Normal 7 3 2 2 2 3 4 2 2" xfId="22874"/>
    <cellStyle name="Normal 7 3 2 2 2 3 4 3" xfId="22875"/>
    <cellStyle name="Normal 7 3 2 2 2 3 4 3 2" xfId="22876"/>
    <cellStyle name="Normal 7 3 2 2 2 3 4 4" xfId="22877"/>
    <cellStyle name="Normal 7 3 2 2 2 3 4 4 2" xfId="22878"/>
    <cellStyle name="Normal 7 3 2 2 2 3 4 5" xfId="22879"/>
    <cellStyle name="Normal 7 3 2 2 2 3 5" xfId="22880"/>
    <cellStyle name="Normal 7 3 2 2 2 3 5 2" xfId="22881"/>
    <cellStyle name="Normal 7 3 2 2 2 3 6" xfId="22882"/>
    <cellStyle name="Normal 7 3 2 2 2 3 6 2" xfId="22883"/>
    <cellStyle name="Normal 7 3 2 2 2 3 7" xfId="22884"/>
    <cellStyle name="Normal 7 3 2 2 2 3 7 2" xfId="22885"/>
    <cellStyle name="Normal 7 3 2 2 2 3 8" xfId="22886"/>
    <cellStyle name="Normal 7 3 2 2 2 4" xfId="22887"/>
    <cellStyle name="Normal 7 3 2 2 2 4 2" xfId="22888"/>
    <cellStyle name="Normal 7 3 2 2 2 4 2 2" xfId="22889"/>
    <cellStyle name="Normal 7 3 2 2 2 4 2 2 2" xfId="22890"/>
    <cellStyle name="Normal 7 3 2 2 2 4 2 2 2 2" xfId="22891"/>
    <cellStyle name="Normal 7 3 2 2 2 4 2 2 3" xfId="22892"/>
    <cellStyle name="Normal 7 3 2 2 2 4 2 2 3 2" xfId="22893"/>
    <cellStyle name="Normal 7 3 2 2 2 4 2 2 4" xfId="22894"/>
    <cellStyle name="Normal 7 3 2 2 2 4 2 2 4 2" xfId="22895"/>
    <cellStyle name="Normal 7 3 2 2 2 4 2 2 5" xfId="22896"/>
    <cellStyle name="Normal 7 3 2 2 2 4 2 3" xfId="22897"/>
    <cellStyle name="Normal 7 3 2 2 2 4 2 3 2" xfId="22898"/>
    <cellStyle name="Normal 7 3 2 2 2 4 2 3 2 2" xfId="22899"/>
    <cellStyle name="Normal 7 3 2 2 2 4 2 3 3" xfId="22900"/>
    <cellStyle name="Normal 7 3 2 2 2 4 2 3 3 2" xfId="22901"/>
    <cellStyle name="Normal 7 3 2 2 2 4 2 3 4" xfId="22902"/>
    <cellStyle name="Normal 7 3 2 2 2 4 2 3 4 2" xfId="22903"/>
    <cellStyle name="Normal 7 3 2 2 2 4 2 3 5" xfId="22904"/>
    <cellStyle name="Normal 7 3 2 2 2 4 2 4" xfId="22905"/>
    <cellStyle name="Normal 7 3 2 2 2 4 2 4 2" xfId="22906"/>
    <cellStyle name="Normal 7 3 2 2 2 4 2 5" xfId="22907"/>
    <cellStyle name="Normal 7 3 2 2 2 4 2 5 2" xfId="22908"/>
    <cellStyle name="Normal 7 3 2 2 2 4 2 6" xfId="22909"/>
    <cellStyle name="Normal 7 3 2 2 2 4 2 6 2" xfId="22910"/>
    <cellStyle name="Normal 7 3 2 2 2 4 2 7" xfId="22911"/>
    <cellStyle name="Normal 7 3 2 2 2 4 3" xfId="22912"/>
    <cellStyle name="Normal 7 3 2 2 2 4 3 2" xfId="22913"/>
    <cellStyle name="Normal 7 3 2 2 2 4 3 2 2" xfId="22914"/>
    <cellStyle name="Normal 7 3 2 2 2 4 3 3" xfId="22915"/>
    <cellStyle name="Normal 7 3 2 2 2 4 3 3 2" xfId="22916"/>
    <cellStyle name="Normal 7 3 2 2 2 4 3 4" xfId="22917"/>
    <cellStyle name="Normal 7 3 2 2 2 4 3 4 2" xfId="22918"/>
    <cellStyle name="Normal 7 3 2 2 2 4 3 5" xfId="22919"/>
    <cellStyle name="Normal 7 3 2 2 2 4 4" xfId="22920"/>
    <cellStyle name="Normal 7 3 2 2 2 4 4 2" xfId="22921"/>
    <cellStyle name="Normal 7 3 2 2 2 4 4 2 2" xfId="22922"/>
    <cellStyle name="Normal 7 3 2 2 2 4 4 3" xfId="22923"/>
    <cellStyle name="Normal 7 3 2 2 2 4 4 3 2" xfId="22924"/>
    <cellStyle name="Normal 7 3 2 2 2 4 4 4" xfId="22925"/>
    <cellStyle name="Normal 7 3 2 2 2 4 4 4 2" xfId="22926"/>
    <cellStyle name="Normal 7 3 2 2 2 4 4 5" xfId="22927"/>
    <cellStyle name="Normal 7 3 2 2 2 4 5" xfId="22928"/>
    <cellStyle name="Normal 7 3 2 2 2 4 5 2" xfId="22929"/>
    <cellStyle name="Normal 7 3 2 2 2 4 6" xfId="22930"/>
    <cellStyle name="Normal 7 3 2 2 2 4 6 2" xfId="22931"/>
    <cellStyle name="Normal 7 3 2 2 2 4 7" xfId="22932"/>
    <cellStyle name="Normal 7 3 2 2 2 4 7 2" xfId="22933"/>
    <cellStyle name="Normal 7 3 2 2 2 4 8" xfId="22934"/>
    <cellStyle name="Normal 7 3 2 2 2 5" xfId="22935"/>
    <cellStyle name="Normal 7 3 2 2 2 5 2" xfId="22936"/>
    <cellStyle name="Normal 7 3 2 2 2 5 2 2" xfId="22937"/>
    <cellStyle name="Normal 7 3 2 2 2 5 2 2 2" xfId="22938"/>
    <cellStyle name="Normal 7 3 2 2 2 5 2 2 2 2" xfId="22939"/>
    <cellStyle name="Normal 7 3 2 2 2 5 2 2 3" xfId="22940"/>
    <cellStyle name="Normal 7 3 2 2 2 5 2 2 3 2" xfId="22941"/>
    <cellStyle name="Normal 7 3 2 2 2 5 2 2 4" xfId="22942"/>
    <cellStyle name="Normal 7 3 2 2 2 5 2 2 4 2" xfId="22943"/>
    <cellStyle name="Normal 7 3 2 2 2 5 2 2 5" xfId="22944"/>
    <cellStyle name="Normal 7 3 2 2 2 5 2 3" xfId="22945"/>
    <cellStyle name="Normal 7 3 2 2 2 5 2 3 2" xfId="22946"/>
    <cellStyle name="Normal 7 3 2 2 2 5 2 3 2 2" xfId="22947"/>
    <cellStyle name="Normal 7 3 2 2 2 5 2 3 3" xfId="22948"/>
    <cellStyle name="Normal 7 3 2 2 2 5 2 3 3 2" xfId="22949"/>
    <cellStyle name="Normal 7 3 2 2 2 5 2 3 4" xfId="22950"/>
    <cellStyle name="Normal 7 3 2 2 2 5 2 3 4 2" xfId="22951"/>
    <cellStyle name="Normal 7 3 2 2 2 5 2 3 5" xfId="22952"/>
    <cellStyle name="Normal 7 3 2 2 2 5 2 4" xfId="22953"/>
    <cellStyle name="Normal 7 3 2 2 2 5 2 4 2" xfId="22954"/>
    <cellStyle name="Normal 7 3 2 2 2 5 2 5" xfId="22955"/>
    <cellStyle name="Normal 7 3 2 2 2 5 2 5 2" xfId="22956"/>
    <cellStyle name="Normal 7 3 2 2 2 5 2 6" xfId="22957"/>
    <cellStyle name="Normal 7 3 2 2 2 5 2 6 2" xfId="22958"/>
    <cellStyle name="Normal 7 3 2 2 2 5 2 7" xfId="22959"/>
    <cellStyle name="Normal 7 3 2 2 2 5 3" xfId="22960"/>
    <cellStyle name="Normal 7 3 2 2 2 5 3 2" xfId="22961"/>
    <cellStyle name="Normal 7 3 2 2 2 5 3 2 2" xfId="22962"/>
    <cellStyle name="Normal 7 3 2 2 2 5 3 3" xfId="22963"/>
    <cellStyle name="Normal 7 3 2 2 2 5 3 3 2" xfId="22964"/>
    <cellStyle name="Normal 7 3 2 2 2 5 3 4" xfId="22965"/>
    <cellStyle name="Normal 7 3 2 2 2 5 3 4 2" xfId="22966"/>
    <cellStyle name="Normal 7 3 2 2 2 5 3 5" xfId="22967"/>
    <cellStyle name="Normal 7 3 2 2 2 5 4" xfId="22968"/>
    <cellStyle name="Normal 7 3 2 2 2 5 4 2" xfId="22969"/>
    <cellStyle name="Normal 7 3 2 2 2 5 4 2 2" xfId="22970"/>
    <cellStyle name="Normal 7 3 2 2 2 5 4 3" xfId="22971"/>
    <cellStyle name="Normal 7 3 2 2 2 5 4 3 2" xfId="22972"/>
    <cellStyle name="Normal 7 3 2 2 2 5 4 4" xfId="22973"/>
    <cellStyle name="Normal 7 3 2 2 2 5 4 4 2" xfId="22974"/>
    <cellStyle name="Normal 7 3 2 2 2 5 4 5" xfId="22975"/>
    <cellStyle name="Normal 7 3 2 2 2 5 5" xfId="22976"/>
    <cellStyle name="Normal 7 3 2 2 2 5 5 2" xfId="22977"/>
    <cellStyle name="Normal 7 3 2 2 2 5 6" xfId="22978"/>
    <cellStyle name="Normal 7 3 2 2 2 5 6 2" xfId="22979"/>
    <cellStyle name="Normal 7 3 2 2 2 5 7" xfId="22980"/>
    <cellStyle name="Normal 7 3 2 2 2 5 7 2" xfId="22981"/>
    <cellStyle name="Normal 7 3 2 2 2 5 8" xfId="22982"/>
    <cellStyle name="Normal 7 3 2 2 2 6" xfId="22983"/>
    <cellStyle name="Normal 7 3 2 2 2 6 2" xfId="22984"/>
    <cellStyle name="Normal 7 3 2 2 2 6 2 2" xfId="22985"/>
    <cellStyle name="Normal 7 3 2 2 2 6 2 2 2" xfId="22986"/>
    <cellStyle name="Normal 7 3 2 2 2 6 2 2 2 2" xfId="22987"/>
    <cellStyle name="Normal 7 3 2 2 2 6 2 2 3" xfId="22988"/>
    <cellStyle name="Normal 7 3 2 2 2 6 2 2 3 2" xfId="22989"/>
    <cellStyle name="Normal 7 3 2 2 2 6 2 2 4" xfId="22990"/>
    <cellStyle name="Normal 7 3 2 2 2 6 2 2 4 2" xfId="22991"/>
    <cellStyle name="Normal 7 3 2 2 2 6 2 2 5" xfId="22992"/>
    <cellStyle name="Normal 7 3 2 2 2 6 2 3" xfId="22993"/>
    <cellStyle name="Normal 7 3 2 2 2 6 2 3 2" xfId="22994"/>
    <cellStyle name="Normal 7 3 2 2 2 6 2 3 2 2" xfId="22995"/>
    <cellStyle name="Normal 7 3 2 2 2 6 2 3 3" xfId="22996"/>
    <cellStyle name="Normal 7 3 2 2 2 6 2 3 3 2" xfId="22997"/>
    <cellStyle name="Normal 7 3 2 2 2 6 2 3 4" xfId="22998"/>
    <cellStyle name="Normal 7 3 2 2 2 6 2 3 4 2" xfId="22999"/>
    <cellStyle name="Normal 7 3 2 2 2 6 2 3 5" xfId="23000"/>
    <cellStyle name="Normal 7 3 2 2 2 6 2 4" xfId="23001"/>
    <cellStyle name="Normal 7 3 2 2 2 6 2 4 2" xfId="23002"/>
    <cellStyle name="Normal 7 3 2 2 2 6 2 5" xfId="23003"/>
    <cellStyle name="Normal 7 3 2 2 2 6 2 5 2" xfId="23004"/>
    <cellStyle name="Normal 7 3 2 2 2 6 2 6" xfId="23005"/>
    <cellStyle name="Normal 7 3 2 2 2 6 2 6 2" xfId="23006"/>
    <cellStyle name="Normal 7 3 2 2 2 6 2 7" xfId="23007"/>
    <cellStyle name="Normal 7 3 2 2 2 6 3" xfId="23008"/>
    <cellStyle name="Normal 7 3 2 2 2 6 3 2" xfId="23009"/>
    <cellStyle name="Normal 7 3 2 2 2 6 3 2 2" xfId="23010"/>
    <cellStyle name="Normal 7 3 2 2 2 6 3 3" xfId="23011"/>
    <cellStyle name="Normal 7 3 2 2 2 6 3 3 2" xfId="23012"/>
    <cellStyle name="Normal 7 3 2 2 2 6 3 4" xfId="23013"/>
    <cellStyle name="Normal 7 3 2 2 2 6 3 4 2" xfId="23014"/>
    <cellStyle name="Normal 7 3 2 2 2 6 3 5" xfId="23015"/>
    <cellStyle name="Normal 7 3 2 2 2 6 4" xfId="23016"/>
    <cellStyle name="Normal 7 3 2 2 2 6 4 2" xfId="23017"/>
    <cellStyle name="Normal 7 3 2 2 2 6 4 2 2" xfId="23018"/>
    <cellStyle name="Normal 7 3 2 2 2 6 4 3" xfId="23019"/>
    <cellStyle name="Normal 7 3 2 2 2 6 4 3 2" xfId="23020"/>
    <cellStyle name="Normal 7 3 2 2 2 6 4 4" xfId="23021"/>
    <cellStyle name="Normal 7 3 2 2 2 6 4 4 2" xfId="23022"/>
    <cellStyle name="Normal 7 3 2 2 2 6 4 5" xfId="23023"/>
    <cellStyle name="Normal 7 3 2 2 2 6 5" xfId="23024"/>
    <cellStyle name="Normal 7 3 2 2 2 6 5 2" xfId="23025"/>
    <cellStyle name="Normal 7 3 2 2 2 6 6" xfId="23026"/>
    <cellStyle name="Normal 7 3 2 2 2 6 6 2" xfId="23027"/>
    <cellStyle name="Normal 7 3 2 2 2 6 7" xfId="23028"/>
    <cellStyle name="Normal 7 3 2 2 2 6 7 2" xfId="23029"/>
    <cellStyle name="Normal 7 3 2 2 2 6 8" xfId="23030"/>
    <cellStyle name="Normal 7 3 2 2 2 7" xfId="23031"/>
    <cellStyle name="Normal 7 3 2 2 2 7 2" xfId="23032"/>
    <cellStyle name="Normal 7 3 2 2 2 7 2 2" xfId="23033"/>
    <cellStyle name="Normal 7 3 2 2 2 7 2 2 2" xfId="23034"/>
    <cellStyle name="Normal 7 3 2 2 2 7 2 3" xfId="23035"/>
    <cellStyle name="Normal 7 3 2 2 2 7 2 3 2" xfId="23036"/>
    <cellStyle name="Normal 7 3 2 2 2 7 2 4" xfId="23037"/>
    <cellStyle name="Normal 7 3 2 2 2 7 2 4 2" xfId="23038"/>
    <cellStyle name="Normal 7 3 2 2 2 7 2 5" xfId="23039"/>
    <cellStyle name="Normal 7 3 2 2 2 7 3" xfId="23040"/>
    <cellStyle name="Normal 7 3 2 2 2 7 3 2" xfId="23041"/>
    <cellStyle name="Normal 7 3 2 2 2 7 3 2 2" xfId="23042"/>
    <cellStyle name="Normal 7 3 2 2 2 7 3 3" xfId="23043"/>
    <cellStyle name="Normal 7 3 2 2 2 7 3 3 2" xfId="23044"/>
    <cellStyle name="Normal 7 3 2 2 2 7 3 4" xfId="23045"/>
    <cellStyle name="Normal 7 3 2 2 2 7 3 4 2" xfId="23046"/>
    <cellStyle name="Normal 7 3 2 2 2 7 3 5" xfId="23047"/>
    <cellStyle name="Normal 7 3 2 2 2 7 4" xfId="23048"/>
    <cellStyle name="Normal 7 3 2 2 2 7 4 2" xfId="23049"/>
    <cellStyle name="Normal 7 3 2 2 2 7 5" xfId="23050"/>
    <cellStyle name="Normal 7 3 2 2 2 7 5 2" xfId="23051"/>
    <cellStyle name="Normal 7 3 2 2 2 7 6" xfId="23052"/>
    <cellStyle name="Normal 7 3 2 2 2 7 6 2" xfId="23053"/>
    <cellStyle name="Normal 7 3 2 2 2 7 7" xfId="23054"/>
    <cellStyle name="Normal 7 3 2 2 2 8" xfId="23055"/>
    <cellStyle name="Normal 7 3 2 2 2 8 2" xfId="23056"/>
    <cellStyle name="Normal 7 3 2 2 2 8 2 2" xfId="23057"/>
    <cellStyle name="Normal 7 3 2 2 2 8 3" xfId="23058"/>
    <cellStyle name="Normal 7 3 2 2 2 8 3 2" xfId="23059"/>
    <cellStyle name="Normal 7 3 2 2 2 8 4" xfId="23060"/>
    <cellStyle name="Normal 7 3 2 2 2 8 4 2" xfId="23061"/>
    <cellStyle name="Normal 7 3 2 2 2 8 5" xfId="23062"/>
    <cellStyle name="Normal 7 3 2 2 2 9" xfId="23063"/>
    <cellStyle name="Normal 7 3 2 2 2 9 2" xfId="23064"/>
    <cellStyle name="Normal 7 3 2 2 2 9 2 2" xfId="23065"/>
    <cellStyle name="Normal 7 3 2 2 2 9 3" xfId="23066"/>
    <cellStyle name="Normal 7 3 2 2 2 9 3 2" xfId="23067"/>
    <cellStyle name="Normal 7 3 2 2 2 9 4" xfId="23068"/>
    <cellStyle name="Normal 7 3 2 2 2 9 4 2" xfId="23069"/>
    <cellStyle name="Normal 7 3 2 2 2 9 5" xfId="23070"/>
    <cellStyle name="Normal 7 3 2 2 3" xfId="23071"/>
    <cellStyle name="Normal 7 3 2 2 3 2" xfId="23072"/>
    <cellStyle name="Normal 7 3 2 2 3 2 2" xfId="23073"/>
    <cellStyle name="Normal 7 3 2 2 3 2 2 2" xfId="23074"/>
    <cellStyle name="Normal 7 3 2 2 3 2 2 2 2" xfId="23075"/>
    <cellStyle name="Normal 7 3 2 2 3 2 2 3" xfId="23076"/>
    <cellStyle name="Normal 7 3 2 2 3 2 2 3 2" xfId="23077"/>
    <cellStyle name="Normal 7 3 2 2 3 2 2 4" xfId="23078"/>
    <cellStyle name="Normal 7 3 2 2 3 2 2 4 2" xfId="23079"/>
    <cellStyle name="Normal 7 3 2 2 3 2 2 5" xfId="23080"/>
    <cellStyle name="Normal 7 3 2 2 3 2 3" xfId="23081"/>
    <cellStyle name="Normal 7 3 2 2 3 2 3 2" xfId="23082"/>
    <cellStyle name="Normal 7 3 2 2 3 2 3 2 2" xfId="23083"/>
    <cellStyle name="Normal 7 3 2 2 3 2 3 3" xfId="23084"/>
    <cellStyle name="Normal 7 3 2 2 3 2 3 3 2" xfId="23085"/>
    <cellStyle name="Normal 7 3 2 2 3 2 3 4" xfId="23086"/>
    <cellStyle name="Normal 7 3 2 2 3 2 3 4 2" xfId="23087"/>
    <cellStyle name="Normal 7 3 2 2 3 2 3 5" xfId="23088"/>
    <cellStyle name="Normal 7 3 2 2 3 2 4" xfId="23089"/>
    <cellStyle name="Normal 7 3 2 2 3 2 4 2" xfId="23090"/>
    <cellStyle name="Normal 7 3 2 2 3 2 5" xfId="23091"/>
    <cellStyle name="Normal 7 3 2 2 3 2 5 2" xfId="23092"/>
    <cellStyle name="Normal 7 3 2 2 3 2 6" xfId="23093"/>
    <cellStyle name="Normal 7 3 2 2 3 2 6 2" xfId="23094"/>
    <cellStyle name="Normal 7 3 2 2 3 2 7" xfId="23095"/>
    <cellStyle name="Normal 7 3 2 2 3 3" xfId="23096"/>
    <cellStyle name="Normal 7 3 2 2 3 3 2" xfId="23097"/>
    <cellStyle name="Normal 7 3 2 2 3 3 2 2" xfId="23098"/>
    <cellStyle name="Normal 7 3 2 2 3 3 3" xfId="23099"/>
    <cellStyle name="Normal 7 3 2 2 3 3 3 2" xfId="23100"/>
    <cellStyle name="Normal 7 3 2 2 3 3 4" xfId="23101"/>
    <cellStyle name="Normal 7 3 2 2 3 3 4 2" xfId="23102"/>
    <cellStyle name="Normal 7 3 2 2 3 3 5" xfId="23103"/>
    <cellStyle name="Normal 7 3 2 2 3 4" xfId="23104"/>
    <cellStyle name="Normal 7 3 2 2 3 4 2" xfId="23105"/>
    <cellStyle name="Normal 7 3 2 2 3 4 2 2" xfId="23106"/>
    <cellStyle name="Normal 7 3 2 2 3 4 3" xfId="23107"/>
    <cellStyle name="Normal 7 3 2 2 3 4 3 2" xfId="23108"/>
    <cellStyle name="Normal 7 3 2 2 3 4 4" xfId="23109"/>
    <cellStyle name="Normal 7 3 2 2 3 4 4 2" xfId="23110"/>
    <cellStyle name="Normal 7 3 2 2 3 4 5" xfId="23111"/>
    <cellStyle name="Normal 7 3 2 2 3 5" xfId="23112"/>
    <cellStyle name="Normal 7 3 2 2 3 5 2" xfId="23113"/>
    <cellStyle name="Normal 7 3 2 2 3 6" xfId="23114"/>
    <cellStyle name="Normal 7 3 2 2 3 6 2" xfId="23115"/>
    <cellStyle name="Normal 7 3 2 2 3 7" xfId="23116"/>
    <cellStyle name="Normal 7 3 2 2 3 7 2" xfId="23117"/>
    <cellStyle name="Normal 7 3 2 2 3 8" xfId="23118"/>
    <cellStyle name="Normal 7 3 2 2 4" xfId="23119"/>
    <cellStyle name="Normal 7 3 2 2 4 2" xfId="23120"/>
    <cellStyle name="Normal 7 3 2 2 4 2 2" xfId="23121"/>
    <cellStyle name="Normal 7 3 2 2 4 2 2 2" xfId="23122"/>
    <cellStyle name="Normal 7 3 2 2 4 2 2 2 2" xfId="23123"/>
    <cellStyle name="Normal 7 3 2 2 4 2 2 3" xfId="23124"/>
    <cellStyle name="Normal 7 3 2 2 4 2 2 3 2" xfId="23125"/>
    <cellStyle name="Normal 7 3 2 2 4 2 2 4" xfId="23126"/>
    <cellStyle name="Normal 7 3 2 2 4 2 2 4 2" xfId="23127"/>
    <cellStyle name="Normal 7 3 2 2 4 2 2 5" xfId="23128"/>
    <cellStyle name="Normal 7 3 2 2 4 2 3" xfId="23129"/>
    <cellStyle name="Normal 7 3 2 2 4 2 3 2" xfId="23130"/>
    <cellStyle name="Normal 7 3 2 2 4 2 3 2 2" xfId="23131"/>
    <cellStyle name="Normal 7 3 2 2 4 2 3 3" xfId="23132"/>
    <cellStyle name="Normal 7 3 2 2 4 2 3 3 2" xfId="23133"/>
    <cellStyle name="Normal 7 3 2 2 4 2 3 4" xfId="23134"/>
    <cellStyle name="Normal 7 3 2 2 4 2 3 4 2" xfId="23135"/>
    <cellStyle name="Normal 7 3 2 2 4 2 3 5" xfId="23136"/>
    <cellStyle name="Normal 7 3 2 2 4 2 4" xfId="23137"/>
    <cellStyle name="Normal 7 3 2 2 4 2 4 2" xfId="23138"/>
    <cellStyle name="Normal 7 3 2 2 4 2 5" xfId="23139"/>
    <cellStyle name="Normal 7 3 2 2 4 2 5 2" xfId="23140"/>
    <cellStyle name="Normal 7 3 2 2 4 2 6" xfId="23141"/>
    <cellStyle name="Normal 7 3 2 2 4 2 6 2" xfId="23142"/>
    <cellStyle name="Normal 7 3 2 2 4 2 7" xfId="23143"/>
    <cellStyle name="Normal 7 3 2 2 4 3" xfId="23144"/>
    <cellStyle name="Normal 7 3 2 2 4 3 2" xfId="23145"/>
    <cellStyle name="Normal 7 3 2 2 4 3 2 2" xfId="23146"/>
    <cellStyle name="Normal 7 3 2 2 4 3 3" xfId="23147"/>
    <cellStyle name="Normal 7 3 2 2 4 3 3 2" xfId="23148"/>
    <cellStyle name="Normal 7 3 2 2 4 3 4" xfId="23149"/>
    <cellStyle name="Normal 7 3 2 2 4 3 4 2" xfId="23150"/>
    <cellStyle name="Normal 7 3 2 2 4 3 5" xfId="23151"/>
    <cellStyle name="Normal 7 3 2 2 4 4" xfId="23152"/>
    <cellStyle name="Normal 7 3 2 2 4 4 2" xfId="23153"/>
    <cellStyle name="Normal 7 3 2 2 4 4 2 2" xfId="23154"/>
    <cellStyle name="Normal 7 3 2 2 4 4 3" xfId="23155"/>
    <cellStyle name="Normal 7 3 2 2 4 4 3 2" xfId="23156"/>
    <cellStyle name="Normal 7 3 2 2 4 4 4" xfId="23157"/>
    <cellStyle name="Normal 7 3 2 2 4 4 4 2" xfId="23158"/>
    <cellStyle name="Normal 7 3 2 2 4 4 5" xfId="23159"/>
    <cellStyle name="Normal 7 3 2 2 4 5" xfId="23160"/>
    <cellStyle name="Normal 7 3 2 2 4 5 2" xfId="23161"/>
    <cellStyle name="Normal 7 3 2 2 4 6" xfId="23162"/>
    <cellStyle name="Normal 7 3 2 2 4 6 2" xfId="23163"/>
    <cellStyle name="Normal 7 3 2 2 4 7" xfId="23164"/>
    <cellStyle name="Normal 7 3 2 2 4 7 2" xfId="23165"/>
    <cellStyle name="Normal 7 3 2 2 4 8" xfId="23166"/>
    <cellStyle name="Normal 7 3 2 2 5" xfId="23167"/>
    <cellStyle name="Normal 7 3 2 2 5 2" xfId="23168"/>
    <cellStyle name="Normal 7 3 2 2 5 2 2" xfId="23169"/>
    <cellStyle name="Normal 7 3 2 2 5 2 2 2" xfId="23170"/>
    <cellStyle name="Normal 7 3 2 2 5 2 2 2 2" xfId="23171"/>
    <cellStyle name="Normal 7 3 2 2 5 2 2 3" xfId="23172"/>
    <cellStyle name="Normal 7 3 2 2 5 2 2 3 2" xfId="23173"/>
    <cellStyle name="Normal 7 3 2 2 5 2 2 4" xfId="23174"/>
    <cellStyle name="Normal 7 3 2 2 5 2 2 4 2" xfId="23175"/>
    <cellStyle name="Normal 7 3 2 2 5 2 2 5" xfId="23176"/>
    <cellStyle name="Normal 7 3 2 2 5 2 3" xfId="23177"/>
    <cellStyle name="Normal 7 3 2 2 5 2 3 2" xfId="23178"/>
    <cellStyle name="Normal 7 3 2 2 5 2 3 2 2" xfId="23179"/>
    <cellStyle name="Normal 7 3 2 2 5 2 3 3" xfId="23180"/>
    <cellStyle name="Normal 7 3 2 2 5 2 3 3 2" xfId="23181"/>
    <cellStyle name="Normal 7 3 2 2 5 2 3 4" xfId="23182"/>
    <cellStyle name="Normal 7 3 2 2 5 2 3 4 2" xfId="23183"/>
    <cellStyle name="Normal 7 3 2 2 5 2 3 5" xfId="23184"/>
    <cellStyle name="Normal 7 3 2 2 5 2 4" xfId="23185"/>
    <cellStyle name="Normal 7 3 2 2 5 2 4 2" xfId="23186"/>
    <cellStyle name="Normal 7 3 2 2 5 2 5" xfId="23187"/>
    <cellStyle name="Normal 7 3 2 2 5 2 5 2" xfId="23188"/>
    <cellStyle name="Normal 7 3 2 2 5 2 6" xfId="23189"/>
    <cellStyle name="Normal 7 3 2 2 5 2 6 2" xfId="23190"/>
    <cellStyle name="Normal 7 3 2 2 5 2 7" xfId="23191"/>
    <cellStyle name="Normal 7 3 2 2 5 3" xfId="23192"/>
    <cellStyle name="Normal 7 3 2 2 5 3 2" xfId="23193"/>
    <cellStyle name="Normal 7 3 2 2 5 3 2 2" xfId="23194"/>
    <cellStyle name="Normal 7 3 2 2 5 3 3" xfId="23195"/>
    <cellStyle name="Normal 7 3 2 2 5 3 3 2" xfId="23196"/>
    <cellStyle name="Normal 7 3 2 2 5 3 4" xfId="23197"/>
    <cellStyle name="Normal 7 3 2 2 5 3 4 2" xfId="23198"/>
    <cellStyle name="Normal 7 3 2 2 5 3 5" xfId="23199"/>
    <cellStyle name="Normal 7 3 2 2 5 4" xfId="23200"/>
    <cellStyle name="Normal 7 3 2 2 5 4 2" xfId="23201"/>
    <cellStyle name="Normal 7 3 2 2 5 4 2 2" xfId="23202"/>
    <cellStyle name="Normal 7 3 2 2 5 4 3" xfId="23203"/>
    <cellStyle name="Normal 7 3 2 2 5 4 3 2" xfId="23204"/>
    <cellStyle name="Normal 7 3 2 2 5 4 4" xfId="23205"/>
    <cellStyle name="Normal 7 3 2 2 5 4 4 2" xfId="23206"/>
    <cellStyle name="Normal 7 3 2 2 5 4 5" xfId="23207"/>
    <cellStyle name="Normal 7 3 2 2 5 5" xfId="23208"/>
    <cellStyle name="Normal 7 3 2 2 5 5 2" xfId="23209"/>
    <cellStyle name="Normal 7 3 2 2 5 6" xfId="23210"/>
    <cellStyle name="Normal 7 3 2 2 5 6 2" xfId="23211"/>
    <cellStyle name="Normal 7 3 2 2 5 7" xfId="23212"/>
    <cellStyle name="Normal 7 3 2 2 5 7 2" xfId="23213"/>
    <cellStyle name="Normal 7 3 2 2 5 8" xfId="23214"/>
    <cellStyle name="Normal 7 3 2 2 6" xfId="23215"/>
    <cellStyle name="Normal 7 3 2 2 6 2" xfId="23216"/>
    <cellStyle name="Normal 7 3 2 2 6 2 2" xfId="23217"/>
    <cellStyle name="Normal 7 3 2 2 6 2 2 2" xfId="23218"/>
    <cellStyle name="Normal 7 3 2 2 6 2 2 2 2" xfId="23219"/>
    <cellStyle name="Normal 7 3 2 2 6 2 2 3" xfId="23220"/>
    <cellStyle name="Normal 7 3 2 2 6 2 2 3 2" xfId="23221"/>
    <cellStyle name="Normal 7 3 2 2 6 2 2 4" xfId="23222"/>
    <cellStyle name="Normal 7 3 2 2 6 2 2 4 2" xfId="23223"/>
    <cellStyle name="Normal 7 3 2 2 6 2 2 5" xfId="23224"/>
    <cellStyle name="Normal 7 3 2 2 6 2 3" xfId="23225"/>
    <cellStyle name="Normal 7 3 2 2 6 2 3 2" xfId="23226"/>
    <cellStyle name="Normal 7 3 2 2 6 2 3 2 2" xfId="23227"/>
    <cellStyle name="Normal 7 3 2 2 6 2 3 3" xfId="23228"/>
    <cellStyle name="Normal 7 3 2 2 6 2 3 3 2" xfId="23229"/>
    <cellStyle name="Normal 7 3 2 2 6 2 3 4" xfId="23230"/>
    <cellStyle name="Normal 7 3 2 2 6 2 3 4 2" xfId="23231"/>
    <cellStyle name="Normal 7 3 2 2 6 2 3 5" xfId="23232"/>
    <cellStyle name="Normal 7 3 2 2 6 2 4" xfId="23233"/>
    <cellStyle name="Normal 7 3 2 2 6 2 4 2" xfId="23234"/>
    <cellStyle name="Normal 7 3 2 2 6 2 5" xfId="23235"/>
    <cellStyle name="Normal 7 3 2 2 6 2 5 2" xfId="23236"/>
    <cellStyle name="Normal 7 3 2 2 6 2 6" xfId="23237"/>
    <cellStyle name="Normal 7 3 2 2 6 2 6 2" xfId="23238"/>
    <cellStyle name="Normal 7 3 2 2 6 2 7" xfId="23239"/>
    <cellStyle name="Normal 7 3 2 2 6 3" xfId="23240"/>
    <cellStyle name="Normal 7 3 2 2 6 3 2" xfId="23241"/>
    <cellStyle name="Normal 7 3 2 2 6 3 2 2" xfId="23242"/>
    <cellStyle name="Normal 7 3 2 2 6 3 3" xfId="23243"/>
    <cellStyle name="Normal 7 3 2 2 6 3 3 2" xfId="23244"/>
    <cellStyle name="Normal 7 3 2 2 6 3 4" xfId="23245"/>
    <cellStyle name="Normal 7 3 2 2 6 3 4 2" xfId="23246"/>
    <cellStyle name="Normal 7 3 2 2 6 3 5" xfId="23247"/>
    <cellStyle name="Normal 7 3 2 2 6 4" xfId="23248"/>
    <cellStyle name="Normal 7 3 2 2 6 4 2" xfId="23249"/>
    <cellStyle name="Normal 7 3 2 2 6 4 2 2" xfId="23250"/>
    <cellStyle name="Normal 7 3 2 2 6 4 3" xfId="23251"/>
    <cellStyle name="Normal 7 3 2 2 6 4 3 2" xfId="23252"/>
    <cellStyle name="Normal 7 3 2 2 6 4 4" xfId="23253"/>
    <cellStyle name="Normal 7 3 2 2 6 4 4 2" xfId="23254"/>
    <cellStyle name="Normal 7 3 2 2 6 4 5" xfId="23255"/>
    <cellStyle name="Normal 7 3 2 2 6 5" xfId="23256"/>
    <cellStyle name="Normal 7 3 2 2 6 5 2" xfId="23257"/>
    <cellStyle name="Normal 7 3 2 2 6 6" xfId="23258"/>
    <cellStyle name="Normal 7 3 2 2 6 6 2" xfId="23259"/>
    <cellStyle name="Normal 7 3 2 2 6 7" xfId="23260"/>
    <cellStyle name="Normal 7 3 2 2 6 7 2" xfId="23261"/>
    <cellStyle name="Normal 7 3 2 2 6 8" xfId="23262"/>
    <cellStyle name="Normal 7 3 2 2 7" xfId="23263"/>
    <cellStyle name="Normal 7 3 2 2 7 2" xfId="23264"/>
    <cellStyle name="Normal 7 3 2 2 7 2 2" xfId="23265"/>
    <cellStyle name="Normal 7 3 2 2 7 2 2 2" xfId="23266"/>
    <cellStyle name="Normal 7 3 2 2 7 2 2 2 2" xfId="23267"/>
    <cellStyle name="Normal 7 3 2 2 7 2 2 3" xfId="23268"/>
    <cellStyle name="Normal 7 3 2 2 7 2 2 3 2" xfId="23269"/>
    <cellStyle name="Normal 7 3 2 2 7 2 2 4" xfId="23270"/>
    <cellStyle name="Normal 7 3 2 2 7 2 2 4 2" xfId="23271"/>
    <cellStyle name="Normal 7 3 2 2 7 2 2 5" xfId="23272"/>
    <cellStyle name="Normal 7 3 2 2 7 2 3" xfId="23273"/>
    <cellStyle name="Normal 7 3 2 2 7 2 3 2" xfId="23274"/>
    <cellStyle name="Normal 7 3 2 2 7 2 3 2 2" xfId="23275"/>
    <cellStyle name="Normal 7 3 2 2 7 2 3 3" xfId="23276"/>
    <cellStyle name="Normal 7 3 2 2 7 2 3 3 2" xfId="23277"/>
    <cellStyle name="Normal 7 3 2 2 7 2 3 4" xfId="23278"/>
    <cellStyle name="Normal 7 3 2 2 7 2 3 4 2" xfId="23279"/>
    <cellStyle name="Normal 7 3 2 2 7 2 3 5" xfId="23280"/>
    <cellStyle name="Normal 7 3 2 2 7 2 4" xfId="23281"/>
    <cellStyle name="Normal 7 3 2 2 7 2 4 2" xfId="23282"/>
    <cellStyle name="Normal 7 3 2 2 7 2 5" xfId="23283"/>
    <cellStyle name="Normal 7 3 2 2 7 2 5 2" xfId="23284"/>
    <cellStyle name="Normal 7 3 2 2 7 2 6" xfId="23285"/>
    <cellStyle name="Normal 7 3 2 2 7 2 6 2" xfId="23286"/>
    <cellStyle name="Normal 7 3 2 2 7 2 7" xfId="23287"/>
    <cellStyle name="Normal 7 3 2 2 7 3" xfId="23288"/>
    <cellStyle name="Normal 7 3 2 2 7 3 2" xfId="23289"/>
    <cellStyle name="Normal 7 3 2 2 7 3 2 2" xfId="23290"/>
    <cellStyle name="Normal 7 3 2 2 7 3 3" xfId="23291"/>
    <cellStyle name="Normal 7 3 2 2 7 3 3 2" xfId="23292"/>
    <cellStyle name="Normal 7 3 2 2 7 3 4" xfId="23293"/>
    <cellStyle name="Normal 7 3 2 2 7 3 4 2" xfId="23294"/>
    <cellStyle name="Normal 7 3 2 2 7 3 5" xfId="23295"/>
    <cellStyle name="Normal 7 3 2 2 7 4" xfId="23296"/>
    <cellStyle name="Normal 7 3 2 2 7 4 2" xfId="23297"/>
    <cellStyle name="Normal 7 3 2 2 7 4 2 2" xfId="23298"/>
    <cellStyle name="Normal 7 3 2 2 7 4 3" xfId="23299"/>
    <cellStyle name="Normal 7 3 2 2 7 4 3 2" xfId="23300"/>
    <cellStyle name="Normal 7 3 2 2 7 4 4" xfId="23301"/>
    <cellStyle name="Normal 7 3 2 2 7 4 4 2" xfId="23302"/>
    <cellStyle name="Normal 7 3 2 2 7 4 5" xfId="23303"/>
    <cellStyle name="Normal 7 3 2 2 7 5" xfId="23304"/>
    <cellStyle name="Normal 7 3 2 2 7 5 2" xfId="23305"/>
    <cellStyle name="Normal 7 3 2 2 7 6" xfId="23306"/>
    <cellStyle name="Normal 7 3 2 2 7 6 2" xfId="23307"/>
    <cellStyle name="Normal 7 3 2 2 7 7" xfId="23308"/>
    <cellStyle name="Normal 7 3 2 2 7 7 2" xfId="23309"/>
    <cellStyle name="Normal 7 3 2 2 7 8" xfId="23310"/>
    <cellStyle name="Normal 7 3 2 2 8" xfId="23311"/>
    <cellStyle name="Normal 7 3 2 2 8 2" xfId="23312"/>
    <cellStyle name="Normal 7 3 2 2 8 2 2" xfId="23313"/>
    <cellStyle name="Normal 7 3 2 2 8 2 2 2" xfId="23314"/>
    <cellStyle name="Normal 7 3 2 2 8 2 3" xfId="23315"/>
    <cellStyle name="Normal 7 3 2 2 8 2 3 2" xfId="23316"/>
    <cellStyle name="Normal 7 3 2 2 8 2 4" xfId="23317"/>
    <cellStyle name="Normal 7 3 2 2 8 2 4 2" xfId="23318"/>
    <cellStyle name="Normal 7 3 2 2 8 2 5" xfId="23319"/>
    <cellStyle name="Normal 7 3 2 2 8 3" xfId="23320"/>
    <cellStyle name="Normal 7 3 2 2 8 3 2" xfId="23321"/>
    <cellStyle name="Normal 7 3 2 2 8 3 2 2" xfId="23322"/>
    <cellStyle name="Normal 7 3 2 2 8 3 3" xfId="23323"/>
    <cellStyle name="Normal 7 3 2 2 8 3 3 2" xfId="23324"/>
    <cellStyle name="Normal 7 3 2 2 8 3 4" xfId="23325"/>
    <cellStyle name="Normal 7 3 2 2 8 3 4 2" xfId="23326"/>
    <cellStyle name="Normal 7 3 2 2 8 3 5" xfId="23327"/>
    <cellStyle name="Normal 7 3 2 2 8 4" xfId="23328"/>
    <cellStyle name="Normal 7 3 2 2 8 4 2" xfId="23329"/>
    <cellStyle name="Normal 7 3 2 2 8 5" xfId="23330"/>
    <cellStyle name="Normal 7 3 2 2 8 5 2" xfId="23331"/>
    <cellStyle name="Normal 7 3 2 2 8 6" xfId="23332"/>
    <cellStyle name="Normal 7 3 2 2 8 6 2" xfId="23333"/>
    <cellStyle name="Normal 7 3 2 2 8 7" xfId="23334"/>
    <cellStyle name="Normal 7 3 2 2 9" xfId="23335"/>
    <cellStyle name="Normal 7 3 2 2 9 2" xfId="23336"/>
    <cellStyle name="Normal 7 3 2 2 9 2 2" xfId="23337"/>
    <cellStyle name="Normal 7 3 2 2 9 3" xfId="23338"/>
    <cellStyle name="Normal 7 3 2 2 9 3 2" xfId="23339"/>
    <cellStyle name="Normal 7 3 2 2 9 4" xfId="23340"/>
    <cellStyle name="Normal 7 3 2 2 9 4 2" xfId="23341"/>
    <cellStyle name="Normal 7 3 2 2 9 5" xfId="23342"/>
    <cellStyle name="Normal 7 3 2 3" xfId="23343"/>
    <cellStyle name="Normal 7 3 2 3 10" xfId="23344"/>
    <cellStyle name="Normal 7 3 2 3 10 2" xfId="23345"/>
    <cellStyle name="Normal 7 3 2 3 10 2 2" xfId="23346"/>
    <cellStyle name="Normal 7 3 2 3 10 3" xfId="23347"/>
    <cellStyle name="Normal 7 3 2 3 10 3 2" xfId="23348"/>
    <cellStyle name="Normal 7 3 2 3 10 4" xfId="23349"/>
    <cellStyle name="Normal 7 3 2 3 10 4 2" xfId="23350"/>
    <cellStyle name="Normal 7 3 2 3 10 5" xfId="23351"/>
    <cellStyle name="Normal 7 3 2 3 11" xfId="23352"/>
    <cellStyle name="Normal 7 3 2 3 11 2" xfId="23353"/>
    <cellStyle name="Normal 7 3 2 3 12" xfId="23354"/>
    <cellStyle name="Normal 7 3 2 3 12 2" xfId="23355"/>
    <cellStyle name="Normal 7 3 2 3 13" xfId="23356"/>
    <cellStyle name="Normal 7 3 2 3 13 2" xfId="23357"/>
    <cellStyle name="Normal 7 3 2 3 14" xfId="23358"/>
    <cellStyle name="Normal 7 3 2 3 2" xfId="23359"/>
    <cellStyle name="Normal 7 3 2 3 2 10" xfId="23360"/>
    <cellStyle name="Normal 7 3 2 3 2 10 2" xfId="23361"/>
    <cellStyle name="Normal 7 3 2 3 2 11" xfId="23362"/>
    <cellStyle name="Normal 7 3 2 3 2 11 2" xfId="23363"/>
    <cellStyle name="Normal 7 3 2 3 2 12" xfId="23364"/>
    <cellStyle name="Normal 7 3 2 3 2 12 2" xfId="23365"/>
    <cellStyle name="Normal 7 3 2 3 2 13" xfId="23366"/>
    <cellStyle name="Normal 7 3 2 3 2 2" xfId="23367"/>
    <cellStyle name="Normal 7 3 2 3 2 2 2" xfId="23368"/>
    <cellStyle name="Normal 7 3 2 3 2 2 2 2" xfId="23369"/>
    <cellStyle name="Normal 7 3 2 3 2 2 2 2 2" xfId="23370"/>
    <cellStyle name="Normal 7 3 2 3 2 2 2 2 2 2" xfId="23371"/>
    <cellStyle name="Normal 7 3 2 3 2 2 2 2 3" xfId="23372"/>
    <cellStyle name="Normal 7 3 2 3 2 2 2 2 3 2" xfId="23373"/>
    <cellStyle name="Normal 7 3 2 3 2 2 2 2 4" xfId="23374"/>
    <cellStyle name="Normal 7 3 2 3 2 2 2 2 4 2" xfId="23375"/>
    <cellStyle name="Normal 7 3 2 3 2 2 2 2 5" xfId="23376"/>
    <cellStyle name="Normal 7 3 2 3 2 2 2 3" xfId="23377"/>
    <cellStyle name="Normal 7 3 2 3 2 2 2 3 2" xfId="23378"/>
    <cellStyle name="Normal 7 3 2 3 2 2 2 3 2 2" xfId="23379"/>
    <cellStyle name="Normal 7 3 2 3 2 2 2 3 3" xfId="23380"/>
    <cellStyle name="Normal 7 3 2 3 2 2 2 3 3 2" xfId="23381"/>
    <cellStyle name="Normal 7 3 2 3 2 2 2 3 4" xfId="23382"/>
    <cellStyle name="Normal 7 3 2 3 2 2 2 3 4 2" xfId="23383"/>
    <cellStyle name="Normal 7 3 2 3 2 2 2 3 5" xfId="23384"/>
    <cellStyle name="Normal 7 3 2 3 2 2 2 4" xfId="23385"/>
    <cellStyle name="Normal 7 3 2 3 2 2 2 4 2" xfId="23386"/>
    <cellStyle name="Normal 7 3 2 3 2 2 2 5" xfId="23387"/>
    <cellStyle name="Normal 7 3 2 3 2 2 2 5 2" xfId="23388"/>
    <cellStyle name="Normal 7 3 2 3 2 2 2 6" xfId="23389"/>
    <cellStyle name="Normal 7 3 2 3 2 2 2 6 2" xfId="23390"/>
    <cellStyle name="Normal 7 3 2 3 2 2 2 7" xfId="23391"/>
    <cellStyle name="Normal 7 3 2 3 2 2 3" xfId="23392"/>
    <cellStyle name="Normal 7 3 2 3 2 2 3 2" xfId="23393"/>
    <cellStyle name="Normal 7 3 2 3 2 2 3 2 2" xfId="23394"/>
    <cellStyle name="Normal 7 3 2 3 2 2 3 3" xfId="23395"/>
    <cellStyle name="Normal 7 3 2 3 2 2 3 3 2" xfId="23396"/>
    <cellStyle name="Normal 7 3 2 3 2 2 3 4" xfId="23397"/>
    <cellStyle name="Normal 7 3 2 3 2 2 3 4 2" xfId="23398"/>
    <cellStyle name="Normal 7 3 2 3 2 2 3 5" xfId="23399"/>
    <cellStyle name="Normal 7 3 2 3 2 2 4" xfId="23400"/>
    <cellStyle name="Normal 7 3 2 3 2 2 4 2" xfId="23401"/>
    <cellStyle name="Normal 7 3 2 3 2 2 4 2 2" xfId="23402"/>
    <cellStyle name="Normal 7 3 2 3 2 2 4 3" xfId="23403"/>
    <cellStyle name="Normal 7 3 2 3 2 2 4 3 2" xfId="23404"/>
    <cellStyle name="Normal 7 3 2 3 2 2 4 4" xfId="23405"/>
    <cellStyle name="Normal 7 3 2 3 2 2 4 4 2" xfId="23406"/>
    <cellStyle name="Normal 7 3 2 3 2 2 4 5" xfId="23407"/>
    <cellStyle name="Normal 7 3 2 3 2 2 5" xfId="23408"/>
    <cellStyle name="Normal 7 3 2 3 2 2 5 2" xfId="23409"/>
    <cellStyle name="Normal 7 3 2 3 2 2 6" xfId="23410"/>
    <cellStyle name="Normal 7 3 2 3 2 2 6 2" xfId="23411"/>
    <cellStyle name="Normal 7 3 2 3 2 2 7" xfId="23412"/>
    <cellStyle name="Normal 7 3 2 3 2 2 7 2" xfId="23413"/>
    <cellStyle name="Normal 7 3 2 3 2 2 8" xfId="23414"/>
    <cellStyle name="Normal 7 3 2 3 2 3" xfId="23415"/>
    <cellStyle name="Normal 7 3 2 3 2 3 2" xfId="23416"/>
    <cellStyle name="Normal 7 3 2 3 2 3 2 2" xfId="23417"/>
    <cellStyle name="Normal 7 3 2 3 2 3 2 2 2" xfId="23418"/>
    <cellStyle name="Normal 7 3 2 3 2 3 2 2 2 2" xfId="23419"/>
    <cellStyle name="Normal 7 3 2 3 2 3 2 2 3" xfId="23420"/>
    <cellStyle name="Normal 7 3 2 3 2 3 2 2 3 2" xfId="23421"/>
    <cellStyle name="Normal 7 3 2 3 2 3 2 2 4" xfId="23422"/>
    <cellStyle name="Normal 7 3 2 3 2 3 2 2 4 2" xfId="23423"/>
    <cellStyle name="Normal 7 3 2 3 2 3 2 2 5" xfId="23424"/>
    <cellStyle name="Normal 7 3 2 3 2 3 2 3" xfId="23425"/>
    <cellStyle name="Normal 7 3 2 3 2 3 2 3 2" xfId="23426"/>
    <cellStyle name="Normal 7 3 2 3 2 3 2 3 2 2" xfId="23427"/>
    <cellStyle name="Normal 7 3 2 3 2 3 2 3 3" xfId="23428"/>
    <cellStyle name="Normal 7 3 2 3 2 3 2 3 3 2" xfId="23429"/>
    <cellStyle name="Normal 7 3 2 3 2 3 2 3 4" xfId="23430"/>
    <cellStyle name="Normal 7 3 2 3 2 3 2 3 4 2" xfId="23431"/>
    <cellStyle name="Normal 7 3 2 3 2 3 2 3 5" xfId="23432"/>
    <cellStyle name="Normal 7 3 2 3 2 3 2 4" xfId="23433"/>
    <cellStyle name="Normal 7 3 2 3 2 3 2 4 2" xfId="23434"/>
    <cellStyle name="Normal 7 3 2 3 2 3 2 5" xfId="23435"/>
    <cellStyle name="Normal 7 3 2 3 2 3 2 5 2" xfId="23436"/>
    <cellStyle name="Normal 7 3 2 3 2 3 2 6" xfId="23437"/>
    <cellStyle name="Normal 7 3 2 3 2 3 2 6 2" xfId="23438"/>
    <cellStyle name="Normal 7 3 2 3 2 3 2 7" xfId="23439"/>
    <cellStyle name="Normal 7 3 2 3 2 3 3" xfId="23440"/>
    <cellStyle name="Normal 7 3 2 3 2 3 3 2" xfId="23441"/>
    <cellStyle name="Normal 7 3 2 3 2 3 3 2 2" xfId="23442"/>
    <cellStyle name="Normal 7 3 2 3 2 3 3 3" xfId="23443"/>
    <cellStyle name="Normal 7 3 2 3 2 3 3 3 2" xfId="23444"/>
    <cellStyle name="Normal 7 3 2 3 2 3 3 4" xfId="23445"/>
    <cellStyle name="Normal 7 3 2 3 2 3 3 4 2" xfId="23446"/>
    <cellStyle name="Normal 7 3 2 3 2 3 3 5" xfId="23447"/>
    <cellStyle name="Normal 7 3 2 3 2 3 4" xfId="23448"/>
    <cellStyle name="Normal 7 3 2 3 2 3 4 2" xfId="23449"/>
    <cellStyle name="Normal 7 3 2 3 2 3 4 2 2" xfId="23450"/>
    <cellStyle name="Normal 7 3 2 3 2 3 4 3" xfId="23451"/>
    <cellStyle name="Normal 7 3 2 3 2 3 4 3 2" xfId="23452"/>
    <cellStyle name="Normal 7 3 2 3 2 3 4 4" xfId="23453"/>
    <cellStyle name="Normal 7 3 2 3 2 3 4 4 2" xfId="23454"/>
    <cellStyle name="Normal 7 3 2 3 2 3 4 5" xfId="23455"/>
    <cellStyle name="Normal 7 3 2 3 2 3 5" xfId="23456"/>
    <cellStyle name="Normal 7 3 2 3 2 3 5 2" xfId="23457"/>
    <cellStyle name="Normal 7 3 2 3 2 3 6" xfId="23458"/>
    <cellStyle name="Normal 7 3 2 3 2 3 6 2" xfId="23459"/>
    <cellStyle name="Normal 7 3 2 3 2 3 7" xfId="23460"/>
    <cellStyle name="Normal 7 3 2 3 2 3 7 2" xfId="23461"/>
    <cellStyle name="Normal 7 3 2 3 2 3 8" xfId="23462"/>
    <cellStyle name="Normal 7 3 2 3 2 4" xfId="23463"/>
    <cellStyle name="Normal 7 3 2 3 2 4 2" xfId="23464"/>
    <cellStyle name="Normal 7 3 2 3 2 4 2 2" xfId="23465"/>
    <cellStyle name="Normal 7 3 2 3 2 4 2 2 2" xfId="23466"/>
    <cellStyle name="Normal 7 3 2 3 2 4 2 2 2 2" xfId="23467"/>
    <cellStyle name="Normal 7 3 2 3 2 4 2 2 3" xfId="23468"/>
    <cellStyle name="Normal 7 3 2 3 2 4 2 2 3 2" xfId="23469"/>
    <cellStyle name="Normal 7 3 2 3 2 4 2 2 4" xfId="23470"/>
    <cellStyle name="Normal 7 3 2 3 2 4 2 2 4 2" xfId="23471"/>
    <cellStyle name="Normal 7 3 2 3 2 4 2 2 5" xfId="23472"/>
    <cellStyle name="Normal 7 3 2 3 2 4 2 3" xfId="23473"/>
    <cellStyle name="Normal 7 3 2 3 2 4 2 3 2" xfId="23474"/>
    <cellStyle name="Normal 7 3 2 3 2 4 2 3 2 2" xfId="23475"/>
    <cellStyle name="Normal 7 3 2 3 2 4 2 3 3" xfId="23476"/>
    <cellStyle name="Normal 7 3 2 3 2 4 2 3 3 2" xfId="23477"/>
    <cellStyle name="Normal 7 3 2 3 2 4 2 3 4" xfId="23478"/>
    <cellStyle name="Normal 7 3 2 3 2 4 2 3 4 2" xfId="23479"/>
    <cellStyle name="Normal 7 3 2 3 2 4 2 3 5" xfId="23480"/>
    <cellStyle name="Normal 7 3 2 3 2 4 2 4" xfId="23481"/>
    <cellStyle name="Normal 7 3 2 3 2 4 2 4 2" xfId="23482"/>
    <cellStyle name="Normal 7 3 2 3 2 4 2 5" xfId="23483"/>
    <cellStyle name="Normal 7 3 2 3 2 4 2 5 2" xfId="23484"/>
    <cellStyle name="Normal 7 3 2 3 2 4 2 6" xfId="23485"/>
    <cellStyle name="Normal 7 3 2 3 2 4 2 6 2" xfId="23486"/>
    <cellStyle name="Normal 7 3 2 3 2 4 2 7" xfId="23487"/>
    <cellStyle name="Normal 7 3 2 3 2 4 3" xfId="23488"/>
    <cellStyle name="Normal 7 3 2 3 2 4 3 2" xfId="23489"/>
    <cellStyle name="Normal 7 3 2 3 2 4 3 2 2" xfId="23490"/>
    <cellStyle name="Normal 7 3 2 3 2 4 3 3" xfId="23491"/>
    <cellStyle name="Normal 7 3 2 3 2 4 3 3 2" xfId="23492"/>
    <cellStyle name="Normal 7 3 2 3 2 4 3 4" xfId="23493"/>
    <cellStyle name="Normal 7 3 2 3 2 4 3 4 2" xfId="23494"/>
    <cellStyle name="Normal 7 3 2 3 2 4 3 5" xfId="23495"/>
    <cellStyle name="Normal 7 3 2 3 2 4 4" xfId="23496"/>
    <cellStyle name="Normal 7 3 2 3 2 4 4 2" xfId="23497"/>
    <cellStyle name="Normal 7 3 2 3 2 4 4 2 2" xfId="23498"/>
    <cellStyle name="Normal 7 3 2 3 2 4 4 3" xfId="23499"/>
    <cellStyle name="Normal 7 3 2 3 2 4 4 3 2" xfId="23500"/>
    <cellStyle name="Normal 7 3 2 3 2 4 4 4" xfId="23501"/>
    <cellStyle name="Normal 7 3 2 3 2 4 4 4 2" xfId="23502"/>
    <cellStyle name="Normal 7 3 2 3 2 4 4 5" xfId="23503"/>
    <cellStyle name="Normal 7 3 2 3 2 4 5" xfId="23504"/>
    <cellStyle name="Normal 7 3 2 3 2 4 5 2" xfId="23505"/>
    <cellStyle name="Normal 7 3 2 3 2 4 6" xfId="23506"/>
    <cellStyle name="Normal 7 3 2 3 2 4 6 2" xfId="23507"/>
    <cellStyle name="Normal 7 3 2 3 2 4 7" xfId="23508"/>
    <cellStyle name="Normal 7 3 2 3 2 4 7 2" xfId="23509"/>
    <cellStyle name="Normal 7 3 2 3 2 4 8" xfId="23510"/>
    <cellStyle name="Normal 7 3 2 3 2 5" xfId="23511"/>
    <cellStyle name="Normal 7 3 2 3 2 5 2" xfId="23512"/>
    <cellStyle name="Normal 7 3 2 3 2 5 2 2" xfId="23513"/>
    <cellStyle name="Normal 7 3 2 3 2 5 2 2 2" xfId="23514"/>
    <cellStyle name="Normal 7 3 2 3 2 5 2 2 2 2" xfId="23515"/>
    <cellStyle name="Normal 7 3 2 3 2 5 2 2 3" xfId="23516"/>
    <cellStyle name="Normal 7 3 2 3 2 5 2 2 3 2" xfId="23517"/>
    <cellStyle name="Normal 7 3 2 3 2 5 2 2 4" xfId="23518"/>
    <cellStyle name="Normal 7 3 2 3 2 5 2 2 4 2" xfId="23519"/>
    <cellStyle name="Normal 7 3 2 3 2 5 2 2 5" xfId="23520"/>
    <cellStyle name="Normal 7 3 2 3 2 5 2 3" xfId="23521"/>
    <cellStyle name="Normal 7 3 2 3 2 5 2 3 2" xfId="23522"/>
    <cellStyle name="Normal 7 3 2 3 2 5 2 3 2 2" xfId="23523"/>
    <cellStyle name="Normal 7 3 2 3 2 5 2 3 3" xfId="23524"/>
    <cellStyle name="Normal 7 3 2 3 2 5 2 3 3 2" xfId="23525"/>
    <cellStyle name="Normal 7 3 2 3 2 5 2 3 4" xfId="23526"/>
    <cellStyle name="Normal 7 3 2 3 2 5 2 3 4 2" xfId="23527"/>
    <cellStyle name="Normal 7 3 2 3 2 5 2 3 5" xfId="23528"/>
    <cellStyle name="Normal 7 3 2 3 2 5 2 4" xfId="23529"/>
    <cellStyle name="Normal 7 3 2 3 2 5 2 4 2" xfId="23530"/>
    <cellStyle name="Normal 7 3 2 3 2 5 2 5" xfId="23531"/>
    <cellStyle name="Normal 7 3 2 3 2 5 2 5 2" xfId="23532"/>
    <cellStyle name="Normal 7 3 2 3 2 5 2 6" xfId="23533"/>
    <cellStyle name="Normal 7 3 2 3 2 5 2 6 2" xfId="23534"/>
    <cellStyle name="Normal 7 3 2 3 2 5 2 7" xfId="23535"/>
    <cellStyle name="Normal 7 3 2 3 2 5 3" xfId="23536"/>
    <cellStyle name="Normal 7 3 2 3 2 5 3 2" xfId="23537"/>
    <cellStyle name="Normal 7 3 2 3 2 5 3 2 2" xfId="23538"/>
    <cellStyle name="Normal 7 3 2 3 2 5 3 3" xfId="23539"/>
    <cellStyle name="Normal 7 3 2 3 2 5 3 3 2" xfId="23540"/>
    <cellStyle name="Normal 7 3 2 3 2 5 3 4" xfId="23541"/>
    <cellStyle name="Normal 7 3 2 3 2 5 3 4 2" xfId="23542"/>
    <cellStyle name="Normal 7 3 2 3 2 5 3 5" xfId="23543"/>
    <cellStyle name="Normal 7 3 2 3 2 5 4" xfId="23544"/>
    <cellStyle name="Normal 7 3 2 3 2 5 4 2" xfId="23545"/>
    <cellStyle name="Normal 7 3 2 3 2 5 4 2 2" xfId="23546"/>
    <cellStyle name="Normal 7 3 2 3 2 5 4 3" xfId="23547"/>
    <cellStyle name="Normal 7 3 2 3 2 5 4 3 2" xfId="23548"/>
    <cellStyle name="Normal 7 3 2 3 2 5 4 4" xfId="23549"/>
    <cellStyle name="Normal 7 3 2 3 2 5 4 4 2" xfId="23550"/>
    <cellStyle name="Normal 7 3 2 3 2 5 4 5" xfId="23551"/>
    <cellStyle name="Normal 7 3 2 3 2 5 5" xfId="23552"/>
    <cellStyle name="Normal 7 3 2 3 2 5 5 2" xfId="23553"/>
    <cellStyle name="Normal 7 3 2 3 2 5 6" xfId="23554"/>
    <cellStyle name="Normal 7 3 2 3 2 5 6 2" xfId="23555"/>
    <cellStyle name="Normal 7 3 2 3 2 5 7" xfId="23556"/>
    <cellStyle name="Normal 7 3 2 3 2 5 7 2" xfId="23557"/>
    <cellStyle name="Normal 7 3 2 3 2 5 8" xfId="23558"/>
    <cellStyle name="Normal 7 3 2 3 2 6" xfId="23559"/>
    <cellStyle name="Normal 7 3 2 3 2 6 2" xfId="23560"/>
    <cellStyle name="Normal 7 3 2 3 2 6 2 2" xfId="23561"/>
    <cellStyle name="Normal 7 3 2 3 2 6 2 2 2" xfId="23562"/>
    <cellStyle name="Normal 7 3 2 3 2 6 2 2 2 2" xfId="23563"/>
    <cellStyle name="Normal 7 3 2 3 2 6 2 2 3" xfId="23564"/>
    <cellStyle name="Normal 7 3 2 3 2 6 2 2 3 2" xfId="23565"/>
    <cellStyle name="Normal 7 3 2 3 2 6 2 2 4" xfId="23566"/>
    <cellStyle name="Normal 7 3 2 3 2 6 2 2 4 2" xfId="23567"/>
    <cellStyle name="Normal 7 3 2 3 2 6 2 2 5" xfId="23568"/>
    <cellStyle name="Normal 7 3 2 3 2 6 2 3" xfId="23569"/>
    <cellStyle name="Normal 7 3 2 3 2 6 2 3 2" xfId="23570"/>
    <cellStyle name="Normal 7 3 2 3 2 6 2 3 2 2" xfId="23571"/>
    <cellStyle name="Normal 7 3 2 3 2 6 2 3 3" xfId="23572"/>
    <cellStyle name="Normal 7 3 2 3 2 6 2 3 3 2" xfId="23573"/>
    <cellStyle name="Normal 7 3 2 3 2 6 2 3 4" xfId="23574"/>
    <cellStyle name="Normal 7 3 2 3 2 6 2 3 4 2" xfId="23575"/>
    <cellStyle name="Normal 7 3 2 3 2 6 2 3 5" xfId="23576"/>
    <cellStyle name="Normal 7 3 2 3 2 6 2 4" xfId="23577"/>
    <cellStyle name="Normal 7 3 2 3 2 6 2 4 2" xfId="23578"/>
    <cellStyle name="Normal 7 3 2 3 2 6 2 5" xfId="23579"/>
    <cellStyle name="Normal 7 3 2 3 2 6 2 5 2" xfId="23580"/>
    <cellStyle name="Normal 7 3 2 3 2 6 2 6" xfId="23581"/>
    <cellStyle name="Normal 7 3 2 3 2 6 2 6 2" xfId="23582"/>
    <cellStyle name="Normal 7 3 2 3 2 6 2 7" xfId="23583"/>
    <cellStyle name="Normal 7 3 2 3 2 6 3" xfId="23584"/>
    <cellStyle name="Normal 7 3 2 3 2 6 3 2" xfId="23585"/>
    <cellStyle name="Normal 7 3 2 3 2 6 3 2 2" xfId="23586"/>
    <cellStyle name="Normal 7 3 2 3 2 6 3 3" xfId="23587"/>
    <cellStyle name="Normal 7 3 2 3 2 6 3 3 2" xfId="23588"/>
    <cellStyle name="Normal 7 3 2 3 2 6 3 4" xfId="23589"/>
    <cellStyle name="Normal 7 3 2 3 2 6 3 4 2" xfId="23590"/>
    <cellStyle name="Normal 7 3 2 3 2 6 3 5" xfId="23591"/>
    <cellStyle name="Normal 7 3 2 3 2 6 4" xfId="23592"/>
    <cellStyle name="Normal 7 3 2 3 2 6 4 2" xfId="23593"/>
    <cellStyle name="Normal 7 3 2 3 2 6 4 2 2" xfId="23594"/>
    <cellStyle name="Normal 7 3 2 3 2 6 4 3" xfId="23595"/>
    <cellStyle name="Normal 7 3 2 3 2 6 4 3 2" xfId="23596"/>
    <cellStyle name="Normal 7 3 2 3 2 6 4 4" xfId="23597"/>
    <cellStyle name="Normal 7 3 2 3 2 6 4 4 2" xfId="23598"/>
    <cellStyle name="Normal 7 3 2 3 2 6 4 5" xfId="23599"/>
    <cellStyle name="Normal 7 3 2 3 2 6 5" xfId="23600"/>
    <cellStyle name="Normal 7 3 2 3 2 6 5 2" xfId="23601"/>
    <cellStyle name="Normal 7 3 2 3 2 6 6" xfId="23602"/>
    <cellStyle name="Normal 7 3 2 3 2 6 6 2" xfId="23603"/>
    <cellStyle name="Normal 7 3 2 3 2 6 7" xfId="23604"/>
    <cellStyle name="Normal 7 3 2 3 2 6 7 2" xfId="23605"/>
    <cellStyle name="Normal 7 3 2 3 2 6 8" xfId="23606"/>
    <cellStyle name="Normal 7 3 2 3 2 7" xfId="23607"/>
    <cellStyle name="Normal 7 3 2 3 2 7 2" xfId="23608"/>
    <cellStyle name="Normal 7 3 2 3 2 7 2 2" xfId="23609"/>
    <cellStyle name="Normal 7 3 2 3 2 7 2 2 2" xfId="23610"/>
    <cellStyle name="Normal 7 3 2 3 2 7 2 3" xfId="23611"/>
    <cellStyle name="Normal 7 3 2 3 2 7 2 3 2" xfId="23612"/>
    <cellStyle name="Normal 7 3 2 3 2 7 2 4" xfId="23613"/>
    <cellStyle name="Normal 7 3 2 3 2 7 2 4 2" xfId="23614"/>
    <cellStyle name="Normal 7 3 2 3 2 7 2 5" xfId="23615"/>
    <cellStyle name="Normal 7 3 2 3 2 7 3" xfId="23616"/>
    <cellStyle name="Normal 7 3 2 3 2 7 3 2" xfId="23617"/>
    <cellStyle name="Normal 7 3 2 3 2 7 3 2 2" xfId="23618"/>
    <cellStyle name="Normal 7 3 2 3 2 7 3 3" xfId="23619"/>
    <cellStyle name="Normal 7 3 2 3 2 7 3 3 2" xfId="23620"/>
    <cellStyle name="Normal 7 3 2 3 2 7 3 4" xfId="23621"/>
    <cellStyle name="Normal 7 3 2 3 2 7 3 4 2" xfId="23622"/>
    <cellStyle name="Normal 7 3 2 3 2 7 3 5" xfId="23623"/>
    <cellStyle name="Normal 7 3 2 3 2 7 4" xfId="23624"/>
    <cellStyle name="Normal 7 3 2 3 2 7 4 2" xfId="23625"/>
    <cellStyle name="Normal 7 3 2 3 2 7 5" xfId="23626"/>
    <cellStyle name="Normal 7 3 2 3 2 7 5 2" xfId="23627"/>
    <cellStyle name="Normal 7 3 2 3 2 7 6" xfId="23628"/>
    <cellStyle name="Normal 7 3 2 3 2 7 6 2" xfId="23629"/>
    <cellStyle name="Normal 7 3 2 3 2 7 7" xfId="23630"/>
    <cellStyle name="Normal 7 3 2 3 2 8" xfId="23631"/>
    <cellStyle name="Normal 7 3 2 3 2 8 2" xfId="23632"/>
    <cellStyle name="Normal 7 3 2 3 2 8 2 2" xfId="23633"/>
    <cellStyle name="Normal 7 3 2 3 2 8 3" xfId="23634"/>
    <cellStyle name="Normal 7 3 2 3 2 8 3 2" xfId="23635"/>
    <cellStyle name="Normal 7 3 2 3 2 8 4" xfId="23636"/>
    <cellStyle name="Normal 7 3 2 3 2 8 4 2" xfId="23637"/>
    <cellStyle name="Normal 7 3 2 3 2 8 5" xfId="23638"/>
    <cellStyle name="Normal 7 3 2 3 2 9" xfId="23639"/>
    <cellStyle name="Normal 7 3 2 3 2 9 2" xfId="23640"/>
    <cellStyle name="Normal 7 3 2 3 2 9 2 2" xfId="23641"/>
    <cellStyle name="Normal 7 3 2 3 2 9 3" xfId="23642"/>
    <cellStyle name="Normal 7 3 2 3 2 9 3 2" xfId="23643"/>
    <cellStyle name="Normal 7 3 2 3 2 9 4" xfId="23644"/>
    <cellStyle name="Normal 7 3 2 3 2 9 4 2" xfId="23645"/>
    <cellStyle name="Normal 7 3 2 3 2 9 5" xfId="23646"/>
    <cellStyle name="Normal 7 3 2 3 3" xfId="23647"/>
    <cellStyle name="Normal 7 3 2 3 3 2" xfId="23648"/>
    <cellStyle name="Normal 7 3 2 3 3 2 2" xfId="23649"/>
    <cellStyle name="Normal 7 3 2 3 3 2 2 2" xfId="23650"/>
    <cellStyle name="Normal 7 3 2 3 3 2 2 2 2" xfId="23651"/>
    <cellStyle name="Normal 7 3 2 3 3 2 2 3" xfId="23652"/>
    <cellStyle name="Normal 7 3 2 3 3 2 2 3 2" xfId="23653"/>
    <cellStyle name="Normal 7 3 2 3 3 2 2 4" xfId="23654"/>
    <cellStyle name="Normal 7 3 2 3 3 2 2 4 2" xfId="23655"/>
    <cellStyle name="Normal 7 3 2 3 3 2 2 5" xfId="23656"/>
    <cellStyle name="Normal 7 3 2 3 3 2 3" xfId="23657"/>
    <cellStyle name="Normal 7 3 2 3 3 2 3 2" xfId="23658"/>
    <cellStyle name="Normal 7 3 2 3 3 2 3 2 2" xfId="23659"/>
    <cellStyle name="Normal 7 3 2 3 3 2 3 3" xfId="23660"/>
    <cellStyle name="Normal 7 3 2 3 3 2 3 3 2" xfId="23661"/>
    <cellStyle name="Normal 7 3 2 3 3 2 3 4" xfId="23662"/>
    <cellStyle name="Normal 7 3 2 3 3 2 3 4 2" xfId="23663"/>
    <cellStyle name="Normal 7 3 2 3 3 2 3 5" xfId="23664"/>
    <cellStyle name="Normal 7 3 2 3 3 2 4" xfId="23665"/>
    <cellStyle name="Normal 7 3 2 3 3 2 4 2" xfId="23666"/>
    <cellStyle name="Normal 7 3 2 3 3 2 5" xfId="23667"/>
    <cellStyle name="Normal 7 3 2 3 3 2 5 2" xfId="23668"/>
    <cellStyle name="Normal 7 3 2 3 3 2 6" xfId="23669"/>
    <cellStyle name="Normal 7 3 2 3 3 2 6 2" xfId="23670"/>
    <cellStyle name="Normal 7 3 2 3 3 2 7" xfId="23671"/>
    <cellStyle name="Normal 7 3 2 3 3 3" xfId="23672"/>
    <cellStyle name="Normal 7 3 2 3 3 3 2" xfId="23673"/>
    <cellStyle name="Normal 7 3 2 3 3 3 2 2" xfId="23674"/>
    <cellStyle name="Normal 7 3 2 3 3 3 3" xfId="23675"/>
    <cellStyle name="Normal 7 3 2 3 3 3 3 2" xfId="23676"/>
    <cellStyle name="Normal 7 3 2 3 3 3 4" xfId="23677"/>
    <cellStyle name="Normal 7 3 2 3 3 3 4 2" xfId="23678"/>
    <cellStyle name="Normal 7 3 2 3 3 3 5" xfId="23679"/>
    <cellStyle name="Normal 7 3 2 3 3 4" xfId="23680"/>
    <cellStyle name="Normal 7 3 2 3 3 4 2" xfId="23681"/>
    <cellStyle name="Normal 7 3 2 3 3 4 2 2" xfId="23682"/>
    <cellStyle name="Normal 7 3 2 3 3 4 3" xfId="23683"/>
    <cellStyle name="Normal 7 3 2 3 3 4 3 2" xfId="23684"/>
    <cellStyle name="Normal 7 3 2 3 3 4 4" xfId="23685"/>
    <cellStyle name="Normal 7 3 2 3 3 4 4 2" xfId="23686"/>
    <cellStyle name="Normal 7 3 2 3 3 4 5" xfId="23687"/>
    <cellStyle name="Normal 7 3 2 3 3 5" xfId="23688"/>
    <cellStyle name="Normal 7 3 2 3 3 5 2" xfId="23689"/>
    <cellStyle name="Normal 7 3 2 3 3 6" xfId="23690"/>
    <cellStyle name="Normal 7 3 2 3 3 6 2" xfId="23691"/>
    <cellStyle name="Normal 7 3 2 3 3 7" xfId="23692"/>
    <cellStyle name="Normal 7 3 2 3 3 7 2" xfId="23693"/>
    <cellStyle name="Normal 7 3 2 3 3 8" xfId="23694"/>
    <cellStyle name="Normal 7 3 2 3 4" xfId="23695"/>
    <cellStyle name="Normal 7 3 2 3 4 2" xfId="23696"/>
    <cellStyle name="Normal 7 3 2 3 4 2 2" xfId="23697"/>
    <cellStyle name="Normal 7 3 2 3 4 2 2 2" xfId="23698"/>
    <cellStyle name="Normal 7 3 2 3 4 2 2 2 2" xfId="23699"/>
    <cellStyle name="Normal 7 3 2 3 4 2 2 3" xfId="23700"/>
    <cellStyle name="Normal 7 3 2 3 4 2 2 3 2" xfId="23701"/>
    <cellStyle name="Normal 7 3 2 3 4 2 2 4" xfId="23702"/>
    <cellStyle name="Normal 7 3 2 3 4 2 2 4 2" xfId="23703"/>
    <cellStyle name="Normal 7 3 2 3 4 2 2 5" xfId="23704"/>
    <cellStyle name="Normal 7 3 2 3 4 2 3" xfId="23705"/>
    <cellStyle name="Normal 7 3 2 3 4 2 3 2" xfId="23706"/>
    <cellStyle name="Normal 7 3 2 3 4 2 3 2 2" xfId="23707"/>
    <cellStyle name="Normal 7 3 2 3 4 2 3 3" xfId="23708"/>
    <cellStyle name="Normal 7 3 2 3 4 2 3 3 2" xfId="23709"/>
    <cellStyle name="Normal 7 3 2 3 4 2 3 4" xfId="23710"/>
    <cellStyle name="Normal 7 3 2 3 4 2 3 4 2" xfId="23711"/>
    <cellStyle name="Normal 7 3 2 3 4 2 3 5" xfId="23712"/>
    <cellStyle name="Normal 7 3 2 3 4 2 4" xfId="23713"/>
    <cellStyle name="Normal 7 3 2 3 4 2 4 2" xfId="23714"/>
    <cellStyle name="Normal 7 3 2 3 4 2 5" xfId="23715"/>
    <cellStyle name="Normal 7 3 2 3 4 2 5 2" xfId="23716"/>
    <cellStyle name="Normal 7 3 2 3 4 2 6" xfId="23717"/>
    <cellStyle name="Normal 7 3 2 3 4 2 6 2" xfId="23718"/>
    <cellStyle name="Normal 7 3 2 3 4 2 7" xfId="23719"/>
    <cellStyle name="Normal 7 3 2 3 4 3" xfId="23720"/>
    <cellStyle name="Normal 7 3 2 3 4 3 2" xfId="23721"/>
    <cellStyle name="Normal 7 3 2 3 4 3 2 2" xfId="23722"/>
    <cellStyle name="Normal 7 3 2 3 4 3 3" xfId="23723"/>
    <cellStyle name="Normal 7 3 2 3 4 3 3 2" xfId="23724"/>
    <cellStyle name="Normal 7 3 2 3 4 3 4" xfId="23725"/>
    <cellStyle name="Normal 7 3 2 3 4 3 4 2" xfId="23726"/>
    <cellStyle name="Normal 7 3 2 3 4 3 5" xfId="23727"/>
    <cellStyle name="Normal 7 3 2 3 4 4" xfId="23728"/>
    <cellStyle name="Normal 7 3 2 3 4 4 2" xfId="23729"/>
    <cellStyle name="Normal 7 3 2 3 4 4 2 2" xfId="23730"/>
    <cellStyle name="Normal 7 3 2 3 4 4 3" xfId="23731"/>
    <cellStyle name="Normal 7 3 2 3 4 4 3 2" xfId="23732"/>
    <cellStyle name="Normal 7 3 2 3 4 4 4" xfId="23733"/>
    <cellStyle name="Normal 7 3 2 3 4 4 4 2" xfId="23734"/>
    <cellStyle name="Normal 7 3 2 3 4 4 5" xfId="23735"/>
    <cellStyle name="Normal 7 3 2 3 4 5" xfId="23736"/>
    <cellStyle name="Normal 7 3 2 3 4 5 2" xfId="23737"/>
    <cellStyle name="Normal 7 3 2 3 4 6" xfId="23738"/>
    <cellStyle name="Normal 7 3 2 3 4 6 2" xfId="23739"/>
    <cellStyle name="Normal 7 3 2 3 4 7" xfId="23740"/>
    <cellStyle name="Normal 7 3 2 3 4 7 2" xfId="23741"/>
    <cellStyle name="Normal 7 3 2 3 4 8" xfId="23742"/>
    <cellStyle name="Normal 7 3 2 3 5" xfId="23743"/>
    <cellStyle name="Normal 7 3 2 3 5 2" xfId="23744"/>
    <cellStyle name="Normal 7 3 2 3 5 2 2" xfId="23745"/>
    <cellStyle name="Normal 7 3 2 3 5 2 2 2" xfId="23746"/>
    <cellStyle name="Normal 7 3 2 3 5 2 2 2 2" xfId="23747"/>
    <cellStyle name="Normal 7 3 2 3 5 2 2 3" xfId="23748"/>
    <cellStyle name="Normal 7 3 2 3 5 2 2 3 2" xfId="23749"/>
    <cellStyle name="Normal 7 3 2 3 5 2 2 4" xfId="23750"/>
    <cellStyle name="Normal 7 3 2 3 5 2 2 4 2" xfId="23751"/>
    <cellStyle name="Normal 7 3 2 3 5 2 2 5" xfId="23752"/>
    <cellStyle name="Normal 7 3 2 3 5 2 3" xfId="23753"/>
    <cellStyle name="Normal 7 3 2 3 5 2 3 2" xfId="23754"/>
    <cellStyle name="Normal 7 3 2 3 5 2 3 2 2" xfId="23755"/>
    <cellStyle name="Normal 7 3 2 3 5 2 3 3" xfId="23756"/>
    <cellStyle name="Normal 7 3 2 3 5 2 3 3 2" xfId="23757"/>
    <cellStyle name="Normal 7 3 2 3 5 2 3 4" xfId="23758"/>
    <cellStyle name="Normal 7 3 2 3 5 2 3 4 2" xfId="23759"/>
    <cellStyle name="Normal 7 3 2 3 5 2 3 5" xfId="23760"/>
    <cellStyle name="Normal 7 3 2 3 5 2 4" xfId="23761"/>
    <cellStyle name="Normal 7 3 2 3 5 2 4 2" xfId="23762"/>
    <cellStyle name="Normal 7 3 2 3 5 2 5" xfId="23763"/>
    <cellStyle name="Normal 7 3 2 3 5 2 5 2" xfId="23764"/>
    <cellStyle name="Normal 7 3 2 3 5 2 6" xfId="23765"/>
    <cellStyle name="Normal 7 3 2 3 5 2 6 2" xfId="23766"/>
    <cellStyle name="Normal 7 3 2 3 5 2 7" xfId="23767"/>
    <cellStyle name="Normal 7 3 2 3 5 3" xfId="23768"/>
    <cellStyle name="Normal 7 3 2 3 5 3 2" xfId="23769"/>
    <cellStyle name="Normal 7 3 2 3 5 3 2 2" xfId="23770"/>
    <cellStyle name="Normal 7 3 2 3 5 3 3" xfId="23771"/>
    <cellStyle name="Normal 7 3 2 3 5 3 3 2" xfId="23772"/>
    <cellStyle name="Normal 7 3 2 3 5 3 4" xfId="23773"/>
    <cellStyle name="Normal 7 3 2 3 5 3 4 2" xfId="23774"/>
    <cellStyle name="Normal 7 3 2 3 5 3 5" xfId="23775"/>
    <cellStyle name="Normal 7 3 2 3 5 4" xfId="23776"/>
    <cellStyle name="Normal 7 3 2 3 5 4 2" xfId="23777"/>
    <cellStyle name="Normal 7 3 2 3 5 4 2 2" xfId="23778"/>
    <cellStyle name="Normal 7 3 2 3 5 4 3" xfId="23779"/>
    <cellStyle name="Normal 7 3 2 3 5 4 3 2" xfId="23780"/>
    <cellStyle name="Normal 7 3 2 3 5 4 4" xfId="23781"/>
    <cellStyle name="Normal 7 3 2 3 5 4 4 2" xfId="23782"/>
    <cellStyle name="Normal 7 3 2 3 5 4 5" xfId="23783"/>
    <cellStyle name="Normal 7 3 2 3 5 5" xfId="23784"/>
    <cellStyle name="Normal 7 3 2 3 5 5 2" xfId="23785"/>
    <cellStyle name="Normal 7 3 2 3 5 6" xfId="23786"/>
    <cellStyle name="Normal 7 3 2 3 5 6 2" xfId="23787"/>
    <cellStyle name="Normal 7 3 2 3 5 7" xfId="23788"/>
    <cellStyle name="Normal 7 3 2 3 5 7 2" xfId="23789"/>
    <cellStyle name="Normal 7 3 2 3 5 8" xfId="23790"/>
    <cellStyle name="Normal 7 3 2 3 6" xfId="23791"/>
    <cellStyle name="Normal 7 3 2 3 6 2" xfId="23792"/>
    <cellStyle name="Normal 7 3 2 3 6 2 2" xfId="23793"/>
    <cellStyle name="Normal 7 3 2 3 6 2 2 2" xfId="23794"/>
    <cellStyle name="Normal 7 3 2 3 6 2 2 2 2" xfId="23795"/>
    <cellStyle name="Normal 7 3 2 3 6 2 2 3" xfId="23796"/>
    <cellStyle name="Normal 7 3 2 3 6 2 2 3 2" xfId="23797"/>
    <cellStyle name="Normal 7 3 2 3 6 2 2 4" xfId="23798"/>
    <cellStyle name="Normal 7 3 2 3 6 2 2 4 2" xfId="23799"/>
    <cellStyle name="Normal 7 3 2 3 6 2 2 5" xfId="23800"/>
    <cellStyle name="Normal 7 3 2 3 6 2 3" xfId="23801"/>
    <cellStyle name="Normal 7 3 2 3 6 2 3 2" xfId="23802"/>
    <cellStyle name="Normal 7 3 2 3 6 2 3 2 2" xfId="23803"/>
    <cellStyle name="Normal 7 3 2 3 6 2 3 3" xfId="23804"/>
    <cellStyle name="Normal 7 3 2 3 6 2 3 3 2" xfId="23805"/>
    <cellStyle name="Normal 7 3 2 3 6 2 3 4" xfId="23806"/>
    <cellStyle name="Normal 7 3 2 3 6 2 3 4 2" xfId="23807"/>
    <cellStyle name="Normal 7 3 2 3 6 2 3 5" xfId="23808"/>
    <cellStyle name="Normal 7 3 2 3 6 2 4" xfId="23809"/>
    <cellStyle name="Normal 7 3 2 3 6 2 4 2" xfId="23810"/>
    <cellStyle name="Normal 7 3 2 3 6 2 5" xfId="23811"/>
    <cellStyle name="Normal 7 3 2 3 6 2 5 2" xfId="23812"/>
    <cellStyle name="Normal 7 3 2 3 6 2 6" xfId="23813"/>
    <cellStyle name="Normal 7 3 2 3 6 2 6 2" xfId="23814"/>
    <cellStyle name="Normal 7 3 2 3 6 2 7" xfId="23815"/>
    <cellStyle name="Normal 7 3 2 3 6 3" xfId="23816"/>
    <cellStyle name="Normal 7 3 2 3 6 3 2" xfId="23817"/>
    <cellStyle name="Normal 7 3 2 3 6 3 2 2" xfId="23818"/>
    <cellStyle name="Normal 7 3 2 3 6 3 3" xfId="23819"/>
    <cellStyle name="Normal 7 3 2 3 6 3 3 2" xfId="23820"/>
    <cellStyle name="Normal 7 3 2 3 6 3 4" xfId="23821"/>
    <cellStyle name="Normal 7 3 2 3 6 3 4 2" xfId="23822"/>
    <cellStyle name="Normal 7 3 2 3 6 3 5" xfId="23823"/>
    <cellStyle name="Normal 7 3 2 3 6 4" xfId="23824"/>
    <cellStyle name="Normal 7 3 2 3 6 4 2" xfId="23825"/>
    <cellStyle name="Normal 7 3 2 3 6 4 2 2" xfId="23826"/>
    <cellStyle name="Normal 7 3 2 3 6 4 3" xfId="23827"/>
    <cellStyle name="Normal 7 3 2 3 6 4 3 2" xfId="23828"/>
    <cellStyle name="Normal 7 3 2 3 6 4 4" xfId="23829"/>
    <cellStyle name="Normal 7 3 2 3 6 4 4 2" xfId="23830"/>
    <cellStyle name="Normal 7 3 2 3 6 4 5" xfId="23831"/>
    <cellStyle name="Normal 7 3 2 3 6 5" xfId="23832"/>
    <cellStyle name="Normal 7 3 2 3 6 5 2" xfId="23833"/>
    <cellStyle name="Normal 7 3 2 3 6 6" xfId="23834"/>
    <cellStyle name="Normal 7 3 2 3 6 6 2" xfId="23835"/>
    <cellStyle name="Normal 7 3 2 3 6 7" xfId="23836"/>
    <cellStyle name="Normal 7 3 2 3 6 7 2" xfId="23837"/>
    <cellStyle name="Normal 7 3 2 3 6 8" xfId="23838"/>
    <cellStyle name="Normal 7 3 2 3 7" xfId="23839"/>
    <cellStyle name="Normal 7 3 2 3 7 2" xfId="23840"/>
    <cellStyle name="Normal 7 3 2 3 7 2 2" xfId="23841"/>
    <cellStyle name="Normal 7 3 2 3 7 2 2 2" xfId="23842"/>
    <cellStyle name="Normal 7 3 2 3 7 2 2 2 2" xfId="23843"/>
    <cellStyle name="Normal 7 3 2 3 7 2 2 3" xfId="23844"/>
    <cellStyle name="Normal 7 3 2 3 7 2 2 3 2" xfId="23845"/>
    <cellStyle name="Normal 7 3 2 3 7 2 2 4" xfId="23846"/>
    <cellStyle name="Normal 7 3 2 3 7 2 2 4 2" xfId="23847"/>
    <cellStyle name="Normal 7 3 2 3 7 2 2 5" xfId="23848"/>
    <cellStyle name="Normal 7 3 2 3 7 2 3" xfId="23849"/>
    <cellStyle name="Normal 7 3 2 3 7 2 3 2" xfId="23850"/>
    <cellStyle name="Normal 7 3 2 3 7 2 3 2 2" xfId="23851"/>
    <cellStyle name="Normal 7 3 2 3 7 2 3 3" xfId="23852"/>
    <cellStyle name="Normal 7 3 2 3 7 2 3 3 2" xfId="23853"/>
    <cellStyle name="Normal 7 3 2 3 7 2 3 4" xfId="23854"/>
    <cellStyle name="Normal 7 3 2 3 7 2 3 4 2" xfId="23855"/>
    <cellStyle name="Normal 7 3 2 3 7 2 3 5" xfId="23856"/>
    <cellStyle name="Normal 7 3 2 3 7 2 4" xfId="23857"/>
    <cellStyle name="Normal 7 3 2 3 7 2 4 2" xfId="23858"/>
    <cellStyle name="Normal 7 3 2 3 7 2 5" xfId="23859"/>
    <cellStyle name="Normal 7 3 2 3 7 2 5 2" xfId="23860"/>
    <cellStyle name="Normal 7 3 2 3 7 2 6" xfId="23861"/>
    <cellStyle name="Normal 7 3 2 3 7 2 6 2" xfId="23862"/>
    <cellStyle name="Normal 7 3 2 3 7 2 7" xfId="23863"/>
    <cellStyle name="Normal 7 3 2 3 7 3" xfId="23864"/>
    <cellStyle name="Normal 7 3 2 3 7 3 2" xfId="23865"/>
    <cellStyle name="Normal 7 3 2 3 7 3 2 2" xfId="23866"/>
    <cellStyle name="Normal 7 3 2 3 7 3 3" xfId="23867"/>
    <cellStyle name="Normal 7 3 2 3 7 3 3 2" xfId="23868"/>
    <cellStyle name="Normal 7 3 2 3 7 3 4" xfId="23869"/>
    <cellStyle name="Normal 7 3 2 3 7 3 4 2" xfId="23870"/>
    <cellStyle name="Normal 7 3 2 3 7 3 5" xfId="23871"/>
    <cellStyle name="Normal 7 3 2 3 7 4" xfId="23872"/>
    <cellStyle name="Normal 7 3 2 3 7 4 2" xfId="23873"/>
    <cellStyle name="Normal 7 3 2 3 7 4 2 2" xfId="23874"/>
    <cellStyle name="Normal 7 3 2 3 7 4 3" xfId="23875"/>
    <cellStyle name="Normal 7 3 2 3 7 4 3 2" xfId="23876"/>
    <cellStyle name="Normal 7 3 2 3 7 4 4" xfId="23877"/>
    <cellStyle name="Normal 7 3 2 3 7 4 4 2" xfId="23878"/>
    <cellStyle name="Normal 7 3 2 3 7 4 5" xfId="23879"/>
    <cellStyle name="Normal 7 3 2 3 7 5" xfId="23880"/>
    <cellStyle name="Normal 7 3 2 3 7 5 2" xfId="23881"/>
    <cellStyle name="Normal 7 3 2 3 7 6" xfId="23882"/>
    <cellStyle name="Normal 7 3 2 3 7 6 2" xfId="23883"/>
    <cellStyle name="Normal 7 3 2 3 7 7" xfId="23884"/>
    <cellStyle name="Normal 7 3 2 3 7 7 2" xfId="23885"/>
    <cellStyle name="Normal 7 3 2 3 7 8" xfId="23886"/>
    <cellStyle name="Normal 7 3 2 3 8" xfId="23887"/>
    <cellStyle name="Normal 7 3 2 3 8 2" xfId="23888"/>
    <cellStyle name="Normal 7 3 2 3 8 2 2" xfId="23889"/>
    <cellStyle name="Normal 7 3 2 3 8 2 2 2" xfId="23890"/>
    <cellStyle name="Normal 7 3 2 3 8 2 3" xfId="23891"/>
    <cellStyle name="Normal 7 3 2 3 8 2 3 2" xfId="23892"/>
    <cellStyle name="Normal 7 3 2 3 8 2 4" xfId="23893"/>
    <cellStyle name="Normal 7 3 2 3 8 2 4 2" xfId="23894"/>
    <cellStyle name="Normal 7 3 2 3 8 2 5" xfId="23895"/>
    <cellStyle name="Normal 7 3 2 3 8 3" xfId="23896"/>
    <cellStyle name="Normal 7 3 2 3 8 3 2" xfId="23897"/>
    <cellStyle name="Normal 7 3 2 3 8 3 2 2" xfId="23898"/>
    <cellStyle name="Normal 7 3 2 3 8 3 3" xfId="23899"/>
    <cellStyle name="Normal 7 3 2 3 8 3 3 2" xfId="23900"/>
    <cellStyle name="Normal 7 3 2 3 8 3 4" xfId="23901"/>
    <cellStyle name="Normal 7 3 2 3 8 3 4 2" xfId="23902"/>
    <cellStyle name="Normal 7 3 2 3 8 3 5" xfId="23903"/>
    <cellStyle name="Normal 7 3 2 3 8 4" xfId="23904"/>
    <cellStyle name="Normal 7 3 2 3 8 4 2" xfId="23905"/>
    <cellStyle name="Normal 7 3 2 3 8 5" xfId="23906"/>
    <cellStyle name="Normal 7 3 2 3 8 5 2" xfId="23907"/>
    <cellStyle name="Normal 7 3 2 3 8 6" xfId="23908"/>
    <cellStyle name="Normal 7 3 2 3 8 6 2" xfId="23909"/>
    <cellStyle name="Normal 7 3 2 3 8 7" xfId="23910"/>
    <cellStyle name="Normal 7 3 2 3 9" xfId="23911"/>
    <cellStyle name="Normal 7 3 2 3 9 2" xfId="23912"/>
    <cellStyle name="Normal 7 3 2 3 9 2 2" xfId="23913"/>
    <cellStyle name="Normal 7 3 2 3 9 3" xfId="23914"/>
    <cellStyle name="Normal 7 3 2 3 9 3 2" xfId="23915"/>
    <cellStyle name="Normal 7 3 2 3 9 4" xfId="23916"/>
    <cellStyle name="Normal 7 3 2 3 9 4 2" xfId="23917"/>
    <cellStyle name="Normal 7 3 2 3 9 5" xfId="23918"/>
    <cellStyle name="Normal 7 3 2 4" xfId="23919"/>
    <cellStyle name="Normal 7 3 2 4 10" xfId="23920"/>
    <cellStyle name="Normal 7 3 2 4 10 2" xfId="23921"/>
    <cellStyle name="Normal 7 3 2 4 10 2 2" xfId="23922"/>
    <cellStyle name="Normal 7 3 2 4 10 3" xfId="23923"/>
    <cellStyle name="Normal 7 3 2 4 10 3 2" xfId="23924"/>
    <cellStyle name="Normal 7 3 2 4 10 4" xfId="23925"/>
    <cellStyle name="Normal 7 3 2 4 10 4 2" xfId="23926"/>
    <cellStyle name="Normal 7 3 2 4 10 5" xfId="23927"/>
    <cellStyle name="Normal 7 3 2 4 11" xfId="23928"/>
    <cellStyle name="Normal 7 3 2 4 11 2" xfId="23929"/>
    <cellStyle name="Normal 7 3 2 4 12" xfId="23930"/>
    <cellStyle name="Normal 7 3 2 4 12 2" xfId="23931"/>
    <cellStyle name="Normal 7 3 2 4 13" xfId="23932"/>
    <cellStyle name="Normal 7 3 2 4 13 2" xfId="23933"/>
    <cellStyle name="Normal 7 3 2 4 14" xfId="23934"/>
    <cellStyle name="Normal 7 3 2 4 2" xfId="23935"/>
    <cellStyle name="Normal 7 3 2 4 2 10" xfId="23936"/>
    <cellStyle name="Normal 7 3 2 4 2 10 2" xfId="23937"/>
    <cellStyle name="Normal 7 3 2 4 2 11" xfId="23938"/>
    <cellStyle name="Normal 7 3 2 4 2 11 2" xfId="23939"/>
    <cellStyle name="Normal 7 3 2 4 2 12" xfId="23940"/>
    <cellStyle name="Normal 7 3 2 4 2 12 2" xfId="23941"/>
    <cellStyle name="Normal 7 3 2 4 2 13" xfId="23942"/>
    <cellStyle name="Normal 7 3 2 4 2 2" xfId="23943"/>
    <cellStyle name="Normal 7 3 2 4 2 2 2" xfId="23944"/>
    <cellStyle name="Normal 7 3 2 4 2 2 2 2" xfId="23945"/>
    <cellStyle name="Normal 7 3 2 4 2 2 2 2 2" xfId="23946"/>
    <cellStyle name="Normal 7 3 2 4 2 2 2 2 2 2" xfId="23947"/>
    <cellStyle name="Normal 7 3 2 4 2 2 2 2 3" xfId="23948"/>
    <cellStyle name="Normal 7 3 2 4 2 2 2 2 3 2" xfId="23949"/>
    <cellStyle name="Normal 7 3 2 4 2 2 2 2 4" xfId="23950"/>
    <cellStyle name="Normal 7 3 2 4 2 2 2 2 4 2" xfId="23951"/>
    <cellStyle name="Normal 7 3 2 4 2 2 2 2 5" xfId="23952"/>
    <cellStyle name="Normal 7 3 2 4 2 2 2 3" xfId="23953"/>
    <cellStyle name="Normal 7 3 2 4 2 2 2 3 2" xfId="23954"/>
    <cellStyle name="Normal 7 3 2 4 2 2 2 3 2 2" xfId="23955"/>
    <cellStyle name="Normal 7 3 2 4 2 2 2 3 3" xfId="23956"/>
    <cellStyle name="Normal 7 3 2 4 2 2 2 3 3 2" xfId="23957"/>
    <cellStyle name="Normal 7 3 2 4 2 2 2 3 4" xfId="23958"/>
    <cellStyle name="Normal 7 3 2 4 2 2 2 3 4 2" xfId="23959"/>
    <cellStyle name="Normal 7 3 2 4 2 2 2 3 5" xfId="23960"/>
    <cellStyle name="Normal 7 3 2 4 2 2 2 4" xfId="23961"/>
    <cellStyle name="Normal 7 3 2 4 2 2 2 4 2" xfId="23962"/>
    <cellStyle name="Normal 7 3 2 4 2 2 2 5" xfId="23963"/>
    <cellStyle name="Normal 7 3 2 4 2 2 2 5 2" xfId="23964"/>
    <cellStyle name="Normal 7 3 2 4 2 2 2 6" xfId="23965"/>
    <cellStyle name="Normal 7 3 2 4 2 2 2 6 2" xfId="23966"/>
    <cellStyle name="Normal 7 3 2 4 2 2 2 7" xfId="23967"/>
    <cellStyle name="Normal 7 3 2 4 2 2 3" xfId="23968"/>
    <cellStyle name="Normal 7 3 2 4 2 2 3 2" xfId="23969"/>
    <cellStyle name="Normal 7 3 2 4 2 2 3 2 2" xfId="23970"/>
    <cellStyle name="Normal 7 3 2 4 2 2 3 3" xfId="23971"/>
    <cellStyle name="Normal 7 3 2 4 2 2 3 3 2" xfId="23972"/>
    <cellStyle name="Normal 7 3 2 4 2 2 3 4" xfId="23973"/>
    <cellStyle name="Normal 7 3 2 4 2 2 3 4 2" xfId="23974"/>
    <cellStyle name="Normal 7 3 2 4 2 2 3 5" xfId="23975"/>
    <cellStyle name="Normal 7 3 2 4 2 2 4" xfId="23976"/>
    <cellStyle name="Normal 7 3 2 4 2 2 4 2" xfId="23977"/>
    <cellStyle name="Normal 7 3 2 4 2 2 4 2 2" xfId="23978"/>
    <cellStyle name="Normal 7 3 2 4 2 2 4 3" xfId="23979"/>
    <cellStyle name="Normal 7 3 2 4 2 2 4 3 2" xfId="23980"/>
    <cellStyle name="Normal 7 3 2 4 2 2 4 4" xfId="23981"/>
    <cellStyle name="Normal 7 3 2 4 2 2 4 4 2" xfId="23982"/>
    <cellStyle name="Normal 7 3 2 4 2 2 4 5" xfId="23983"/>
    <cellStyle name="Normal 7 3 2 4 2 2 5" xfId="23984"/>
    <cellStyle name="Normal 7 3 2 4 2 2 5 2" xfId="23985"/>
    <cellStyle name="Normal 7 3 2 4 2 2 6" xfId="23986"/>
    <cellStyle name="Normal 7 3 2 4 2 2 6 2" xfId="23987"/>
    <cellStyle name="Normal 7 3 2 4 2 2 7" xfId="23988"/>
    <cellStyle name="Normal 7 3 2 4 2 2 7 2" xfId="23989"/>
    <cellStyle name="Normal 7 3 2 4 2 2 8" xfId="23990"/>
    <cellStyle name="Normal 7 3 2 4 2 3" xfId="23991"/>
    <cellStyle name="Normal 7 3 2 4 2 3 2" xfId="23992"/>
    <cellStyle name="Normal 7 3 2 4 2 3 2 2" xfId="23993"/>
    <cellStyle name="Normal 7 3 2 4 2 3 2 2 2" xfId="23994"/>
    <cellStyle name="Normal 7 3 2 4 2 3 2 2 2 2" xfId="23995"/>
    <cellStyle name="Normal 7 3 2 4 2 3 2 2 3" xfId="23996"/>
    <cellStyle name="Normal 7 3 2 4 2 3 2 2 3 2" xfId="23997"/>
    <cellStyle name="Normal 7 3 2 4 2 3 2 2 4" xfId="23998"/>
    <cellStyle name="Normal 7 3 2 4 2 3 2 2 4 2" xfId="23999"/>
    <cellStyle name="Normal 7 3 2 4 2 3 2 2 5" xfId="24000"/>
    <cellStyle name="Normal 7 3 2 4 2 3 2 3" xfId="24001"/>
    <cellStyle name="Normal 7 3 2 4 2 3 2 3 2" xfId="24002"/>
    <cellStyle name="Normal 7 3 2 4 2 3 2 3 2 2" xfId="24003"/>
    <cellStyle name="Normal 7 3 2 4 2 3 2 3 3" xfId="24004"/>
    <cellStyle name="Normal 7 3 2 4 2 3 2 3 3 2" xfId="24005"/>
    <cellStyle name="Normal 7 3 2 4 2 3 2 3 4" xfId="24006"/>
    <cellStyle name="Normal 7 3 2 4 2 3 2 3 4 2" xfId="24007"/>
    <cellStyle name="Normal 7 3 2 4 2 3 2 3 5" xfId="24008"/>
    <cellStyle name="Normal 7 3 2 4 2 3 2 4" xfId="24009"/>
    <cellStyle name="Normal 7 3 2 4 2 3 2 4 2" xfId="24010"/>
    <cellStyle name="Normal 7 3 2 4 2 3 2 5" xfId="24011"/>
    <cellStyle name="Normal 7 3 2 4 2 3 2 5 2" xfId="24012"/>
    <cellStyle name="Normal 7 3 2 4 2 3 2 6" xfId="24013"/>
    <cellStyle name="Normal 7 3 2 4 2 3 2 6 2" xfId="24014"/>
    <cellStyle name="Normal 7 3 2 4 2 3 2 7" xfId="24015"/>
    <cellStyle name="Normal 7 3 2 4 2 3 3" xfId="24016"/>
    <cellStyle name="Normal 7 3 2 4 2 3 3 2" xfId="24017"/>
    <cellStyle name="Normal 7 3 2 4 2 3 3 2 2" xfId="24018"/>
    <cellStyle name="Normal 7 3 2 4 2 3 3 3" xfId="24019"/>
    <cellStyle name="Normal 7 3 2 4 2 3 3 3 2" xfId="24020"/>
    <cellStyle name="Normal 7 3 2 4 2 3 3 4" xfId="24021"/>
    <cellStyle name="Normal 7 3 2 4 2 3 3 4 2" xfId="24022"/>
    <cellStyle name="Normal 7 3 2 4 2 3 3 5" xfId="24023"/>
    <cellStyle name="Normal 7 3 2 4 2 3 4" xfId="24024"/>
    <cellStyle name="Normal 7 3 2 4 2 3 4 2" xfId="24025"/>
    <cellStyle name="Normal 7 3 2 4 2 3 4 2 2" xfId="24026"/>
    <cellStyle name="Normal 7 3 2 4 2 3 4 3" xfId="24027"/>
    <cellStyle name="Normal 7 3 2 4 2 3 4 3 2" xfId="24028"/>
    <cellStyle name="Normal 7 3 2 4 2 3 4 4" xfId="24029"/>
    <cellStyle name="Normal 7 3 2 4 2 3 4 4 2" xfId="24030"/>
    <cellStyle name="Normal 7 3 2 4 2 3 4 5" xfId="24031"/>
    <cellStyle name="Normal 7 3 2 4 2 3 5" xfId="24032"/>
    <cellStyle name="Normal 7 3 2 4 2 3 5 2" xfId="24033"/>
    <cellStyle name="Normal 7 3 2 4 2 3 6" xfId="24034"/>
    <cellStyle name="Normal 7 3 2 4 2 3 6 2" xfId="24035"/>
    <cellStyle name="Normal 7 3 2 4 2 3 7" xfId="24036"/>
    <cellStyle name="Normal 7 3 2 4 2 3 7 2" xfId="24037"/>
    <cellStyle name="Normal 7 3 2 4 2 3 8" xfId="24038"/>
    <cellStyle name="Normal 7 3 2 4 2 4" xfId="24039"/>
    <cellStyle name="Normal 7 3 2 4 2 4 2" xfId="24040"/>
    <cellStyle name="Normal 7 3 2 4 2 4 2 2" xfId="24041"/>
    <cellStyle name="Normal 7 3 2 4 2 4 2 2 2" xfId="24042"/>
    <cellStyle name="Normal 7 3 2 4 2 4 2 2 2 2" xfId="24043"/>
    <cellStyle name="Normal 7 3 2 4 2 4 2 2 3" xfId="24044"/>
    <cellStyle name="Normal 7 3 2 4 2 4 2 2 3 2" xfId="24045"/>
    <cellStyle name="Normal 7 3 2 4 2 4 2 2 4" xfId="24046"/>
    <cellStyle name="Normal 7 3 2 4 2 4 2 2 4 2" xfId="24047"/>
    <cellStyle name="Normal 7 3 2 4 2 4 2 2 5" xfId="24048"/>
    <cellStyle name="Normal 7 3 2 4 2 4 2 3" xfId="24049"/>
    <cellStyle name="Normal 7 3 2 4 2 4 2 3 2" xfId="24050"/>
    <cellStyle name="Normal 7 3 2 4 2 4 2 3 2 2" xfId="24051"/>
    <cellStyle name="Normal 7 3 2 4 2 4 2 3 3" xfId="24052"/>
    <cellStyle name="Normal 7 3 2 4 2 4 2 3 3 2" xfId="24053"/>
    <cellStyle name="Normal 7 3 2 4 2 4 2 3 4" xfId="24054"/>
    <cellStyle name="Normal 7 3 2 4 2 4 2 3 4 2" xfId="24055"/>
    <cellStyle name="Normal 7 3 2 4 2 4 2 3 5" xfId="24056"/>
    <cellStyle name="Normal 7 3 2 4 2 4 2 4" xfId="24057"/>
    <cellStyle name="Normal 7 3 2 4 2 4 2 4 2" xfId="24058"/>
    <cellStyle name="Normal 7 3 2 4 2 4 2 5" xfId="24059"/>
    <cellStyle name="Normal 7 3 2 4 2 4 2 5 2" xfId="24060"/>
    <cellStyle name="Normal 7 3 2 4 2 4 2 6" xfId="24061"/>
    <cellStyle name="Normal 7 3 2 4 2 4 2 6 2" xfId="24062"/>
    <cellStyle name="Normal 7 3 2 4 2 4 2 7" xfId="24063"/>
    <cellStyle name="Normal 7 3 2 4 2 4 3" xfId="24064"/>
    <cellStyle name="Normal 7 3 2 4 2 4 3 2" xfId="24065"/>
    <cellStyle name="Normal 7 3 2 4 2 4 3 2 2" xfId="24066"/>
    <cellStyle name="Normal 7 3 2 4 2 4 3 3" xfId="24067"/>
    <cellStyle name="Normal 7 3 2 4 2 4 3 3 2" xfId="24068"/>
    <cellStyle name="Normal 7 3 2 4 2 4 3 4" xfId="24069"/>
    <cellStyle name="Normal 7 3 2 4 2 4 3 4 2" xfId="24070"/>
    <cellStyle name="Normal 7 3 2 4 2 4 3 5" xfId="24071"/>
    <cellStyle name="Normal 7 3 2 4 2 4 4" xfId="24072"/>
    <cellStyle name="Normal 7 3 2 4 2 4 4 2" xfId="24073"/>
    <cellStyle name="Normal 7 3 2 4 2 4 4 2 2" xfId="24074"/>
    <cellStyle name="Normal 7 3 2 4 2 4 4 3" xfId="24075"/>
    <cellStyle name="Normal 7 3 2 4 2 4 4 3 2" xfId="24076"/>
    <cellStyle name="Normal 7 3 2 4 2 4 4 4" xfId="24077"/>
    <cellStyle name="Normal 7 3 2 4 2 4 4 4 2" xfId="24078"/>
    <cellStyle name="Normal 7 3 2 4 2 4 4 5" xfId="24079"/>
    <cellStyle name="Normal 7 3 2 4 2 4 5" xfId="24080"/>
    <cellStyle name="Normal 7 3 2 4 2 4 5 2" xfId="24081"/>
    <cellStyle name="Normal 7 3 2 4 2 4 6" xfId="24082"/>
    <cellStyle name="Normal 7 3 2 4 2 4 6 2" xfId="24083"/>
    <cellStyle name="Normal 7 3 2 4 2 4 7" xfId="24084"/>
    <cellStyle name="Normal 7 3 2 4 2 4 7 2" xfId="24085"/>
    <cellStyle name="Normal 7 3 2 4 2 4 8" xfId="24086"/>
    <cellStyle name="Normal 7 3 2 4 2 5" xfId="24087"/>
    <cellStyle name="Normal 7 3 2 4 2 5 2" xfId="24088"/>
    <cellStyle name="Normal 7 3 2 4 2 5 2 2" xfId="24089"/>
    <cellStyle name="Normal 7 3 2 4 2 5 2 2 2" xfId="24090"/>
    <cellStyle name="Normal 7 3 2 4 2 5 2 2 2 2" xfId="24091"/>
    <cellStyle name="Normal 7 3 2 4 2 5 2 2 3" xfId="24092"/>
    <cellStyle name="Normal 7 3 2 4 2 5 2 2 3 2" xfId="24093"/>
    <cellStyle name="Normal 7 3 2 4 2 5 2 2 4" xfId="24094"/>
    <cellStyle name="Normal 7 3 2 4 2 5 2 2 4 2" xfId="24095"/>
    <cellStyle name="Normal 7 3 2 4 2 5 2 2 5" xfId="24096"/>
    <cellStyle name="Normal 7 3 2 4 2 5 2 3" xfId="24097"/>
    <cellStyle name="Normal 7 3 2 4 2 5 2 3 2" xfId="24098"/>
    <cellStyle name="Normal 7 3 2 4 2 5 2 3 2 2" xfId="24099"/>
    <cellStyle name="Normal 7 3 2 4 2 5 2 3 3" xfId="24100"/>
    <cellStyle name="Normal 7 3 2 4 2 5 2 3 3 2" xfId="24101"/>
    <cellStyle name="Normal 7 3 2 4 2 5 2 3 4" xfId="24102"/>
    <cellStyle name="Normal 7 3 2 4 2 5 2 3 4 2" xfId="24103"/>
    <cellStyle name="Normal 7 3 2 4 2 5 2 3 5" xfId="24104"/>
    <cellStyle name="Normal 7 3 2 4 2 5 2 4" xfId="24105"/>
    <cellStyle name="Normal 7 3 2 4 2 5 2 4 2" xfId="24106"/>
    <cellStyle name="Normal 7 3 2 4 2 5 2 5" xfId="24107"/>
    <cellStyle name="Normal 7 3 2 4 2 5 2 5 2" xfId="24108"/>
    <cellStyle name="Normal 7 3 2 4 2 5 2 6" xfId="24109"/>
    <cellStyle name="Normal 7 3 2 4 2 5 2 6 2" xfId="24110"/>
    <cellStyle name="Normal 7 3 2 4 2 5 2 7" xfId="24111"/>
    <cellStyle name="Normal 7 3 2 4 2 5 3" xfId="24112"/>
    <cellStyle name="Normal 7 3 2 4 2 5 3 2" xfId="24113"/>
    <cellStyle name="Normal 7 3 2 4 2 5 3 2 2" xfId="24114"/>
    <cellStyle name="Normal 7 3 2 4 2 5 3 3" xfId="24115"/>
    <cellStyle name="Normal 7 3 2 4 2 5 3 3 2" xfId="24116"/>
    <cellStyle name="Normal 7 3 2 4 2 5 3 4" xfId="24117"/>
    <cellStyle name="Normal 7 3 2 4 2 5 3 4 2" xfId="24118"/>
    <cellStyle name="Normal 7 3 2 4 2 5 3 5" xfId="24119"/>
    <cellStyle name="Normal 7 3 2 4 2 5 4" xfId="24120"/>
    <cellStyle name="Normal 7 3 2 4 2 5 4 2" xfId="24121"/>
    <cellStyle name="Normal 7 3 2 4 2 5 4 2 2" xfId="24122"/>
    <cellStyle name="Normal 7 3 2 4 2 5 4 3" xfId="24123"/>
    <cellStyle name="Normal 7 3 2 4 2 5 4 3 2" xfId="24124"/>
    <cellStyle name="Normal 7 3 2 4 2 5 4 4" xfId="24125"/>
    <cellStyle name="Normal 7 3 2 4 2 5 4 4 2" xfId="24126"/>
    <cellStyle name="Normal 7 3 2 4 2 5 4 5" xfId="24127"/>
    <cellStyle name="Normal 7 3 2 4 2 5 5" xfId="24128"/>
    <cellStyle name="Normal 7 3 2 4 2 5 5 2" xfId="24129"/>
    <cellStyle name="Normal 7 3 2 4 2 5 6" xfId="24130"/>
    <cellStyle name="Normal 7 3 2 4 2 5 6 2" xfId="24131"/>
    <cellStyle name="Normal 7 3 2 4 2 5 7" xfId="24132"/>
    <cellStyle name="Normal 7 3 2 4 2 5 7 2" xfId="24133"/>
    <cellStyle name="Normal 7 3 2 4 2 5 8" xfId="24134"/>
    <cellStyle name="Normal 7 3 2 4 2 6" xfId="24135"/>
    <cellStyle name="Normal 7 3 2 4 2 6 2" xfId="24136"/>
    <cellStyle name="Normal 7 3 2 4 2 6 2 2" xfId="24137"/>
    <cellStyle name="Normal 7 3 2 4 2 6 2 2 2" xfId="24138"/>
    <cellStyle name="Normal 7 3 2 4 2 6 2 2 2 2" xfId="24139"/>
    <cellStyle name="Normal 7 3 2 4 2 6 2 2 3" xfId="24140"/>
    <cellStyle name="Normal 7 3 2 4 2 6 2 2 3 2" xfId="24141"/>
    <cellStyle name="Normal 7 3 2 4 2 6 2 2 4" xfId="24142"/>
    <cellStyle name="Normal 7 3 2 4 2 6 2 2 4 2" xfId="24143"/>
    <cellStyle name="Normal 7 3 2 4 2 6 2 2 5" xfId="24144"/>
    <cellStyle name="Normal 7 3 2 4 2 6 2 3" xfId="24145"/>
    <cellStyle name="Normal 7 3 2 4 2 6 2 3 2" xfId="24146"/>
    <cellStyle name="Normal 7 3 2 4 2 6 2 3 2 2" xfId="24147"/>
    <cellStyle name="Normal 7 3 2 4 2 6 2 3 3" xfId="24148"/>
    <cellStyle name="Normal 7 3 2 4 2 6 2 3 3 2" xfId="24149"/>
    <cellStyle name="Normal 7 3 2 4 2 6 2 3 4" xfId="24150"/>
    <cellStyle name="Normal 7 3 2 4 2 6 2 3 4 2" xfId="24151"/>
    <cellStyle name="Normal 7 3 2 4 2 6 2 3 5" xfId="24152"/>
    <cellStyle name="Normal 7 3 2 4 2 6 2 4" xfId="24153"/>
    <cellStyle name="Normal 7 3 2 4 2 6 2 4 2" xfId="24154"/>
    <cellStyle name="Normal 7 3 2 4 2 6 2 5" xfId="24155"/>
    <cellStyle name="Normal 7 3 2 4 2 6 2 5 2" xfId="24156"/>
    <cellStyle name="Normal 7 3 2 4 2 6 2 6" xfId="24157"/>
    <cellStyle name="Normal 7 3 2 4 2 6 2 6 2" xfId="24158"/>
    <cellStyle name="Normal 7 3 2 4 2 6 2 7" xfId="24159"/>
    <cellStyle name="Normal 7 3 2 4 2 6 3" xfId="24160"/>
    <cellStyle name="Normal 7 3 2 4 2 6 3 2" xfId="24161"/>
    <cellStyle name="Normal 7 3 2 4 2 6 3 2 2" xfId="24162"/>
    <cellStyle name="Normal 7 3 2 4 2 6 3 3" xfId="24163"/>
    <cellStyle name="Normal 7 3 2 4 2 6 3 3 2" xfId="24164"/>
    <cellStyle name="Normal 7 3 2 4 2 6 3 4" xfId="24165"/>
    <cellStyle name="Normal 7 3 2 4 2 6 3 4 2" xfId="24166"/>
    <cellStyle name="Normal 7 3 2 4 2 6 3 5" xfId="24167"/>
    <cellStyle name="Normal 7 3 2 4 2 6 4" xfId="24168"/>
    <cellStyle name="Normal 7 3 2 4 2 6 4 2" xfId="24169"/>
    <cellStyle name="Normal 7 3 2 4 2 6 4 2 2" xfId="24170"/>
    <cellStyle name="Normal 7 3 2 4 2 6 4 3" xfId="24171"/>
    <cellStyle name="Normal 7 3 2 4 2 6 4 3 2" xfId="24172"/>
    <cellStyle name="Normal 7 3 2 4 2 6 4 4" xfId="24173"/>
    <cellStyle name="Normal 7 3 2 4 2 6 4 4 2" xfId="24174"/>
    <cellStyle name="Normal 7 3 2 4 2 6 4 5" xfId="24175"/>
    <cellStyle name="Normal 7 3 2 4 2 6 5" xfId="24176"/>
    <cellStyle name="Normal 7 3 2 4 2 6 5 2" xfId="24177"/>
    <cellStyle name="Normal 7 3 2 4 2 6 6" xfId="24178"/>
    <cellStyle name="Normal 7 3 2 4 2 6 6 2" xfId="24179"/>
    <cellStyle name="Normal 7 3 2 4 2 6 7" xfId="24180"/>
    <cellStyle name="Normal 7 3 2 4 2 6 7 2" xfId="24181"/>
    <cellStyle name="Normal 7 3 2 4 2 6 8" xfId="24182"/>
    <cellStyle name="Normal 7 3 2 4 2 7" xfId="24183"/>
    <cellStyle name="Normal 7 3 2 4 2 7 2" xfId="24184"/>
    <cellStyle name="Normal 7 3 2 4 2 7 2 2" xfId="24185"/>
    <cellStyle name="Normal 7 3 2 4 2 7 2 2 2" xfId="24186"/>
    <cellStyle name="Normal 7 3 2 4 2 7 2 3" xfId="24187"/>
    <cellStyle name="Normal 7 3 2 4 2 7 2 3 2" xfId="24188"/>
    <cellStyle name="Normal 7 3 2 4 2 7 2 4" xfId="24189"/>
    <cellStyle name="Normal 7 3 2 4 2 7 2 4 2" xfId="24190"/>
    <cellStyle name="Normal 7 3 2 4 2 7 2 5" xfId="24191"/>
    <cellStyle name="Normal 7 3 2 4 2 7 3" xfId="24192"/>
    <cellStyle name="Normal 7 3 2 4 2 7 3 2" xfId="24193"/>
    <cellStyle name="Normal 7 3 2 4 2 7 3 2 2" xfId="24194"/>
    <cellStyle name="Normal 7 3 2 4 2 7 3 3" xfId="24195"/>
    <cellStyle name="Normal 7 3 2 4 2 7 3 3 2" xfId="24196"/>
    <cellStyle name="Normal 7 3 2 4 2 7 3 4" xfId="24197"/>
    <cellStyle name="Normal 7 3 2 4 2 7 3 4 2" xfId="24198"/>
    <cellStyle name="Normal 7 3 2 4 2 7 3 5" xfId="24199"/>
    <cellStyle name="Normal 7 3 2 4 2 7 4" xfId="24200"/>
    <cellStyle name="Normal 7 3 2 4 2 7 4 2" xfId="24201"/>
    <cellStyle name="Normal 7 3 2 4 2 7 5" xfId="24202"/>
    <cellStyle name="Normal 7 3 2 4 2 7 5 2" xfId="24203"/>
    <cellStyle name="Normal 7 3 2 4 2 7 6" xfId="24204"/>
    <cellStyle name="Normal 7 3 2 4 2 7 6 2" xfId="24205"/>
    <cellStyle name="Normal 7 3 2 4 2 7 7" xfId="24206"/>
    <cellStyle name="Normal 7 3 2 4 2 8" xfId="24207"/>
    <cellStyle name="Normal 7 3 2 4 2 8 2" xfId="24208"/>
    <cellStyle name="Normal 7 3 2 4 2 8 2 2" xfId="24209"/>
    <cellStyle name="Normal 7 3 2 4 2 8 3" xfId="24210"/>
    <cellStyle name="Normal 7 3 2 4 2 8 3 2" xfId="24211"/>
    <cellStyle name="Normal 7 3 2 4 2 8 4" xfId="24212"/>
    <cellStyle name="Normal 7 3 2 4 2 8 4 2" xfId="24213"/>
    <cellStyle name="Normal 7 3 2 4 2 8 5" xfId="24214"/>
    <cellStyle name="Normal 7 3 2 4 2 9" xfId="24215"/>
    <cellStyle name="Normal 7 3 2 4 2 9 2" xfId="24216"/>
    <cellStyle name="Normal 7 3 2 4 2 9 2 2" xfId="24217"/>
    <cellStyle name="Normal 7 3 2 4 2 9 3" xfId="24218"/>
    <cellStyle name="Normal 7 3 2 4 2 9 3 2" xfId="24219"/>
    <cellStyle name="Normal 7 3 2 4 2 9 4" xfId="24220"/>
    <cellStyle name="Normal 7 3 2 4 2 9 4 2" xfId="24221"/>
    <cellStyle name="Normal 7 3 2 4 2 9 5" xfId="24222"/>
    <cellStyle name="Normal 7 3 2 4 3" xfId="24223"/>
    <cellStyle name="Normal 7 3 2 4 3 2" xfId="24224"/>
    <cellStyle name="Normal 7 3 2 4 3 2 2" xfId="24225"/>
    <cellStyle name="Normal 7 3 2 4 3 2 2 2" xfId="24226"/>
    <cellStyle name="Normal 7 3 2 4 3 2 2 2 2" xfId="24227"/>
    <cellStyle name="Normal 7 3 2 4 3 2 2 3" xfId="24228"/>
    <cellStyle name="Normal 7 3 2 4 3 2 2 3 2" xfId="24229"/>
    <cellStyle name="Normal 7 3 2 4 3 2 2 4" xfId="24230"/>
    <cellStyle name="Normal 7 3 2 4 3 2 2 4 2" xfId="24231"/>
    <cellStyle name="Normal 7 3 2 4 3 2 2 5" xfId="24232"/>
    <cellStyle name="Normal 7 3 2 4 3 2 3" xfId="24233"/>
    <cellStyle name="Normal 7 3 2 4 3 2 3 2" xfId="24234"/>
    <cellStyle name="Normal 7 3 2 4 3 2 3 2 2" xfId="24235"/>
    <cellStyle name="Normal 7 3 2 4 3 2 3 3" xfId="24236"/>
    <cellStyle name="Normal 7 3 2 4 3 2 3 3 2" xfId="24237"/>
    <cellStyle name="Normal 7 3 2 4 3 2 3 4" xfId="24238"/>
    <cellStyle name="Normal 7 3 2 4 3 2 3 4 2" xfId="24239"/>
    <cellStyle name="Normal 7 3 2 4 3 2 3 5" xfId="24240"/>
    <cellStyle name="Normal 7 3 2 4 3 2 4" xfId="24241"/>
    <cellStyle name="Normal 7 3 2 4 3 2 4 2" xfId="24242"/>
    <cellStyle name="Normal 7 3 2 4 3 2 5" xfId="24243"/>
    <cellStyle name="Normal 7 3 2 4 3 2 5 2" xfId="24244"/>
    <cellStyle name="Normal 7 3 2 4 3 2 6" xfId="24245"/>
    <cellStyle name="Normal 7 3 2 4 3 2 6 2" xfId="24246"/>
    <cellStyle name="Normal 7 3 2 4 3 2 7" xfId="24247"/>
    <cellStyle name="Normal 7 3 2 4 3 3" xfId="24248"/>
    <cellStyle name="Normal 7 3 2 4 3 3 2" xfId="24249"/>
    <cellStyle name="Normal 7 3 2 4 3 3 2 2" xfId="24250"/>
    <cellStyle name="Normal 7 3 2 4 3 3 3" xfId="24251"/>
    <cellStyle name="Normal 7 3 2 4 3 3 3 2" xfId="24252"/>
    <cellStyle name="Normal 7 3 2 4 3 3 4" xfId="24253"/>
    <cellStyle name="Normal 7 3 2 4 3 3 4 2" xfId="24254"/>
    <cellStyle name="Normal 7 3 2 4 3 3 5" xfId="24255"/>
    <cellStyle name="Normal 7 3 2 4 3 4" xfId="24256"/>
    <cellStyle name="Normal 7 3 2 4 3 4 2" xfId="24257"/>
    <cellStyle name="Normal 7 3 2 4 3 4 2 2" xfId="24258"/>
    <cellStyle name="Normal 7 3 2 4 3 4 3" xfId="24259"/>
    <cellStyle name="Normal 7 3 2 4 3 4 3 2" xfId="24260"/>
    <cellStyle name="Normal 7 3 2 4 3 4 4" xfId="24261"/>
    <cellStyle name="Normal 7 3 2 4 3 4 4 2" xfId="24262"/>
    <cellStyle name="Normal 7 3 2 4 3 4 5" xfId="24263"/>
    <cellStyle name="Normal 7 3 2 4 3 5" xfId="24264"/>
    <cellStyle name="Normal 7 3 2 4 3 5 2" xfId="24265"/>
    <cellStyle name="Normal 7 3 2 4 3 6" xfId="24266"/>
    <cellStyle name="Normal 7 3 2 4 3 6 2" xfId="24267"/>
    <cellStyle name="Normal 7 3 2 4 3 7" xfId="24268"/>
    <cellStyle name="Normal 7 3 2 4 3 7 2" xfId="24269"/>
    <cellStyle name="Normal 7 3 2 4 3 8" xfId="24270"/>
    <cellStyle name="Normal 7 3 2 4 4" xfId="24271"/>
    <cellStyle name="Normal 7 3 2 4 4 2" xfId="24272"/>
    <cellStyle name="Normal 7 3 2 4 4 2 2" xfId="24273"/>
    <cellStyle name="Normal 7 3 2 4 4 2 2 2" xfId="24274"/>
    <cellStyle name="Normal 7 3 2 4 4 2 2 2 2" xfId="24275"/>
    <cellStyle name="Normal 7 3 2 4 4 2 2 3" xfId="24276"/>
    <cellStyle name="Normal 7 3 2 4 4 2 2 3 2" xfId="24277"/>
    <cellStyle name="Normal 7 3 2 4 4 2 2 4" xfId="24278"/>
    <cellStyle name="Normal 7 3 2 4 4 2 2 4 2" xfId="24279"/>
    <cellStyle name="Normal 7 3 2 4 4 2 2 5" xfId="24280"/>
    <cellStyle name="Normal 7 3 2 4 4 2 3" xfId="24281"/>
    <cellStyle name="Normal 7 3 2 4 4 2 3 2" xfId="24282"/>
    <cellStyle name="Normal 7 3 2 4 4 2 3 2 2" xfId="24283"/>
    <cellStyle name="Normal 7 3 2 4 4 2 3 3" xfId="24284"/>
    <cellStyle name="Normal 7 3 2 4 4 2 3 3 2" xfId="24285"/>
    <cellStyle name="Normal 7 3 2 4 4 2 3 4" xfId="24286"/>
    <cellStyle name="Normal 7 3 2 4 4 2 3 4 2" xfId="24287"/>
    <cellStyle name="Normal 7 3 2 4 4 2 3 5" xfId="24288"/>
    <cellStyle name="Normal 7 3 2 4 4 2 4" xfId="24289"/>
    <cellStyle name="Normal 7 3 2 4 4 2 4 2" xfId="24290"/>
    <cellStyle name="Normal 7 3 2 4 4 2 5" xfId="24291"/>
    <cellStyle name="Normal 7 3 2 4 4 2 5 2" xfId="24292"/>
    <cellStyle name="Normal 7 3 2 4 4 2 6" xfId="24293"/>
    <cellStyle name="Normal 7 3 2 4 4 2 6 2" xfId="24294"/>
    <cellStyle name="Normal 7 3 2 4 4 2 7" xfId="24295"/>
    <cellStyle name="Normal 7 3 2 4 4 3" xfId="24296"/>
    <cellStyle name="Normal 7 3 2 4 4 3 2" xfId="24297"/>
    <cellStyle name="Normal 7 3 2 4 4 3 2 2" xfId="24298"/>
    <cellStyle name="Normal 7 3 2 4 4 3 3" xfId="24299"/>
    <cellStyle name="Normal 7 3 2 4 4 3 3 2" xfId="24300"/>
    <cellStyle name="Normal 7 3 2 4 4 3 4" xfId="24301"/>
    <cellStyle name="Normal 7 3 2 4 4 3 4 2" xfId="24302"/>
    <cellStyle name="Normal 7 3 2 4 4 3 5" xfId="24303"/>
    <cellStyle name="Normal 7 3 2 4 4 4" xfId="24304"/>
    <cellStyle name="Normal 7 3 2 4 4 4 2" xfId="24305"/>
    <cellStyle name="Normal 7 3 2 4 4 4 2 2" xfId="24306"/>
    <cellStyle name="Normal 7 3 2 4 4 4 3" xfId="24307"/>
    <cellStyle name="Normal 7 3 2 4 4 4 3 2" xfId="24308"/>
    <cellStyle name="Normal 7 3 2 4 4 4 4" xfId="24309"/>
    <cellStyle name="Normal 7 3 2 4 4 4 4 2" xfId="24310"/>
    <cellStyle name="Normal 7 3 2 4 4 4 5" xfId="24311"/>
    <cellStyle name="Normal 7 3 2 4 4 5" xfId="24312"/>
    <cellStyle name="Normal 7 3 2 4 4 5 2" xfId="24313"/>
    <cellStyle name="Normal 7 3 2 4 4 6" xfId="24314"/>
    <cellStyle name="Normal 7 3 2 4 4 6 2" xfId="24315"/>
    <cellStyle name="Normal 7 3 2 4 4 7" xfId="24316"/>
    <cellStyle name="Normal 7 3 2 4 4 7 2" xfId="24317"/>
    <cellStyle name="Normal 7 3 2 4 4 8" xfId="24318"/>
    <cellStyle name="Normal 7 3 2 4 5" xfId="24319"/>
    <cellStyle name="Normal 7 3 2 4 5 2" xfId="24320"/>
    <cellStyle name="Normal 7 3 2 4 5 2 2" xfId="24321"/>
    <cellStyle name="Normal 7 3 2 4 5 2 2 2" xfId="24322"/>
    <cellStyle name="Normal 7 3 2 4 5 2 2 2 2" xfId="24323"/>
    <cellStyle name="Normal 7 3 2 4 5 2 2 3" xfId="24324"/>
    <cellStyle name="Normal 7 3 2 4 5 2 2 3 2" xfId="24325"/>
    <cellStyle name="Normal 7 3 2 4 5 2 2 4" xfId="24326"/>
    <cellStyle name="Normal 7 3 2 4 5 2 2 4 2" xfId="24327"/>
    <cellStyle name="Normal 7 3 2 4 5 2 2 5" xfId="24328"/>
    <cellStyle name="Normal 7 3 2 4 5 2 3" xfId="24329"/>
    <cellStyle name="Normal 7 3 2 4 5 2 3 2" xfId="24330"/>
    <cellStyle name="Normal 7 3 2 4 5 2 3 2 2" xfId="24331"/>
    <cellStyle name="Normal 7 3 2 4 5 2 3 3" xfId="24332"/>
    <cellStyle name="Normal 7 3 2 4 5 2 3 3 2" xfId="24333"/>
    <cellStyle name="Normal 7 3 2 4 5 2 3 4" xfId="24334"/>
    <cellStyle name="Normal 7 3 2 4 5 2 3 4 2" xfId="24335"/>
    <cellStyle name="Normal 7 3 2 4 5 2 3 5" xfId="24336"/>
    <cellStyle name="Normal 7 3 2 4 5 2 4" xfId="24337"/>
    <cellStyle name="Normal 7 3 2 4 5 2 4 2" xfId="24338"/>
    <cellStyle name="Normal 7 3 2 4 5 2 5" xfId="24339"/>
    <cellStyle name="Normal 7 3 2 4 5 2 5 2" xfId="24340"/>
    <cellStyle name="Normal 7 3 2 4 5 2 6" xfId="24341"/>
    <cellStyle name="Normal 7 3 2 4 5 2 6 2" xfId="24342"/>
    <cellStyle name="Normal 7 3 2 4 5 2 7" xfId="24343"/>
    <cellStyle name="Normal 7 3 2 4 5 3" xfId="24344"/>
    <cellStyle name="Normal 7 3 2 4 5 3 2" xfId="24345"/>
    <cellStyle name="Normal 7 3 2 4 5 3 2 2" xfId="24346"/>
    <cellStyle name="Normal 7 3 2 4 5 3 3" xfId="24347"/>
    <cellStyle name="Normal 7 3 2 4 5 3 3 2" xfId="24348"/>
    <cellStyle name="Normal 7 3 2 4 5 3 4" xfId="24349"/>
    <cellStyle name="Normal 7 3 2 4 5 3 4 2" xfId="24350"/>
    <cellStyle name="Normal 7 3 2 4 5 3 5" xfId="24351"/>
    <cellStyle name="Normal 7 3 2 4 5 4" xfId="24352"/>
    <cellStyle name="Normal 7 3 2 4 5 4 2" xfId="24353"/>
    <cellStyle name="Normal 7 3 2 4 5 4 2 2" xfId="24354"/>
    <cellStyle name="Normal 7 3 2 4 5 4 3" xfId="24355"/>
    <cellStyle name="Normal 7 3 2 4 5 4 3 2" xfId="24356"/>
    <cellStyle name="Normal 7 3 2 4 5 4 4" xfId="24357"/>
    <cellStyle name="Normal 7 3 2 4 5 4 4 2" xfId="24358"/>
    <cellStyle name="Normal 7 3 2 4 5 4 5" xfId="24359"/>
    <cellStyle name="Normal 7 3 2 4 5 5" xfId="24360"/>
    <cellStyle name="Normal 7 3 2 4 5 5 2" xfId="24361"/>
    <cellStyle name="Normal 7 3 2 4 5 6" xfId="24362"/>
    <cellStyle name="Normal 7 3 2 4 5 6 2" xfId="24363"/>
    <cellStyle name="Normal 7 3 2 4 5 7" xfId="24364"/>
    <cellStyle name="Normal 7 3 2 4 5 7 2" xfId="24365"/>
    <cellStyle name="Normal 7 3 2 4 5 8" xfId="24366"/>
    <cellStyle name="Normal 7 3 2 4 6" xfId="24367"/>
    <cellStyle name="Normal 7 3 2 4 6 2" xfId="24368"/>
    <cellStyle name="Normal 7 3 2 4 6 2 2" xfId="24369"/>
    <cellStyle name="Normal 7 3 2 4 6 2 2 2" xfId="24370"/>
    <cellStyle name="Normal 7 3 2 4 6 2 2 2 2" xfId="24371"/>
    <cellStyle name="Normal 7 3 2 4 6 2 2 3" xfId="24372"/>
    <cellStyle name="Normal 7 3 2 4 6 2 2 3 2" xfId="24373"/>
    <cellStyle name="Normal 7 3 2 4 6 2 2 4" xfId="24374"/>
    <cellStyle name="Normal 7 3 2 4 6 2 2 4 2" xfId="24375"/>
    <cellStyle name="Normal 7 3 2 4 6 2 2 5" xfId="24376"/>
    <cellStyle name="Normal 7 3 2 4 6 2 3" xfId="24377"/>
    <cellStyle name="Normal 7 3 2 4 6 2 3 2" xfId="24378"/>
    <cellStyle name="Normal 7 3 2 4 6 2 3 2 2" xfId="24379"/>
    <cellStyle name="Normal 7 3 2 4 6 2 3 3" xfId="24380"/>
    <cellStyle name="Normal 7 3 2 4 6 2 3 3 2" xfId="24381"/>
    <cellStyle name="Normal 7 3 2 4 6 2 3 4" xfId="24382"/>
    <cellStyle name="Normal 7 3 2 4 6 2 3 4 2" xfId="24383"/>
    <cellStyle name="Normal 7 3 2 4 6 2 3 5" xfId="24384"/>
    <cellStyle name="Normal 7 3 2 4 6 2 4" xfId="24385"/>
    <cellStyle name="Normal 7 3 2 4 6 2 4 2" xfId="24386"/>
    <cellStyle name="Normal 7 3 2 4 6 2 5" xfId="24387"/>
    <cellStyle name="Normal 7 3 2 4 6 2 5 2" xfId="24388"/>
    <cellStyle name="Normal 7 3 2 4 6 2 6" xfId="24389"/>
    <cellStyle name="Normal 7 3 2 4 6 2 6 2" xfId="24390"/>
    <cellStyle name="Normal 7 3 2 4 6 2 7" xfId="24391"/>
    <cellStyle name="Normal 7 3 2 4 6 3" xfId="24392"/>
    <cellStyle name="Normal 7 3 2 4 6 3 2" xfId="24393"/>
    <cellStyle name="Normal 7 3 2 4 6 3 2 2" xfId="24394"/>
    <cellStyle name="Normal 7 3 2 4 6 3 3" xfId="24395"/>
    <cellStyle name="Normal 7 3 2 4 6 3 3 2" xfId="24396"/>
    <cellStyle name="Normal 7 3 2 4 6 3 4" xfId="24397"/>
    <cellStyle name="Normal 7 3 2 4 6 3 4 2" xfId="24398"/>
    <cellStyle name="Normal 7 3 2 4 6 3 5" xfId="24399"/>
    <cellStyle name="Normal 7 3 2 4 6 4" xfId="24400"/>
    <cellStyle name="Normal 7 3 2 4 6 4 2" xfId="24401"/>
    <cellStyle name="Normal 7 3 2 4 6 4 2 2" xfId="24402"/>
    <cellStyle name="Normal 7 3 2 4 6 4 3" xfId="24403"/>
    <cellStyle name="Normal 7 3 2 4 6 4 3 2" xfId="24404"/>
    <cellStyle name="Normal 7 3 2 4 6 4 4" xfId="24405"/>
    <cellStyle name="Normal 7 3 2 4 6 4 4 2" xfId="24406"/>
    <cellStyle name="Normal 7 3 2 4 6 4 5" xfId="24407"/>
    <cellStyle name="Normal 7 3 2 4 6 5" xfId="24408"/>
    <cellStyle name="Normal 7 3 2 4 6 5 2" xfId="24409"/>
    <cellStyle name="Normal 7 3 2 4 6 6" xfId="24410"/>
    <cellStyle name="Normal 7 3 2 4 6 6 2" xfId="24411"/>
    <cellStyle name="Normal 7 3 2 4 6 7" xfId="24412"/>
    <cellStyle name="Normal 7 3 2 4 6 7 2" xfId="24413"/>
    <cellStyle name="Normal 7 3 2 4 6 8" xfId="24414"/>
    <cellStyle name="Normal 7 3 2 4 7" xfId="24415"/>
    <cellStyle name="Normal 7 3 2 4 7 2" xfId="24416"/>
    <cellStyle name="Normal 7 3 2 4 7 2 2" xfId="24417"/>
    <cellStyle name="Normal 7 3 2 4 7 2 2 2" xfId="24418"/>
    <cellStyle name="Normal 7 3 2 4 7 2 2 2 2" xfId="24419"/>
    <cellStyle name="Normal 7 3 2 4 7 2 2 3" xfId="24420"/>
    <cellStyle name="Normal 7 3 2 4 7 2 2 3 2" xfId="24421"/>
    <cellStyle name="Normal 7 3 2 4 7 2 2 4" xfId="24422"/>
    <cellStyle name="Normal 7 3 2 4 7 2 2 4 2" xfId="24423"/>
    <cellStyle name="Normal 7 3 2 4 7 2 2 5" xfId="24424"/>
    <cellStyle name="Normal 7 3 2 4 7 2 3" xfId="24425"/>
    <cellStyle name="Normal 7 3 2 4 7 2 3 2" xfId="24426"/>
    <cellStyle name="Normal 7 3 2 4 7 2 3 2 2" xfId="24427"/>
    <cellStyle name="Normal 7 3 2 4 7 2 3 3" xfId="24428"/>
    <cellStyle name="Normal 7 3 2 4 7 2 3 3 2" xfId="24429"/>
    <cellStyle name="Normal 7 3 2 4 7 2 3 4" xfId="24430"/>
    <cellStyle name="Normal 7 3 2 4 7 2 3 4 2" xfId="24431"/>
    <cellStyle name="Normal 7 3 2 4 7 2 3 5" xfId="24432"/>
    <cellStyle name="Normal 7 3 2 4 7 2 4" xfId="24433"/>
    <cellStyle name="Normal 7 3 2 4 7 2 4 2" xfId="24434"/>
    <cellStyle name="Normal 7 3 2 4 7 2 5" xfId="24435"/>
    <cellStyle name="Normal 7 3 2 4 7 2 5 2" xfId="24436"/>
    <cellStyle name="Normal 7 3 2 4 7 2 6" xfId="24437"/>
    <cellStyle name="Normal 7 3 2 4 7 2 6 2" xfId="24438"/>
    <cellStyle name="Normal 7 3 2 4 7 2 7" xfId="24439"/>
    <cellStyle name="Normal 7 3 2 4 7 3" xfId="24440"/>
    <cellStyle name="Normal 7 3 2 4 7 3 2" xfId="24441"/>
    <cellStyle name="Normal 7 3 2 4 7 3 2 2" xfId="24442"/>
    <cellStyle name="Normal 7 3 2 4 7 3 3" xfId="24443"/>
    <cellStyle name="Normal 7 3 2 4 7 3 3 2" xfId="24444"/>
    <cellStyle name="Normal 7 3 2 4 7 3 4" xfId="24445"/>
    <cellStyle name="Normal 7 3 2 4 7 3 4 2" xfId="24446"/>
    <cellStyle name="Normal 7 3 2 4 7 3 5" xfId="24447"/>
    <cellStyle name="Normal 7 3 2 4 7 4" xfId="24448"/>
    <cellStyle name="Normal 7 3 2 4 7 4 2" xfId="24449"/>
    <cellStyle name="Normal 7 3 2 4 7 4 2 2" xfId="24450"/>
    <cellStyle name="Normal 7 3 2 4 7 4 3" xfId="24451"/>
    <cellStyle name="Normal 7 3 2 4 7 4 3 2" xfId="24452"/>
    <cellStyle name="Normal 7 3 2 4 7 4 4" xfId="24453"/>
    <cellStyle name="Normal 7 3 2 4 7 4 4 2" xfId="24454"/>
    <cellStyle name="Normal 7 3 2 4 7 4 5" xfId="24455"/>
    <cellStyle name="Normal 7 3 2 4 7 5" xfId="24456"/>
    <cellStyle name="Normal 7 3 2 4 7 5 2" xfId="24457"/>
    <cellStyle name="Normal 7 3 2 4 7 6" xfId="24458"/>
    <cellStyle name="Normal 7 3 2 4 7 6 2" xfId="24459"/>
    <cellStyle name="Normal 7 3 2 4 7 7" xfId="24460"/>
    <cellStyle name="Normal 7 3 2 4 7 7 2" xfId="24461"/>
    <cellStyle name="Normal 7 3 2 4 7 8" xfId="24462"/>
    <cellStyle name="Normal 7 3 2 4 8" xfId="24463"/>
    <cellStyle name="Normal 7 3 2 4 8 2" xfId="24464"/>
    <cellStyle name="Normal 7 3 2 4 8 2 2" xfId="24465"/>
    <cellStyle name="Normal 7 3 2 4 8 2 2 2" xfId="24466"/>
    <cellStyle name="Normal 7 3 2 4 8 2 3" xfId="24467"/>
    <cellStyle name="Normal 7 3 2 4 8 2 3 2" xfId="24468"/>
    <cellStyle name="Normal 7 3 2 4 8 2 4" xfId="24469"/>
    <cellStyle name="Normal 7 3 2 4 8 2 4 2" xfId="24470"/>
    <cellStyle name="Normal 7 3 2 4 8 2 5" xfId="24471"/>
    <cellStyle name="Normal 7 3 2 4 8 3" xfId="24472"/>
    <cellStyle name="Normal 7 3 2 4 8 3 2" xfId="24473"/>
    <cellStyle name="Normal 7 3 2 4 8 3 2 2" xfId="24474"/>
    <cellStyle name="Normal 7 3 2 4 8 3 3" xfId="24475"/>
    <cellStyle name="Normal 7 3 2 4 8 3 3 2" xfId="24476"/>
    <cellStyle name="Normal 7 3 2 4 8 3 4" xfId="24477"/>
    <cellStyle name="Normal 7 3 2 4 8 3 4 2" xfId="24478"/>
    <cellStyle name="Normal 7 3 2 4 8 3 5" xfId="24479"/>
    <cellStyle name="Normal 7 3 2 4 8 4" xfId="24480"/>
    <cellStyle name="Normal 7 3 2 4 8 4 2" xfId="24481"/>
    <cellStyle name="Normal 7 3 2 4 8 5" xfId="24482"/>
    <cellStyle name="Normal 7 3 2 4 8 5 2" xfId="24483"/>
    <cellStyle name="Normal 7 3 2 4 8 6" xfId="24484"/>
    <cellStyle name="Normal 7 3 2 4 8 6 2" xfId="24485"/>
    <cellStyle name="Normal 7 3 2 4 8 7" xfId="24486"/>
    <cellStyle name="Normal 7 3 2 4 9" xfId="24487"/>
    <cellStyle name="Normal 7 3 2 4 9 2" xfId="24488"/>
    <cellStyle name="Normal 7 3 2 4 9 2 2" xfId="24489"/>
    <cellStyle name="Normal 7 3 2 4 9 3" xfId="24490"/>
    <cellStyle name="Normal 7 3 2 4 9 3 2" xfId="24491"/>
    <cellStyle name="Normal 7 3 2 4 9 4" xfId="24492"/>
    <cellStyle name="Normal 7 3 2 4 9 4 2" xfId="24493"/>
    <cellStyle name="Normal 7 3 2 4 9 5" xfId="24494"/>
    <cellStyle name="Normal 7 3 2 5" xfId="24495"/>
    <cellStyle name="Normal 7 3 2 5 10" xfId="24496"/>
    <cellStyle name="Normal 7 3 2 5 10 2" xfId="24497"/>
    <cellStyle name="Normal 7 3 2 5 10 2 2" xfId="24498"/>
    <cellStyle name="Normal 7 3 2 5 10 3" xfId="24499"/>
    <cellStyle name="Normal 7 3 2 5 10 3 2" xfId="24500"/>
    <cellStyle name="Normal 7 3 2 5 10 4" xfId="24501"/>
    <cellStyle name="Normal 7 3 2 5 10 4 2" xfId="24502"/>
    <cellStyle name="Normal 7 3 2 5 10 5" xfId="24503"/>
    <cellStyle name="Normal 7 3 2 5 11" xfId="24504"/>
    <cellStyle name="Normal 7 3 2 5 11 2" xfId="24505"/>
    <cellStyle name="Normal 7 3 2 5 12" xfId="24506"/>
    <cellStyle name="Normal 7 3 2 5 12 2" xfId="24507"/>
    <cellStyle name="Normal 7 3 2 5 13" xfId="24508"/>
    <cellStyle name="Normal 7 3 2 5 13 2" xfId="24509"/>
    <cellStyle name="Normal 7 3 2 5 14" xfId="24510"/>
    <cellStyle name="Normal 7 3 2 5 2" xfId="24511"/>
    <cellStyle name="Normal 7 3 2 5 2 10" xfId="24512"/>
    <cellStyle name="Normal 7 3 2 5 2 10 2" xfId="24513"/>
    <cellStyle name="Normal 7 3 2 5 2 11" xfId="24514"/>
    <cellStyle name="Normal 7 3 2 5 2 11 2" xfId="24515"/>
    <cellStyle name="Normal 7 3 2 5 2 12" xfId="24516"/>
    <cellStyle name="Normal 7 3 2 5 2 12 2" xfId="24517"/>
    <cellStyle name="Normal 7 3 2 5 2 13" xfId="24518"/>
    <cellStyle name="Normal 7 3 2 5 2 2" xfId="24519"/>
    <cellStyle name="Normal 7 3 2 5 2 2 2" xfId="24520"/>
    <cellStyle name="Normal 7 3 2 5 2 2 2 2" xfId="24521"/>
    <cellStyle name="Normal 7 3 2 5 2 2 2 2 2" xfId="24522"/>
    <cellStyle name="Normal 7 3 2 5 2 2 2 2 2 2" xfId="24523"/>
    <cellStyle name="Normal 7 3 2 5 2 2 2 2 3" xfId="24524"/>
    <cellStyle name="Normal 7 3 2 5 2 2 2 2 3 2" xfId="24525"/>
    <cellStyle name="Normal 7 3 2 5 2 2 2 2 4" xfId="24526"/>
    <cellStyle name="Normal 7 3 2 5 2 2 2 2 4 2" xfId="24527"/>
    <cellStyle name="Normal 7 3 2 5 2 2 2 2 5" xfId="24528"/>
    <cellStyle name="Normal 7 3 2 5 2 2 2 3" xfId="24529"/>
    <cellStyle name="Normal 7 3 2 5 2 2 2 3 2" xfId="24530"/>
    <cellStyle name="Normal 7 3 2 5 2 2 2 3 2 2" xfId="24531"/>
    <cellStyle name="Normal 7 3 2 5 2 2 2 3 3" xfId="24532"/>
    <cellStyle name="Normal 7 3 2 5 2 2 2 3 3 2" xfId="24533"/>
    <cellStyle name="Normal 7 3 2 5 2 2 2 3 4" xfId="24534"/>
    <cellStyle name="Normal 7 3 2 5 2 2 2 3 4 2" xfId="24535"/>
    <cellStyle name="Normal 7 3 2 5 2 2 2 3 5" xfId="24536"/>
    <cellStyle name="Normal 7 3 2 5 2 2 2 4" xfId="24537"/>
    <cellStyle name="Normal 7 3 2 5 2 2 2 4 2" xfId="24538"/>
    <cellStyle name="Normal 7 3 2 5 2 2 2 5" xfId="24539"/>
    <cellStyle name="Normal 7 3 2 5 2 2 2 5 2" xfId="24540"/>
    <cellStyle name="Normal 7 3 2 5 2 2 2 6" xfId="24541"/>
    <cellStyle name="Normal 7 3 2 5 2 2 2 6 2" xfId="24542"/>
    <cellStyle name="Normal 7 3 2 5 2 2 2 7" xfId="24543"/>
    <cellStyle name="Normal 7 3 2 5 2 2 3" xfId="24544"/>
    <cellStyle name="Normal 7 3 2 5 2 2 3 2" xfId="24545"/>
    <cellStyle name="Normal 7 3 2 5 2 2 3 2 2" xfId="24546"/>
    <cellStyle name="Normal 7 3 2 5 2 2 3 3" xfId="24547"/>
    <cellStyle name="Normal 7 3 2 5 2 2 3 3 2" xfId="24548"/>
    <cellStyle name="Normal 7 3 2 5 2 2 3 4" xfId="24549"/>
    <cellStyle name="Normal 7 3 2 5 2 2 3 4 2" xfId="24550"/>
    <cellStyle name="Normal 7 3 2 5 2 2 3 5" xfId="24551"/>
    <cellStyle name="Normal 7 3 2 5 2 2 4" xfId="24552"/>
    <cellStyle name="Normal 7 3 2 5 2 2 4 2" xfId="24553"/>
    <cellStyle name="Normal 7 3 2 5 2 2 4 2 2" xfId="24554"/>
    <cellStyle name="Normal 7 3 2 5 2 2 4 3" xfId="24555"/>
    <cellStyle name="Normal 7 3 2 5 2 2 4 3 2" xfId="24556"/>
    <cellStyle name="Normal 7 3 2 5 2 2 4 4" xfId="24557"/>
    <cellStyle name="Normal 7 3 2 5 2 2 4 4 2" xfId="24558"/>
    <cellStyle name="Normal 7 3 2 5 2 2 4 5" xfId="24559"/>
    <cellStyle name="Normal 7 3 2 5 2 2 5" xfId="24560"/>
    <cellStyle name="Normal 7 3 2 5 2 2 5 2" xfId="24561"/>
    <cellStyle name="Normal 7 3 2 5 2 2 6" xfId="24562"/>
    <cellStyle name="Normal 7 3 2 5 2 2 6 2" xfId="24563"/>
    <cellStyle name="Normal 7 3 2 5 2 2 7" xfId="24564"/>
    <cellStyle name="Normal 7 3 2 5 2 2 7 2" xfId="24565"/>
    <cellStyle name="Normal 7 3 2 5 2 2 8" xfId="24566"/>
    <cellStyle name="Normal 7 3 2 5 2 3" xfId="24567"/>
    <cellStyle name="Normal 7 3 2 5 2 3 2" xfId="24568"/>
    <cellStyle name="Normal 7 3 2 5 2 3 2 2" xfId="24569"/>
    <cellStyle name="Normal 7 3 2 5 2 3 2 2 2" xfId="24570"/>
    <cellStyle name="Normal 7 3 2 5 2 3 2 2 2 2" xfId="24571"/>
    <cellStyle name="Normal 7 3 2 5 2 3 2 2 3" xfId="24572"/>
    <cellStyle name="Normal 7 3 2 5 2 3 2 2 3 2" xfId="24573"/>
    <cellStyle name="Normal 7 3 2 5 2 3 2 2 4" xfId="24574"/>
    <cellStyle name="Normal 7 3 2 5 2 3 2 2 4 2" xfId="24575"/>
    <cellStyle name="Normal 7 3 2 5 2 3 2 2 5" xfId="24576"/>
    <cellStyle name="Normal 7 3 2 5 2 3 2 3" xfId="24577"/>
    <cellStyle name="Normal 7 3 2 5 2 3 2 3 2" xfId="24578"/>
    <cellStyle name="Normal 7 3 2 5 2 3 2 3 2 2" xfId="24579"/>
    <cellStyle name="Normal 7 3 2 5 2 3 2 3 3" xfId="24580"/>
    <cellStyle name="Normal 7 3 2 5 2 3 2 3 3 2" xfId="24581"/>
    <cellStyle name="Normal 7 3 2 5 2 3 2 3 4" xfId="24582"/>
    <cellStyle name="Normal 7 3 2 5 2 3 2 3 4 2" xfId="24583"/>
    <cellStyle name="Normal 7 3 2 5 2 3 2 3 5" xfId="24584"/>
    <cellStyle name="Normal 7 3 2 5 2 3 2 4" xfId="24585"/>
    <cellStyle name="Normal 7 3 2 5 2 3 2 4 2" xfId="24586"/>
    <cellStyle name="Normal 7 3 2 5 2 3 2 5" xfId="24587"/>
    <cellStyle name="Normal 7 3 2 5 2 3 2 5 2" xfId="24588"/>
    <cellStyle name="Normal 7 3 2 5 2 3 2 6" xfId="24589"/>
    <cellStyle name="Normal 7 3 2 5 2 3 2 6 2" xfId="24590"/>
    <cellStyle name="Normal 7 3 2 5 2 3 2 7" xfId="24591"/>
    <cellStyle name="Normal 7 3 2 5 2 3 3" xfId="24592"/>
    <cellStyle name="Normal 7 3 2 5 2 3 3 2" xfId="24593"/>
    <cellStyle name="Normal 7 3 2 5 2 3 3 2 2" xfId="24594"/>
    <cellStyle name="Normal 7 3 2 5 2 3 3 3" xfId="24595"/>
    <cellStyle name="Normal 7 3 2 5 2 3 3 3 2" xfId="24596"/>
    <cellStyle name="Normal 7 3 2 5 2 3 3 4" xfId="24597"/>
    <cellStyle name="Normal 7 3 2 5 2 3 3 4 2" xfId="24598"/>
    <cellStyle name="Normal 7 3 2 5 2 3 3 5" xfId="24599"/>
    <cellStyle name="Normal 7 3 2 5 2 3 4" xfId="24600"/>
    <cellStyle name="Normal 7 3 2 5 2 3 4 2" xfId="24601"/>
    <cellStyle name="Normal 7 3 2 5 2 3 4 2 2" xfId="24602"/>
    <cellStyle name="Normal 7 3 2 5 2 3 4 3" xfId="24603"/>
    <cellStyle name="Normal 7 3 2 5 2 3 4 3 2" xfId="24604"/>
    <cellStyle name="Normal 7 3 2 5 2 3 4 4" xfId="24605"/>
    <cellStyle name="Normal 7 3 2 5 2 3 4 4 2" xfId="24606"/>
    <cellStyle name="Normal 7 3 2 5 2 3 4 5" xfId="24607"/>
    <cellStyle name="Normal 7 3 2 5 2 3 5" xfId="24608"/>
    <cellStyle name="Normal 7 3 2 5 2 3 5 2" xfId="24609"/>
    <cellStyle name="Normal 7 3 2 5 2 3 6" xfId="24610"/>
    <cellStyle name="Normal 7 3 2 5 2 3 6 2" xfId="24611"/>
    <cellStyle name="Normal 7 3 2 5 2 3 7" xfId="24612"/>
    <cellStyle name="Normal 7 3 2 5 2 3 7 2" xfId="24613"/>
    <cellStyle name="Normal 7 3 2 5 2 3 8" xfId="24614"/>
    <cellStyle name="Normal 7 3 2 5 2 4" xfId="24615"/>
    <cellStyle name="Normal 7 3 2 5 2 4 2" xfId="24616"/>
    <cellStyle name="Normal 7 3 2 5 2 4 2 2" xfId="24617"/>
    <cellStyle name="Normal 7 3 2 5 2 4 2 2 2" xfId="24618"/>
    <cellStyle name="Normal 7 3 2 5 2 4 2 2 2 2" xfId="24619"/>
    <cellStyle name="Normal 7 3 2 5 2 4 2 2 3" xfId="24620"/>
    <cellStyle name="Normal 7 3 2 5 2 4 2 2 3 2" xfId="24621"/>
    <cellStyle name="Normal 7 3 2 5 2 4 2 2 4" xfId="24622"/>
    <cellStyle name="Normal 7 3 2 5 2 4 2 2 4 2" xfId="24623"/>
    <cellStyle name="Normal 7 3 2 5 2 4 2 2 5" xfId="24624"/>
    <cellStyle name="Normal 7 3 2 5 2 4 2 3" xfId="24625"/>
    <cellStyle name="Normal 7 3 2 5 2 4 2 3 2" xfId="24626"/>
    <cellStyle name="Normal 7 3 2 5 2 4 2 3 2 2" xfId="24627"/>
    <cellStyle name="Normal 7 3 2 5 2 4 2 3 3" xfId="24628"/>
    <cellStyle name="Normal 7 3 2 5 2 4 2 3 3 2" xfId="24629"/>
    <cellStyle name="Normal 7 3 2 5 2 4 2 3 4" xfId="24630"/>
    <cellStyle name="Normal 7 3 2 5 2 4 2 3 4 2" xfId="24631"/>
    <cellStyle name="Normal 7 3 2 5 2 4 2 3 5" xfId="24632"/>
    <cellStyle name="Normal 7 3 2 5 2 4 2 4" xfId="24633"/>
    <cellStyle name="Normal 7 3 2 5 2 4 2 4 2" xfId="24634"/>
    <cellStyle name="Normal 7 3 2 5 2 4 2 5" xfId="24635"/>
    <cellStyle name="Normal 7 3 2 5 2 4 2 5 2" xfId="24636"/>
    <cellStyle name="Normal 7 3 2 5 2 4 2 6" xfId="24637"/>
    <cellStyle name="Normal 7 3 2 5 2 4 2 6 2" xfId="24638"/>
    <cellStyle name="Normal 7 3 2 5 2 4 2 7" xfId="24639"/>
    <cellStyle name="Normal 7 3 2 5 2 4 3" xfId="24640"/>
    <cellStyle name="Normal 7 3 2 5 2 4 3 2" xfId="24641"/>
    <cellStyle name="Normal 7 3 2 5 2 4 3 2 2" xfId="24642"/>
    <cellStyle name="Normal 7 3 2 5 2 4 3 3" xfId="24643"/>
    <cellStyle name="Normal 7 3 2 5 2 4 3 3 2" xfId="24644"/>
    <cellStyle name="Normal 7 3 2 5 2 4 3 4" xfId="24645"/>
    <cellStyle name="Normal 7 3 2 5 2 4 3 4 2" xfId="24646"/>
    <cellStyle name="Normal 7 3 2 5 2 4 3 5" xfId="24647"/>
    <cellStyle name="Normal 7 3 2 5 2 4 4" xfId="24648"/>
    <cellStyle name="Normal 7 3 2 5 2 4 4 2" xfId="24649"/>
    <cellStyle name="Normal 7 3 2 5 2 4 4 2 2" xfId="24650"/>
    <cellStyle name="Normal 7 3 2 5 2 4 4 3" xfId="24651"/>
    <cellStyle name="Normal 7 3 2 5 2 4 4 3 2" xfId="24652"/>
    <cellStyle name="Normal 7 3 2 5 2 4 4 4" xfId="24653"/>
    <cellStyle name="Normal 7 3 2 5 2 4 4 4 2" xfId="24654"/>
    <cellStyle name="Normal 7 3 2 5 2 4 4 5" xfId="24655"/>
    <cellStyle name="Normal 7 3 2 5 2 4 5" xfId="24656"/>
    <cellStyle name="Normal 7 3 2 5 2 4 5 2" xfId="24657"/>
    <cellStyle name="Normal 7 3 2 5 2 4 6" xfId="24658"/>
    <cellStyle name="Normal 7 3 2 5 2 4 6 2" xfId="24659"/>
    <cellStyle name="Normal 7 3 2 5 2 4 7" xfId="24660"/>
    <cellStyle name="Normal 7 3 2 5 2 4 7 2" xfId="24661"/>
    <cellStyle name="Normal 7 3 2 5 2 4 8" xfId="24662"/>
    <cellStyle name="Normal 7 3 2 5 2 5" xfId="24663"/>
    <cellStyle name="Normal 7 3 2 5 2 5 2" xfId="24664"/>
    <cellStyle name="Normal 7 3 2 5 2 5 2 2" xfId="24665"/>
    <cellStyle name="Normal 7 3 2 5 2 5 2 2 2" xfId="24666"/>
    <cellStyle name="Normal 7 3 2 5 2 5 2 2 2 2" xfId="24667"/>
    <cellStyle name="Normal 7 3 2 5 2 5 2 2 3" xfId="24668"/>
    <cellStyle name="Normal 7 3 2 5 2 5 2 2 3 2" xfId="24669"/>
    <cellStyle name="Normal 7 3 2 5 2 5 2 2 4" xfId="24670"/>
    <cellStyle name="Normal 7 3 2 5 2 5 2 2 4 2" xfId="24671"/>
    <cellStyle name="Normal 7 3 2 5 2 5 2 2 5" xfId="24672"/>
    <cellStyle name="Normal 7 3 2 5 2 5 2 3" xfId="24673"/>
    <cellStyle name="Normal 7 3 2 5 2 5 2 3 2" xfId="24674"/>
    <cellStyle name="Normal 7 3 2 5 2 5 2 3 2 2" xfId="24675"/>
    <cellStyle name="Normal 7 3 2 5 2 5 2 3 3" xfId="24676"/>
    <cellStyle name="Normal 7 3 2 5 2 5 2 3 3 2" xfId="24677"/>
    <cellStyle name="Normal 7 3 2 5 2 5 2 3 4" xfId="24678"/>
    <cellStyle name="Normal 7 3 2 5 2 5 2 3 4 2" xfId="24679"/>
    <cellStyle name="Normal 7 3 2 5 2 5 2 3 5" xfId="24680"/>
    <cellStyle name="Normal 7 3 2 5 2 5 2 4" xfId="24681"/>
    <cellStyle name="Normal 7 3 2 5 2 5 2 4 2" xfId="24682"/>
    <cellStyle name="Normal 7 3 2 5 2 5 2 5" xfId="24683"/>
    <cellStyle name="Normal 7 3 2 5 2 5 2 5 2" xfId="24684"/>
    <cellStyle name="Normal 7 3 2 5 2 5 2 6" xfId="24685"/>
    <cellStyle name="Normal 7 3 2 5 2 5 2 6 2" xfId="24686"/>
    <cellStyle name="Normal 7 3 2 5 2 5 2 7" xfId="24687"/>
    <cellStyle name="Normal 7 3 2 5 2 5 3" xfId="24688"/>
    <cellStyle name="Normal 7 3 2 5 2 5 3 2" xfId="24689"/>
    <cellStyle name="Normal 7 3 2 5 2 5 3 2 2" xfId="24690"/>
    <cellStyle name="Normal 7 3 2 5 2 5 3 3" xfId="24691"/>
    <cellStyle name="Normal 7 3 2 5 2 5 3 3 2" xfId="24692"/>
    <cellStyle name="Normal 7 3 2 5 2 5 3 4" xfId="24693"/>
    <cellStyle name="Normal 7 3 2 5 2 5 3 4 2" xfId="24694"/>
    <cellStyle name="Normal 7 3 2 5 2 5 3 5" xfId="24695"/>
    <cellStyle name="Normal 7 3 2 5 2 5 4" xfId="24696"/>
    <cellStyle name="Normal 7 3 2 5 2 5 4 2" xfId="24697"/>
    <cellStyle name="Normal 7 3 2 5 2 5 4 2 2" xfId="24698"/>
    <cellStyle name="Normal 7 3 2 5 2 5 4 3" xfId="24699"/>
    <cellStyle name="Normal 7 3 2 5 2 5 4 3 2" xfId="24700"/>
    <cellStyle name="Normal 7 3 2 5 2 5 4 4" xfId="24701"/>
    <cellStyle name="Normal 7 3 2 5 2 5 4 4 2" xfId="24702"/>
    <cellStyle name="Normal 7 3 2 5 2 5 4 5" xfId="24703"/>
    <cellStyle name="Normal 7 3 2 5 2 5 5" xfId="24704"/>
    <cellStyle name="Normal 7 3 2 5 2 5 5 2" xfId="24705"/>
    <cellStyle name="Normal 7 3 2 5 2 5 6" xfId="24706"/>
    <cellStyle name="Normal 7 3 2 5 2 5 6 2" xfId="24707"/>
    <cellStyle name="Normal 7 3 2 5 2 5 7" xfId="24708"/>
    <cellStyle name="Normal 7 3 2 5 2 5 7 2" xfId="24709"/>
    <cellStyle name="Normal 7 3 2 5 2 5 8" xfId="24710"/>
    <cellStyle name="Normal 7 3 2 5 2 6" xfId="24711"/>
    <cellStyle name="Normal 7 3 2 5 2 6 2" xfId="24712"/>
    <cellStyle name="Normal 7 3 2 5 2 6 2 2" xfId="24713"/>
    <cellStyle name="Normal 7 3 2 5 2 6 2 2 2" xfId="24714"/>
    <cellStyle name="Normal 7 3 2 5 2 6 2 2 2 2" xfId="24715"/>
    <cellStyle name="Normal 7 3 2 5 2 6 2 2 3" xfId="24716"/>
    <cellStyle name="Normal 7 3 2 5 2 6 2 2 3 2" xfId="24717"/>
    <cellStyle name="Normal 7 3 2 5 2 6 2 2 4" xfId="24718"/>
    <cellStyle name="Normal 7 3 2 5 2 6 2 2 4 2" xfId="24719"/>
    <cellStyle name="Normal 7 3 2 5 2 6 2 2 5" xfId="24720"/>
    <cellStyle name="Normal 7 3 2 5 2 6 2 3" xfId="24721"/>
    <cellStyle name="Normal 7 3 2 5 2 6 2 3 2" xfId="24722"/>
    <cellStyle name="Normal 7 3 2 5 2 6 2 3 2 2" xfId="24723"/>
    <cellStyle name="Normal 7 3 2 5 2 6 2 3 3" xfId="24724"/>
    <cellStyle name="Normal 7 3 2 5 2 6 2 3 3 2" xfId="24725"/>
    <cellStyle name="Normal 7 3 2 5 2 6 2 3 4" xfId="24726"/>
    <cellStyle name="Normal 7 3 2 5 2 6 2 3 4 2" xfId="24727"/>
    <cellStyle name="Normal 7 3 2 5 2 6 2 3 5" xfId="24728"/>
    <cellStyle name="Normal 7 3 2 5 2 6 2 4" xfId="24729"/>
    <cellStyle name="Normal 7 3 2 5 2 6 2 4 2" xfId="24730"/>
    <cellStyle name="Normal 7 3 2 5 2 6 2 5" xfId="24731"/>
    <cellStyle name="Normal 7 3 2 5 2 6 2 5 2" xfId="24732"/>
    <cellStyle name="Normal 7 3 2 5 2 6 2 6" xfId="24733"/>
    <cellStyle name="Normal 7 3 2 5 2 6 2 6 2" xfId="24734"/>
    <cellStyle name="Normal 7 3 2 5 2 6 2 7" xfId="24735"/>
    <cellStyle name="Normal 7 3 2 5 2 6 3" xfId="24736"/>
    <cellStyle name="Normal 7 3 2 5 2 6 3 2" xfId="24737"/>
    <cellStyle name="Normal 7 3 2 5 2 6 3 2 2" xfId="24738"/>
    <cellStyle name="Normal 7 3 2 5 2 6 3 3" xfId="24739"/>
    <cellStyle name="Normal 7 3 2 5 2 6 3 3 2" xfId="24740"/>
    <cellStyle name="Normal 7 3 2 5 2 6 3 4" xfId="24741"/>
    <cellStyle name="Normal 7 3 2 5 2 6 3 4 2" xfId="24742"/>
    <cellStyle name="Normal 7 3 2 5 2 6 3 5" xfId="24743"/>
    <cellStyle name="Normal 7 3 2 5 2 6 4" xfId="24744"/>
    <cellStyle name="Normal 7 3 2 5 2 6 4 2" xfId="24745"/>
    <cellStyle name="Normal 7 3 2 5 2 6 4 2 2" xfId="24746"/>
    <cellStyle name="Normal 7 3 2 5 2 6 4 3" xfId="24747"/>
    <cellStyle name="Normal 7 3 2 5 2 6 4 3 2" xfId="24748"/>
    <cellStyle name="Normal 7 3 2 5 2 6 4 4" xfId="24749"/>
    <cellStyle name="Normal 7 3 2 5 2 6 4 4 2" xfId="24750"/>
    <cellStyle name="Normal 7 3 2 5 2 6 4 5" xfId="24751"/>
    <cellStyle name="Normal 7 3 2 5 2 6 5" xfId="24752"/>
    <cellStyle name="Normal 7 3 2 5 2 6 5 2" xfId="24753"/>
    <cellStyle name="Normal 7 3 2 5 2 6 6" xfId="24754"/>
    <cellStyle name="Normal 7 3 2 5 2 6 6 2" xfId="24755"/>
    <cellStyle name="Normal 7 3 2 5 2 6 7" xfId="24756"/>
    <cellStyle name="Normal 7 3 2 5 2 6 7 2" xfId="24757"/>
    <cellStyle name="Normal 7 3 2 5 2 6 8" xfId="24758"/>
    <cellStyle name="Normal 7 3 2 5 2 7" xfId="24759"/>
    <cellStyle name="Normal 7 3 2 5 2 7 2" xfId="24760"/>
    <cellStyle name="Normal 7 3 2 5 2 7 2 2" xfId="24761"/>
    <cellStyle name="Normal 7 3 2 5 2 7 2 2 2" xfId="24762"/>
    <cellStyle name="Normal 7 3 2 5 2 7 2 3" xfId="24763"/>
    <cellStyle name="Normal 7 3 2 5 2 7 2 3 2" xfId="24764"/>
    <cellStyle name="Normal 7 3 2 5 2 7 2 4" xfId="24765"/>
    <cellStyle name="Normal 7 3 2 5 2 7 2 4 2" xfId="24766"/>
    <cellStyle name="Normal 7 3 2 5 2 7 2 5" xfId="24767"/>
    <cellStyle name="Normal 7 3 2 5 2 7 3" xfId="24768"/>
    <cellStyle name="Normal 7 3 2 5 2 7 3 2" xfId="24769"/>
    <cellStyle name="Normal 7 3 2 5 2 7 3 2 2" xfId="24770"/>
    <cellStyle name="Normal 7 3 2 5 2 7 3 3" xfId="24771"/>
    <cellStyle name="Normal 7 3 2 5 2 7 3 3 2" xfId="24772"/>
    <cellStyle name="Normal 7 3 2 5 2 7 3 4" xfId="24773"/>
    <cellStyle name="Normal 7 3 2 5 2 7 3 4 2" xfId="24774"/>
    <cellStyle name="Normal 7 3 2 5 2 7 3 5" xfId="24775"/>
    <cellStyle name="Normal 7 3 2 5 2 7 4" xfId="24776"/>
    <cellStyle name="Normal 7 3 2 5 2 7 4 2" xfId="24777"/>
    <cellStyle name="Normal 7 3 2 5 2 7 5" xfId="24778"/>
    <cellStyle name="Normal 7 3 2 5 2 7 5 2" xfId="24779"/>
    <cellStyle name="Normal 7 3 2 5 2 7 6" xfId="24780"/>
    <cellStyle name="Normal 7 3 2 5 2 7 6 2" xfId="24781"/>
    <cellStyle name="Normal 7 3 2 5 2 7 7" xfId="24782"/>
    <cellStyle name="Normal 7 3 2 5 2 8" xfId="24783"/>
    <cellStyle name="Normal 7 3 2 5 2 8 2" xfId="24784"/>
    <cellStyle name="Normal 7 3 2 5 2 8 2 2" xfId="24785"/>
    <cellStyle name="Normal 7 3 2 5 2 8 3" xfId="24786"/>
    <cellStyle name="Normal 7 3 2 5 2 8 3 2" xfId="24787"/>
    <cellStyle name="Normal 7 3 2 5 2 8 4" xfId="24788"/>
    <cellStyle name="Normal 7 3 2 5 2 8 4 2" xfId="24789"/>
    <cellStyle name="Normal 7 3 2 5 2 8 5" xfId="24790"/>
    <cellStyle name="Normal 7 3 2 5 2 9" xfId="24791"/>
    <cellStyle name="Normal 7 3 2 5 2 9 2" xfId="24792"/>
    <cellStyle name="Normal 7 3 2 5 2 9 2 2" xfId="24793"/>
    <cellStyle name="Normal 7 3 2 5 2 9 3" xfId="24794"/>
    <cellStyle name="Normal 7 3 2 5 2 9 3 2" xfId="24795"/>
    <cellStyle name="Normal 7 3 2 5 2 9 4" xfId="24796"/>
    <cellStyle name="Normal 7 3 2 5 2 9 4 2" xfId="24797"/>
    <cellStyle name="Normal 7 3 2 5 2 9 5" xfId="24798"/>
    <cellStyle name="Normal 7 3 2 5 3" xfId="24799"/>
    <cellStyle name="Normal 7 3 2 5 3 2" xfId="24800"/>
    <cellStyle name="Normal 7 3 2 5 3 2 2" xfId="24801"/>
    <cellStyle name="Normal 7 3 2 5 3 2 2 2" xfId="24802"/>
    <cellStyle name="Normal 7 3 2 5 3 2 2 2 2" xfId="24803"/>
    <cellStyle name="Normal 7 3 2 5 3 2 2 3" xfId="24804"/>
    <cellStyle name="Normal 7 3 2 5 3 2 2 3 2" xfId="24805"/>
    <cellStyle name="Normal 7 3 2 5 3 2 2 4" xfId="24806"/>
    <cellStyle name="Normal 7 3 2 5 3 2 2 4 2" xfId="24807"/>
    <cellStyle name="Normal 7 3 2 5 3 2 2 5" xfId="24808"/>
    <cellStyle name="Normal 7 3 2 5 3 2 3" xfId="24809"/>
    <cellStyle name="Normal 7 3 2 5 3 2 3 2" xfId="24810"/>
    <cellStyle name="Normal 7 3 2 5 3 2 3 2 2" xfId="24811"/>
    <cellStyle name="Normal 7 3 2 5 3 2 3 3" xfId="24812"/>
    <cellStyle name="Normal 7 3 2 5 3 2 3 3 2" xfId="24813"/>
    <cellStyle name="Normal 7 3 2 5 3 2 3 4" xfId="24814"/>
    <cellStyle name="Normal 7 3 2 5 3 2 3 4 2" xfId="24815"/>
    <cellStyle name="Normal 7 3 2 5 3 2 3 5" xfId="24816"/>
    <cellStyle name="Normal 7 3 2 5 3 2 4" xfId="24817"/>
    <cellStyle name="Normal 7 3 2 5 3 2 4 2" xfId="24818"/>
    <cellStyle name="Normal 7 3 2 5 3 2 5" xfId="24819"/>
    <cellStyle name="Normal 7 3 2 5 3 2 5 2" xfId="24820"/>
    <cellStyle name="Normal 7 3 2 5 3 2 6" xfId="24821"/>
    <cellStyle name="Normal 7 3 2 5 3 2 6 2" xfId="24822"/>
    <cellStyle name="Normal 7 3 2 5 3 2 7" xfId="24823"/>
    <cellStyle name="Normal 7 3 2 5 3 3" xfId="24824"/>
    <cellStyle name="Normal 7 3 2 5 3 3 2" xfId="24825"/>
    <cellStyle name="Normal 7 3 2 5 3 3 2 2" xfId="24826"/>
    <cellStyle name="Normal 7 3 2 5 3 3 3" xfId="24827"/>
    <cellStyle name="Normal 7 3 2 5 3 3 3 2" xfId="24828"/>
    <cellStyle name="Normal 7 3 2 5 3 3 4" xfId="24829"/>
    <cellStyle name="Normal 7 3 2 5 3 3 4 2" xfId="24830"/>
    <cellStyle name="Normal 7 3 2 5 3 3 5" xfId="24831"/>
    <cellStyle name="Normal 7 3 2 5 3 4" xfId="24832"/>
    <cellStyle name="Normal 7 3 2 5 3 4 2" xfId="24833"/>
    <cellStyle name="Normal 7 3 2 5 3 4 2 2" xfId="24834"/>
    <cellStyle name="Normal 7 3 2 5 3 4 3" xfId="24835"/>
    <cellStyle name="Normal 7 3 2 5 3 4 3 2" xfId="24836"/>
    <cellStyle name="Normal 7 3 2 5 3 4 4" xfId="24837"/>
    <cellStyle name="Normal 7 3 2 5 3 4 4 2" xfId="24838"/>
    <cellStyle name="Normal 7 3 2 5 3 4 5" xfId="24839"/>
    <cellStyle name="Normal 7 3 2 5 3 5" xfId="24840"/>
    <cellStyle name="Normal 7 3 2 5 3 5 2" xfId="24841"/>
    <cellStyle name="Normal 7 3 2 5 3 6" xfId="24842"/>
    <cellStyle name="Normal 7 3 2 5 3 6 2" xfId="24843"/>
    <cellStyle name="Normal 7 3 2 5 3 7" xfId="24844"/>
    <cellStyle name="Normal 7 3 2 5 3 7 2" xfId="24845"/>
    <cellStyle name="Normal 7 3 2 5 3 8" xfId="24846"/>
    <cellStyle name="Normal 7 3 2 5 4" xfId="24847"/>
    <cellStyle name="Normal 7 3 2 5 4 2" xfId="24848"/>
    <cellStyle name="Normal 7 3 2 5 4 2 2" xfId="24849"/>
    <cellStyle name="Normal 7 3 2 5 4 2 2 2" xfId="24850"/>
    <cellStyle name="Normal 7 3 2 5 4 2 2 2 2" xfId="24851"/>
    <cellStyle name="Normal 7 3 2 5 4 2 2 3" xfId="24852"/>
    <cellStyle name="Normal 7 3 2 5 4 2 2 3 2" xfId="24853"/>
    <cellStyle name="Normal 7 3 2 5 4 2 2 4" xfId="24854"/>
    <cellStyle name="Normal 7 3 2 5 4 2 2 4 2" xfId="24855"/>
    <cellStyle name="Normal 7 3 2 5 4 2 2 5" xfId="24856"/>
    <cellStyle name="Normal 7 3 2 5 4 2 3" xfId="24857"/>
    <cellStyle name="Normal 7 3 2 5 4 2 3 2" xfId="24858"/>
    <cellStyle name="Normal 7 3 2 5 4 2 3 2 2" xfId="24859"/>
    <cellStyle name="Normal 7 3 2 5 4 2 3 3" xfId="24860"/>
    <cellStyle name="Normal 7 3 2 5 4 2 3 3 2" xfId="24861"/>
    <cellStyle name="Normal 7 3 2 5 4 2 3 4" xfId="24862"/>
    <cellStyle name="Normal 7 3 2 5 4 2 3 4 2" xfId="24863"/>
    <cellStyle name="Normal 7 3 2 5 4 2 3 5" xfId="24864"/>
    <cellStyle name="Normal 7 3 2 5 4 2 4" xfId="24865"/>
    <cellStyle name="Normal 7 3 2 5 4 2 4 2" xfId="24866"/>
    <cellStyle name="Normal 7 3 2 5 4 2 5" xfId="24867"/>
    <cellStyle name="Normal 7 3 2 5 4 2 5 2" xfId="24868"/>
    <cellStyle name="Normal 7 3 2 5 4 2 6" xfId="24869"/>
    <cellStyle name="Normal 7 3 2 5 4 2 6 2" xfId="24870"/>
    <cellStyle name="Normal 7 3 2 5 4 2 7" xfId="24871"/>
    <cellStyle name="Normal 7 3 2 5 4 3" xfId="24872"/>
    <cellStyle name="Normal 7 3 2 5 4 3 2" xfId="24873"/>
    <cellStyle name="Normal 7 3 2 5 4 3 2 2" xfId="24874"/>
    <cellStyle name="Normal 7 3 2 5 4 3 3" xfId="24875"/>
    <cellStyle name="Normal 7 3 2 5 4 3 3 2" xfId="24876"/>
    <cellStyle name="Normal 7 3 2 5 4 3 4" xfId="24877"/>
    <cellStyle name="Normal 7 3 2 5 4 3 4 2" xfId="24878"/>
    <cellStyle name="Normal 7 3 2 5 4 3 5" xfId="24879"/>
    <cellStyle name="Normal 7 3 2 5 4 4" xfId="24880"/>
    <cellStyle name="Normal 7 3 2 5 4 4 2" xfId="24881"/>
    <cellStyle name="Normal 7 3 2 5 4 4 2 2" xfId="24882"/>
    <cellStyle name="Normal 7 3 2 5 4 4 3" xfId="24883"/>
    <cellStyle name="Normal 7 3 2 5 4 4 3 2" xfId="24884"/>
    <cellStyle name="Normal 7 3 2 5 4 4 4" xfId="24885"/>
    <cellStyle name="Normal 7 3 2 5 4 4 4 2" xfId="24886"/>
    <cellStyle name="Normal 7 3 2 5 4 4 5" xfId="24887"/>
    <cellStyle name="Normal 7 3 2 5 4 5" xfId="24888"/>
    <cellStyle name="Normal 7 3 2 5 4 5 2" xfId="24889"/>
    <cellStyle name="Normal 7 3 2 5 4 6" xfId="24890"/>
    <cellStyle name="Normal 7 3 2 5 4 6 2" xfId="24891"/>
    <cellStyle name="Normal 7 3 2 5 4 7" xfId="24892"/>
    <cellStyle name="Normal 7 3 2 5 4 7 2" xfId="24893"/>
    <cellStyle name="Normal 7 3 2 5 4 8" xfId="24894"/>
    <cellStyle name="Normal 7 3 2 5 5" xfId="24895"/>
    <cellStyle name="Normal 7 3 2 5 5 2" xfId="24896"/>
    <cellStyle name="Normal 7 3 2 5 5 2 2" xfId="24897"/>
    <cellStyle name="Normal 7 3 2 5 5 2 2 2" xfId="24898"/>
    <cellStyle name="Normal 7 3 2 5 5 2 2 2 2" xfId="24899"/>
    <cellStyle name="Normal 7 3 2 5 5 2 2 3" xfId="24900"/>
    <cellStyle name="Normal 7 3 2 5 5 2 2 3 2" xfId="24901"/>
    <cellStyle name="Normal 7 3 2 5 5 2 2 4" xfId="24902"/>
    <cellStyle name="Normal 7 3 2 5 5 2 2 4 2" xfId="24903"/>
    <cellStyle name="Normal 7 3 2 5 5 2 2 5" xfId="24904"/>
    <cellStyle name="Normal 7 3 2 5 5 2 3" xfId="24905"/>
    <cellStyle name="Normal 7 3 2 5 5 2 3 2" xfId="24906"/>
    <cellStyle name="Normal 7 3 2 5 5 2 3 2 2" xfId="24907"/>
    <cellStyle name="Normal 7 3 2 5 5 2 3 3" xfId="24908"/>
    <cellStyle name="Normal 7 3 2 5 5 2 3 3 2" xfId="24909"/>
    <cellStyle name="Normal 7 3 2 5 5 2 3 4" xfId="24910"/>
    <cellStyle name="Normal 7 3 2 5 5 2 3 4 2" xfId="24911"/>
    <cellStyle name="Normal 7 3 2 5 5 2 3 5" xfId="24912"/>
    <cellStyle name="Normal 7 3 2 5 5 2 4" xfId="24913"/>
    <cellStyle name="Normal 7 3 2 5 5 2 4 2" xfId="24914"/>
    <cellStyle name="Normal 7 3 2 5 5 2 5" xfId="24915"/>
    <cellStyle name="Normal 7 3 2 5 5 2 5 2" xfId="24916"/>
    <cellStyle name="Normal 7 3 2 5 5 2 6" xfId="24917"/>
    <cellStyle name="Normal 7 3 2 5 5 2 6 2" xfId="24918"/>
    <cellStyle name="Normal 7 3 2 5 5 2 7" xfId="24919"/>
    <cellStyle name="Normal 7 3 2 5 5 3" xfId="24920"/>
    <cellStyle name="Normal 7 3 2 5 5 3 2" xfId="24921"/>
    <cellStyle name="Normal 7 3 2 5 5 3 2 2" xfId="24922"/>
    <cellStyle name="Normal 7 3 2 5 5 3 3" xfId="24923"/>
    <cellStyle name="Normal 7 3 2 5 5 3 3 2" xfId="24924"/>
    <cellStyle name="Normal 7 3 2 5 5 3 4" xfId="24925"/>
    <cellStyle name="Normal 7 3 2 5 5 3 4 2" xfId="24926"/>
    <cellStyle name="Normal 7 3 2 5 5 3 5" xfId="24927"/>
    <cellStyle name="Normal 7 3 2 5 5 4" xfId="24928"/>
    <cellStyle name="Normal 7 3 2 5 5 4 2" xfId="24929"/>
    <cellStyle name="Normal 7 3 2 5 5 4 2 2" xfId="24930"/>
    <cellStyle name="Normal 7 3 2 5 5 4 3" xfId="24931"/>
    <cellStyle name="Normal 7 3 2 5 5 4 3 2" xfId="24932"/>
    <cellStyle name="Normal 7 3 2 5 5 4 4" xfId="24933"/>
    <cellStyle name="Normal 7 3 2 5 5 4 4 2" xfId="24934"/>
    <cellStyle name="Normal 7 3 2 5 5 4 5" xfId="24935"/>
    <cellStyle name="Normal 7 3 2 5 5 5" xfId="24936"/>
    <cellStyle name="Normal 7 3 2 5 5 5 2" xfId="24937"/>
    <cellStyle name="Normal 7 3 2 5 5 6" xfId="24938"/>
    <cellStyle name="Normal 7 3 2 5 5 6 2" xfId="24939"/>
    <cellStyle name="Normal 7 3 2 5 5 7" xfId="24940"/>
    <cellStyle name="Normal 7 3 2 5 5 7 2" xfId="24941"/>
    <cellStyle name="Normal 7 3 2 5 5 8" xfId="24942"/>
    <cellStyle name="Normal 7 3 2 5 6" xfId="24943"/>
    <cellStyle name="Normal 7 3 2 5 6 2" xfId="24944"/>
    <cellStyle name="Normal 7 3 2 5 6 2 2" xfId="24945"/>
    <cellStyle name="Normal 7 3 2 5 6 2 2 2" xfId="24946"/>
    <cellStyle name="Normal 7 3 2 5 6 2 2 2 2" xfId="24947"/>
    <cellStyle name="Normal 7 3 2 5 6 2 2 3" xfId="24948"/>
    <cellStyle name="Normal 7 3 2 5 6 2 2 3 2" xfId="24949"/>
    <cellStyle name="Normal 7 3 2 5 6 2 2 4" xfId="24950"/>
    <cellStyle name="Normal 7 3 2 5 6 2 2 4 2" xfId="24951"/>
    <cellStyle name="Normal 7 3 2 5 6 2 2 5" xfId="24952"/>
    <cellStyle name="Normal 7 3 2 5 6 2 3" xfId="24953"/>
    <cellStyle name="Normal 7 3 2 5 6 2 3 2" xfId="24954"/>
    <cellStyle name="Normal 7 3 2 5 6 2 3 2 2" xfId="24955"/>
    <cellStyle name="Normal 7 3 2 5 6 2 3 3" xfId="24956"/>
    <cellStyle name="Normal 7 3 2 5 6 2 3 3 2" xfId="24957"/>
    <cellStyle name="Normal 7 3 2 5 6 2 3 4" xfId="24958"/>
    <cellStyle name="Normal 7 3 2 5 6 2 3 4 2" xfId="24959"/>
    <cellStyle name="Normal 7 3 2 5 6 2 3 5" xfId="24960"/>
    <cellStyle name="Normal 7 3 2 5 6 2 4" xfId="24961"/>
    <cellStyle name="Normal 7 3 2 5 6 2 4 2" xfId="24962"/>
    <cellStyle name="Normal 7 3 2 5 6 2 5" xfId="24963"/>
    <cellStyle name="Normal 7 3 2 5 6 2 5 2" xfId="24964"/>
    <cellStyle name="Normal 7 3 2 5 6 2 6" xfId="24965"/>
    <cellStyle name="Normal 7 3 2 5 6 2 6 2" xfId="24966"/>
    <cellStyle name="Normal 7 3 2 5 6 2 7" xfId="24967"/>
    <cellStyle name="Normal 7 3 2 5 6 3" xfId="24968"/>
    <cellStyle name="Normal 7 3 2 5 6 3 2" xfId="24969"/>
    <cellStyle name="Normal 7 3 2 5 6 3 2 2" xfId="24970"/>
    <cellStyle name="Normal 7 3 2 5 6 3 3" xfId="24971"/>
    <cellStyle name="Normal 7 3 2 5 6 3 3 2" xfId="24972"/>
    <cellStyle name="Normal 7 3 2 5 6 3 4" xfId="24973"/>
    <cellStyle name="Normal 7 3 2 5 6 3 4 2" xfId="24974"/>
    <cellStyle name="Normal 7 3 2 5 6 3 5" xfId="24975"/>
    <cellStyle name="Normal 7 3 2 5 6 4" xfId="24976"/>
    <cellStyle name="Normal 7 3 2 5 6 4 2" xfId="24977"/>
    <cellStyle name="Normal 7 3 2 5 6 4 2 2" xfId="24978"/>
    <cellStyle name="Normal 7 3 2 5 6 4 3" xfId="24979"/>
    <cellStyle name="Normal 7 3 2 5 6 4 3 2" xfId="24980"/>
    <cellStyle name="Normal 7 3 2 5 6 4 4" xfId="24981"/>
    <cellStyle name="Normal 7 3 2 5 6 4 4 2" xfId="24982"/>
    <cellStyle name="Normal 7 3 2 5 6 4 5" xfId="24983"/>
    <cellStyle name="Normal 7 3 2 5 6 5" xfId="24984"/>
    <cellStyle name="Normal 7 3 2 5 6 5 2" xfId="24985"/>
    <cellStyle name="Normal 7 3 2 5 6 6" xfId="24986"/>
    <cellStyle name="Normal 7 3 2 5 6 6 2" xfId="24987"/>
    <cellStyle name="Normal 7 3 2 5 6 7" xfId="24988"/>
    <cellStyle name="Normal 7 3 2 5 6 7 2" xfId="24989"/>
    <cellStyle name="Normal 7 3 2 5 6 8" xfId="24990"/>
    <cellStyle name="Normal 7 3 2 5 7" xfId="24991"/>
    <cellStyle name="Normal 7 3 2 5 7 2" xfId="24992"/>
    <cellStyle name="Normal 7 3 2 5 7 2 2" xfId="24993"/>
    <cellStyle name="Normal 7 3 2 5 7 2 2 2" xfId="24994"/>
    <cellStyle name="Normal 7 3 2 5 7 2 2 2 2" xfId="24995"/>
    <cellStyle name="Normal 7 3 2 5 7 2 2 3" xfId="24996"/>
    <cellStyle name="Normal 7 3 2 5 7 2 2 3 2" xfId="24997"/>
    <cellStyle name="Normal 7 3 2 5 7 2 2 4" xfId="24998"/>
    <cellStyle name="Normal 7 3 2 5 7 2 2 4 2" xfId="24999"/>
    <cellStyle name="Normal 7 3 2 5 7 2 2 5" xfId="25000"/>
    <cellStyle name="Normal 7 3 2 5 7 2 3" xfId="25001"/>
    <cellStyle name="Normal 7 3 2 5 7 2 3 2" xfId="25002"/>
    <cellStyle name="Normal 7 3 2 5 7 2 3 2 2" xfId="25003"/>
    <cellStyle name="Normal 7 3 2 5 7 2 3 3" xfId="25004"/>
    <cellStyle name="Normal 7 3 2 5 7 2 3 3 2" xfId="25005"/>
    <cellStyle name="Normal 7 3 2 5 7 2 3 4" xfId="25006"/>
    <cellStyle name="Normal 7 3 2 5 7 2 3 4 2" xfId="25007"/>
    <cellStyle name="Normal 7 3 2 5 7 2 3 5" xfId="25008"/>
    <cellStyle name="Normal 7 3 2 5 7 2 4" xfId="25009"/>
    <cellStyle name="Normal 7 3 2 5 7 2 4 2" xfId="25010"/>
    <cellStyle name="Normal 7 3 2 5 7 2 5" xfId="25011"/>
    <cellStyle name="Normal 7 3 2 5 7 2 5 2" xfId="25012"/>
    <cellStyle name="Normal 7 3 2 5 7 2 6" xfId="25013"/>
    <cellStyle name="Normal 7 3 2 5 7 2 6 2" xfId="25014"/>
    <cellStyle name="Normal 7 3 2 5 7 2 7" xfId="25015"/>
    <cellStyle name="Normal 7 3 2 5 7 3" xfId="25016"/>
    <cellStyle name="Normal 7 3 2 5 7 3 2" xfId="25017"/>
    <cellStyle name="Normal 7 3 2 5 7 3 2 2" xfId="25018"/>
    <cellStyle name="Normal 7 3 2 5 7 3 3" xfId="25019"/>
    <cellStyle name="Normal 7 3 2 5 7 3 3 2" xfId="25020"/>
    <cellStyle name="Normal 7 3 2 5 7 3 4" xfId="25021"/>
    <cellStyle name="Normal 7 3 2 5 7 3 4 2" xfId="25022"/>
    <cellStyle name="Normal 7 3 2 5 7 3 5" xfId="25023"/>
    <cellStyle name="Normal 7 3 2 5 7 4" xfId="25024"/>
    <cellStyle name="Normal 7 3 2 5 7 4 2" xfId="25025"/>
    <cellStyle name="Normal 7 3 2 5 7 4 2 2" xfId="25026"/>
    <cellStyle name="Normal 7 3 2 5 7 4 3" xfId="25027"/>
    <cellStyle name="Normal 7 3 2 5 7 4 3 2" xfId="25028"/>
    <cellStyle name="Normal 7 3 2 5 7 4 4" xfId="25029"/>
    <cellStyle name="Normal 7 3 2 5 7 4 4 2" xfId="25030"/>
    <cellStyle name="Normal 7 3 2 5 7 4 5" xfId="25031"/>
    <cellStyle name="Normal 7 3 2 5 7 5" xfId="25032"/>
    <cellStyle name="Normal 7 3 2 5 7 5 2" xfId="25033"/>
    <cellStyle name="Normal 7 3 2 5 7 6" xfId="25034"/>
    <cellStyle name="Normal 7 3 2 5 7 6 2" xfId="25035"/>
    <cellStyle name="Normal 7 3 2 5 7 7" xfId="25036"/>
    <cellStyle name="Normal 7 3 2 5 7 7 2" xfId="25037"/>
    <cellStyle name="Normal 7 3 2 5 7 8" xfId="25038"/>
    <cellStyle name="Normal 7 3 2 5 8" xfId="25039"/>
    <cellStyle name="Normal 7 3 2 5 8 2" xfId="25040"/>
    <cellStyle name="Normal 7 3 2 5 8 2 2" xfId="25041"/>
    <cellStyle name="Normal 7 3 2 5 8 2 2 2" xfId="25042"/>
    <cellStyle name="Normal 7 3 2 5 8 2 3" xfId="25043"/>
    <cellStyle name="Normal 7 3 2 5 8 2 3 2" xfId="25044"/>
    <cellStyle name="Normal 7 3 2 5 8 2 4" xfId="25045"/>
    <cellStyle name="Normal 7 3 2 5 8 2 4 2" xfId="25046"/>
    <cellStyle name="Normal 7 3 2 5 8 2 5" xfId="25047"/>
    <cellStyle name="Normal 7 3 2 5 8 3" xfId="25048"/>
    <cellStyle name="Normal 7 3 2 5 8 3 2" xfId="25049"/>
    <cellStyle name="Normal 7 3 2 5 8 3 2 2" xfId="25050"/>
    <cellStyle name="Normal 7 3 2 5 8 3 3" xfId="25051"/>
    <cellStyle name="Normal 7 3 2 5 8 3 3 2" xfId="25052"/>
    <cellStyle name="Normal 7 3 2 5 8 3 4" xfId="25053"/>
    <cellStyle name="Normal 7 3 2 5 8 3 4 2" xfId="25054"/>
    <cellStyle name="Normal 7 3 2 5 8 3 5" xfId="25055"/>
    <cellStyle name="Normal 7 3 2 5 8 4" xfId="25056"/>
    <cellStyle name="Normal 7 3 2 5 8 4 2" xfId="25057"/>
    <cellStyle name="Normal 7 3 2 5 8 5" xfId="25058"/>
    <cellStyle name="Normal 7 3 2 5 8 5 2" xfId="25059"/>
    <cellStyle name="Normal 7 3 2 5 8 6" xfId="25060"/>
    <cellStyle name="Normal 7 3 2 5 8 6 2" xfId="25061"/>
    <cellStyle name="Normal 7 3 2 5 8 7" xfId="25062"/>
    <cellStyle name="Normal 7 3 2 5 9" xfId="25063"/>
    <cellStyle name="Normal 7 3 2 5 9 2" xfId="25064"/>
    <cellStyle name="Normal 7 3 2 5 9 2 2" xfId="25065"/>
    <cellStyle name="Normal 7 3 2 5 9 3" xfId="25066"/>
    <cellStyle name="Normal 7 3 2 5 9 3 2" xfId="25067"/>
    <cellStyle name="Normal 7 3 2 5 9 4" xfId="25068"/>
    <cellStyle name="Normal 7 3 2 5 9 4 2" xfId="25069"/>
    <cellStyle name="Normal 7 3 2 5 9 5" xfId="25070"/>
    <cellStyle name="Normal 7 3 2 6" xfId="25071"/>
    <cellStyle name="Normal 7 3 2 6 10" xfId="25072"/>
    <cellStyle name="Normal 7 3 2 6 10 2" xfId="25073"/>
    <cellStyle name="Normal 7 3 2 6 11" xfId="25074"/>
    <cellStyle name="Normal 7 3 2 6 11 2" xfId="25075"/>
    <cellStyle name="Normal 7 3 2 6 12" xfId="25076"/>
    <cellStyle name="Normal 7 3 2 6 12 2" xfId="25077"/>
    <cellStyle name="Normal 7 3 2 6 13" xfId="25078"/>
    <cellStyle name="Normal 7 3 2 6 2" xfId="25079"/>
    <cellStyle name="Normal 7 3 2 6 2 2" xfId="25080"/>
    <cellStyle name="Normal 7 3 2 6 2 2 2" xfId="25081"/>
    <cellStyle name="Normal 7 3 2 6 2 2 2 2" xfId="25082"/>
    <cellStyle name="Normal 7 3 2 6 2 2 2 2 2" xfId="25083"/>
    <cellStyle name="Normal 7 3 2 6 2 2 2 3" xfId="25084"/>
    <cellStyle name="Normal 7 3 2 6 2 2 2 3 2" xfId="25085"/>
    <cellStyle name="Normal 7 3 2 6 2 2 2 4" xfId="25086"/>
    <cellStyle name="Normal 7 3 2 6 2 2 2 4 2" xfId="25087"/>
    <cellStyle name="Normal 7 3 2 6 2 2 2 5" xfId="25088"/>
    <cellStyle name="Normal 7 3 2 6 2 2 3" xfId="25089"/>
    <cellStyle name="Normal 7 3 2 6 2 2 3 2" xfId="25090"/>
    <cellStyle name="Normal 7 3 2 6 2 2 3 2 2" xfId="25091"/>
    <cellStyle name="Normal 7 3 2 6 2 2 3 3" xfId="25092"/>
    <cellStyle name="Normal 7 3 2 6 2 2 3 3 2" xfId="25093"/>
    <cellStyle name="Normal 7 3 2 6 2 2 3 4" xfId="25094"/>
    <cellStyle name="Normal 7 3 2 6 2 2 3 4 2" xfId="25095"/>
    <cellStyle name="Normal 7 3 2 6 2 2 3 5" xfId="25096"/>
    <cellStyle name="Normal 7 3 2 6 2 2 4" xfId="25097"/>
    <cellStyle name="Normal 7 3 2 6 2 2 4 2" xfId="25098"/>
    <cellStyle name="Normal 7 3 2 6 2 2 5" xfId="25099"/>
    <cellStyle name="Normal 7 3 2 6 2 2 5 2" xfId="25100"/>
    <cellStyle name="Normal 7 3 2 6 2 2 6" xfId="25101"/>
    <cellStyle name="Normal 7 3 2 6 2 2 6 2" xfId="25102"/>
    <cellStyle name="Normal 7 3 2 6 2 2 7" xfId="25103"/>
    <cellStyle name="Normal 7 3 2 6 2 3" xfId="25104"/>
    <cellStyle name="Normal 7 3 2 6 2 3 2" xfId="25105"/>
    <cellStyle name="Normal 7 3 2 6 2 3 2 2" xfId="25106"/>
    <cellStyle name="Normal 7 3 2 6 2 3 3" xfId="25107"/>
    <cellStyle name="Normal 7 3 2 6 2 3 3 2" xfId="25108"/>
    <cellStyle name="Normal 7 3 2 6 2 3 4" xfId="25109"/>
    <cellStyle name="Normal 7 3 2 6 2 3 4 2" xfId="25110"/>
    <cellStyle name="Normal 7 3 2 6 2 3 5" xfId="25111"/>
    <cellStyle name="Normal 7 3 2 6 2 4" xfId="25112"/>
    <cellStyle name="Normal 7 3 2 6 2 4 2" xfId="25113"/>
    <cellStyle name="Normal 7 3 2 6 2 4 2 2" xfId="25114"/>
    <cellStyle name="Normal 7 3 2 6 2 4 3" xfId="25115"/>
    <cellStyle name="Normal 7 3 2 6 2 4 3 2" xfId="25116"/>
    <cellStyle name="Normal 7 3 2 6 2 4 4" xfId="25117"/>
    <cellStyle name="Normal 7 3 2 6 2 4 4 2" xfId="25118"/>
    <cellStyle name="Normal 7 3 2 6 2 4 5" xfId="25119"/>
    <cellStyle name="Normal 7 3 2 6 2 5" xfId="25120"/>
    <cellStyle name="Normal 7 3 2 6 2 5 2" xfId="25121"/>
    <cellStyle name="Normal 7 3 2 6 2 6" xfId="25122"/>
    <cellStyle name="Normal 7 3 2 6 2 6 2" xfId="25123"/>
    <cellStyle name="Normal 7 3 2 6 2 7" xfId="25124"/>
    <cellStyle name="Normal 7 3 2 6 2 7 2" xfId="25125"/>
    <cellStyle name="Normal 7 3 2 6 2 8" xfId="25126"/>
    <cellStyle name="Normal 7 3 2 6 3" xfId="25127"/>
    <cellStyle name="Normal 7 3 2 6 3 2" xfId="25128"/>
    <cellStyle name="Normal 7 3 2 6 3 2 2" xfId="25129"/>
    <cellStyle name="Normal 7 3 2 6 3 2 2 2" xfId="25130"/>
    <cellStyle name="Normal 7 3 2 6 3 2 2 2 2" xfId="25131"/>
    <cellStyle name="Normal 7 3 2 6 3 2 2 3" xfId="25132"/>
    <cellStyle name="Normal 7 3 2 6 3 2 2 3 2" xfId="25133"/>
    <cellStyle name="Normal 7 3 2 6 3 2 2 4" xfId="25134"/>
    <cellStyle name="Normal 7 3 2 6 3 2 2 4 2" xfId="25135"/>
    <cellStyle name="Normal 7 3 2 6 3 2 2 5" xfId="25136"/>
    <cellStyle name="Normal 7 3 2 6 3 2 3" xfId="25137"/>
    <cellStyle name="Normal 7 3 2 6 3 2 3 2" xfId="25138"/>
    <cellStyle name="Normal 7 3 2 6 3 2 3 2 2" xfId="25139"/>
    <cellStyle name="Normal 7 3 2 6 3 2 3 3" xfId="25140"/>
    <cellStyle name="Normal 7 3 2 6 3 2 3 3 2" xfId="25141"/>
    <cellStyle name="Normal 7 3 2 6 3 2 3 4" xfId="25142"/>
    <cellStyle name="Normal 7 3 2 6 3 2 3 4 2" xfId="25143"/>
    <cellStyle name="Normal 7 3 2 6 3 2 3 5" xfId="25144"/>
    <cellStyle name="Normal 7 3 2 6 3 2 4" xfId="25145"/>
    <cellStyle name="Normal 7 3 2 6 3 2 4 2" xfId="25146"/>
    <cellStyle name="Normal 7 3 2 6 3 2 5" xfId="25147"/>
    <cellStyle name="Normal 7 3 2 6 3 2 5 2" xfId="25148"/>
    <cellStyle name="Normal 7 3 2 6 3 2 6" xfId="25149"/>
    <cellStyle name="Normal 7 3 2 6 3 2 6 2" xfId="25150"/>
    <cellStyle name="Normal 7 3 2 6 3 2 7" xfId="25151"/>
    <cellStyle name="Normal 7 3 2 6 3 3" xfId="25152"/>
    <cellStyle name="Normal 7 3 2 6 3 3 2" xfId="25153"/>
    <cellStyle name="Normal 7 3 2 6 3 3 2 2" xfId="25154"/>
    <cellStyle name="Normal 7 3 2 6 3 3 3" xfId="25155"/>
    <cellStyle name="Normal 7 3 2 6 3 3 3 2" xfId="25156"/>
    <cellStyle name="Normal 7 3 2 6 3 3 4" xfId="25157"/>
    <cellStyle name="Normal 7 3 2 6 3 3 4 2" xfId="25158"/>
    <cellStyle name="Normal 7 3 2 6 3 3 5" xfId="25159"/>
    <cellStyle name="Normal 7 3 2 6 3 4" xfId="25160"/>
    <cellStyle name="Normal 7 3 2 6 3 4 2" xfId="25161"/>
    <cellStyle name="Normal 7 3 2 6 3 4 2 2" xfId="25162"/>
    <cellStyle name="Normal 7 3 2 6 3 4 3" xfId="25163"/>
    <cellStyle name="Normal 7 3 2 6 3 4 3 2" xfId="25164"/>
    <cellStyle name="Normal 7 3 2 6 3 4 4" xfId="25165"/>
    <cellStyle name="Normal 7 3 2 6 3 4 4 2" xfId="25166"/>
    <cellStyle name="Normal 7 3 2 6 3 4 5" xfId="25167"/>
    <cellStyle name="Normal 7 3 2 6 3 5" xfId="25168"/>
    <cellStyle name="Normal 7 3 2 6 3 5 2" xfId="25169"/>
    <cellStyle name="Normal 7 3 2 6 3 6" xfId="25170"/>
    <cellStyle name="Normal 7 3 2 6 3 6 2" xfId="25171"/>
    <cellStyle name="Normal 7 3 2 6 3 7" xfId="25172"/>
    <cellStyle name="Normal 7 3 2 6 3 7 2" xfId="25173"/>
    <cellStyle name="Normal 7 3 2 6 3 8" xfId="25174"/>
    <cellStyle name="Normal 7 3 2 6 4" xfId="25175"/>
    <cellStyle name="Normal 7 3 2 6 4 2" xfId="25176"/>
    <cellStyle name="Normal 7 3 2 6 4 2 2" xfId="25177"/>
    <cellStyle name="Normal 7 3 2 6 4 2 2 2" xfId="25178"/>
    <cellStyle name="Normal 7 3 2 6 4 2 2 2 2" xfId="25179"/>
    <cellStyle name="Normal 7 3 2 6 4 2 2 3" xfId="25180"/>
    <cellStyle name="Normal 7 3 2 6 4 2 2 3 2" xfId="25181"/>
    <cellStyle name="Normal 7 3 2 6 4 2 2 4" xfId="25182"/>
    <cellStyle name="Normal 7 3 2 6 4 2 2 4 2" xfId="25183"/>
    <cellStyle name="Normal 7 3 2 6 4 2 2 5" xfId="25184"/>
    <cellStyle name="Normal 7 3 2 6 4 2 3" xfId="25185"/>
    <cellStyle name="Normal 7 3 2 6 4 2 3 2" xfId="25186"/>
    <cellStyle name="Normal 7 3 2 6 4 2 3 2 2" xfId="25187"/>
    <cellStyle name="Normal 7 3 2 6 4 2 3 3" xfId="25188"/>
    <cellStyle name="Normal 7 3 2 6 4 2 3 3 2" xfId="25189"/>
    <cellStyle name="Normal 7 3 2 6 4 2 3 4" xfId="25190"/>
    <cellStyle name="Normal 7 3 2 6 4 2 3 4 2" xfId="25191"/>
    <cellStyle name="Normal 7 3 2 6 4 2 3 5" xfId="25192"/>
    <cellStyle name="Normal 7 3 2 6 4 2 4" xfId="25193"/>
    <cellStyle name="Normal 7 3 2 6 4 2 4 2" xfId="25194"/>
    <cellStyle name="Normal 7 3 2 6 4 2 5" xfId="25195"/>
    <cellStyle name="Normal 7 3 2 6 4 2 5 2" xfId="25196"/>
    <cellStyle name="Normal 7 3 2 6 4 2 6" xfId="25197"/>
    <cellStyle name="Normal 7 3 2 6 4 2 6 2" xfId="25198"/>
    <cellStyle name="Normal 7 3 2 6 4 2 7" xfId="25199"/>
    <cellStyle name="Normal 7 3 2 6 4 3" xfId="25200"/>
    <cellStyle name="Normal 7 3 2 6 4 3 2" xfId="25201"/>
    <cellStyle name="Normal 7 3 2 6 4 3 2 2" xfId="25202"/>
    <cellStyle name="Normal 7 3 2 6 4 3 3" xfId="25203"/>
    <cellStyle name="Normal 7 3 2 6 4 3 3 2" xfId="25204"/>
    <cellStyle name="Normal 7 3 2 6 4 3 4" xfId="25205"/>
    <cellStyle name="Normal 7 3 2 6 4 3 4 2" xfId="25206"/>
    <cellStyle name="Normal 7 3 2 6 4 3 5" xfId="25207"/>
    <cellStyle name="Normal 7 3 2 6 4 4" xfId="25208"/>
    <cellStyle name="Normal 7 3 2 6 4 4 2" xfId="25209"/>
    <cellStyle name="Normal 7 3 2 6 4 4 2 2" xfId="25210"/>
    <cellStyle name="Normal 7 3 2 6 4 4 3" xfId="25211"/>
    <cellStyle name="Normal 7 3 2 6 4 4 3 2" xfId="25212"/>
    <cellStyle name="Normal 7 3 2 6 4 4 4" xfId="25213"/>
    <cellStyle name="Normal 7 3 2 6 4 4 4 2" xfId="25214"/>
    <cellStyle name="Normal 7 3 2 6 4 4 5" xfId="25215"/>
    <cellStyle name="Normal 7 3 2 6 4 5" xfId="25216"/>
    <cellStyle name="Normal 7 3 2 6 4 5 2" xfId="25217"/>
    <cellStyle name="Normal 7 3 2 6 4 6" xfId="25218"/>
    <cellStyle name="Normal 7 3 2 6 4 6 2" xfId="25219"/>
    <cellStyle name="Normal 7 3 2 6 4 7" xfId="25220"/>
    <cellStyle name="Normal 7 3 2 6 4 7 2" xfId="25221"/>
    <cellStyle name="Normal 7 3 2 6 4 8" xfId="25222"/>
    <cellStyle name="Normal 7 3 2 6 5" xfId="25223"/>
    <cellStyle name="Normal 7 3 2 6 5 2" xfId="25224"/>
    <cellStyle name="Normal 7 3 2 6 5 2 2" xfId="25225"/>
    <cellStyle name="Normal 7 3 2 6 5 2 2 2" xfId="25226"/>
    <cellStyle name="Normal 7 3 2 6 5 2 2 2 2" xfId="25227"/>
    <cellStyle name="Normal 7 3 2 6 5 2 2 3" xfId="25228"/>
    <cellStyle name="Normal 7 3 2 6 5 2 2 3 2" xfId="25229"/>
    <cellStyle name="Normal 7 3 2 6 5 2 2 4" xfId="25230"/>
    <cellStyle name="Normal 7 3 2 6 5 2 2 4 2" xfId="25231"/>
    <cellStyle name="Normal 7 3 2 6 5 2 2 5" xfId="25232"/>
    <cellStyle name="Normal 7 3 2 6 5 2 3" xfId="25233"/>
    <cellStyle name="Normal 7 3 2 6 5 2 3 2" xfId="25234"/>
    <cellStyle name="Normal 7 3 2 6 5 2 3 2 2" xfId="25235"/>
    <cellStyle name="Normal 7 3 2 6 5 2 3 3" xfId="25236"/>
    <cellStyle name="Normal 7 3 2 6 5 2 3 3 2" xfId="25237"/>
    <cellStyle name="Normal 7 3 2 6 5 2 3 4" xfId="25238"/>
    <cellStyle name="Normal 7 3 2 6 5 2 3 4 2" xfId="25239"/>
    <cellStyle name="Normal 7 3 2 6 5 2 3 5" xfId="25240"/>
    <cellStyle name="Normal 7 3 2 6 5 2 4" xfId="25241"/>
    <cellStyle name="Normal 7 3 2 6 5 2 4 2" xfId="25242"/>
    <cellStyle name="Normal 7 3 2 6 5 2 5" xfId="25243"/>
    <cellStyle name="Normal 7 3 2 6 5 2 5 2" xfId="25244"/>
    <cellStyle name="Normal 7 3 2 6 5 2 6" xfId="25245"/>
    <cellStyle name="Normal 7 3 2 6 5 2 6 2" xfId="25246"/>
    <cellStyle name="Normal 7 3 2 6 5 2 7" xfId="25247"/>
    <cellStyle name="Normal 7 3 2 6 5 3" xfId="25248"/>
    <cellStyle name="Normal 7 3 2 6 5 3 2" xfId="25249"/>
    <cellStyle name="Normal 7 3 2 6 5 3 2 2" xfId="25250"/>
    <cellStyle name="Normal 7 3 2 6 5 3 3" xfId="25251"/>
    <cellStyle name="Normal 7 3 2 6 5 3 3 2" xfId="25252"/>
    <cellStyle name="Normal 7 3 2 6 5 3 4" xfId="25253"/>
    <cellStyle name="Normal 7 3 2 6 5 3 4 2" xfId="25254"/>
    <cellStyle name="Normal 7 3 2 6 5 3 5" xfId="25255"/>
    <cellStyle name="Normal 7 3 2 6 5 4" xfId="25256"/>
    <cellStyle name="Normal 7 3 2 6 5 4 2" xfId="25257"/>
    <cellStyle name="Normal 7 3 2 6 5 4 2 2" xfId="25258"/>
    <cellStyle name="Normal 7 3 2 6 5 4 3" xfId="25259"/>
    <cellStyle name="Normal 7 3 2 6 5 4 3 2" xfId="25260"/>
    <cellStyle name="Normal 7 3 2 6 5 4 4" xfId="25261"/>
    <cellStyle name="Normal 7 3 2 6 5 4 4 2" xfId="25262"/>
    <cellStyle name="Normal 7 3 2 6 5 4 5" xfId="25263"/>
    <cellStyle name="Normal 7 3 2 6 5 5" xfId="25264"/>
    <cellStyle name="Normal 7 3 2 6 5 5 2" xfId="25265"/>
    <cellStyle name="Normal 7 3 2 6 5 6" xfId="25266"/>
    <cellStyle name="Normal 7 3 2 6 5 6 2" xfId="25267"/>
    <cellStyle name="Normal 7 3 2 6 5 7" xfId="25268"/>
    <cellStyle name="Normal 7 3 2 6 5 7 2" xfId="25269"/>
    <cellStyle name="Normal 7 3 2 6 5 8" xfId="25270"/>
    <cellStyle name="Normal 7 3 2 6 6" xfId="25271"/>
    <cellStyle name="Normal 7 3 2 6 6 2" xfId="25272"/>
    <cellStyle name="Normal 7 3 2 6 6 2 2" xfId="25273"/>
    <cellStyle name="Normal 7 3 2 6 6 2 2 2" xfId="25274"/>
    <cellStyle name="Normal 7 3 2 6 6 2 2 2 2" xfId="25275"/>
    <cellStyle name="Normal 7 3 2 6 6 2 2 3" xfId="25276"/>
    <cellStyle name="Normal 7 3 2 6 6 2 2 3 2" xfId="25277"/>
    <cellStyle name="Normal 7 3 2 6 6 2 2 4" xfId="25278"/>
    <cellStyle name="Normal 7 3 2 6 6 2 2 4 2" xfId="25279"/>
    <cellStyle name="Normal 7 3 2 6 6 2 2 5" xfId="25280"/>
    <cellStyle name="Normal 7 3 2 6 6 2 3" xfId="25281"/>
    <cellStyle name="Normal 7 3 2 6 6 2 3 2" xfId="25282"/>
    <cellStyle name="Normal 7 3 2 6 6 2 3 2 2" xfId="25283"/>
    <cellStyle name="Normal 7 3 2 6 6 2 3 3" xfId="25284"/>
    <cellStyle name="Normal 7 3 2 6 6 2 3 3 2" xfId="25285"/>
    <cellStyle name="Normal 7 3 2 6 6 2 3 4" xfId="25286"/>
    <cellStyle name="Normal 7 3 2 6 6 2 3 4 2" xfId="25287"/>
    <cellStyle name="Normal 7 3 2 6 6 2 3 5" xfId="25288"/>
    <cellStyle name="Normal 7 3 2 6 6 2 4" xfId="25289"/>
    <cellStyle name="Normal 7 3 2 6 6 2 4 2" xfId="25290"/>
    <cellStyle name="Normal 7 3 2 6 6 2 5" xfId="25291"/>
    <cellStyle name="Normal 7 3 2 6 6 2 5 2" xfId="25292"/>
    <cellStyle name="Normal 7 3 2 6 6 2 6" xfId="25293"/>
    <cellStyle name="Normal 7 3 2 6 6 2 6 2" xfId="25294"/>
    <cellStyle name="Normal 7 3 2 6 6 2 7" xfId="25295"/>
    <cellStyle name="Normal 7 3 2 6 6 3" xfId="25296"/>
    <cellStyle name="Normal 7 3 2 6 6 3 2" xfId="25297"/>
    <cellStyle name="Normal 7 3 2 6 6 3 2 2" xfId="25298"/>
    <cellStyle name="Normal 7 3 2 6 6 3 3" xfId="25299"/>
    <cellStyle name="Normal 7 3 2 6 6 3 3 2" xfId="25300"/>
    <cellStyle name="Normal 7 3 2 6 6 3 4" xfId="25301"/>
    <cellStyle name="Normal 7 3 2 6 6 3 4 2" xfId="25302"/>
    <cellStyle name="Normal 7 3 2 6 6 3 5" xfId="25303"/>
    <cellStyle name="Normal 7 3 2 6 6 4" xfId="25304"/>
    <cellStyle name="Normal 7 3 2 6 6 4 2" xfId="25305"/>
    <cellStyle name="Normal 7 3 2 6 6 4 2 2" xfId="25306"/>
    <cellStyle name="Normal 7 3 2 6 6 4 3" xfId="25307"/>
    <cellStyle name="Normal 7 3 2 6 6 4 3 2" xfId="25308"/>
    <cellStyle name="Normal 7 3 2 6 6 4 4" xfId="25309"/>
    <cellStyle name="Normal 7 3 2 6 6 4 4 2" xfId="25310"/>
    <cellStyle name="Normal 7 3 2 6 6 4 5" xfId="25311"/>
    <cellStyle name="Normal 7 3 2 6 6 5" xfId="25312"/>
    <cellStyle name="Normal 7 3 2 6 6 5 2" xfId="25313"/>
    <cellStyle name="Normal 7 3 2 6 6 6" xfId="25314"/>
    <cellStyle name="Normal 7 3 2 6 6 6 2" xfId="25315"/>
    <cellStyle name="Normal 7 3 2 6 6 7" xfId="25316"/>
    <cellStyle name="Normal 7 3 2 6 6 7 2" xfId="25317"/>
    <cellStyle name="Normal 7 3 2 6 6 8" xfId="25318"/>
    <cellStyle name="Normal 7 3 2 6 7" xfId="25319"/>
    <cellStyle name="Normal 7 3 2 6 7 2" xfId="25320"/>
    <cellStyle name="Normal 7 3 2 6 7 2 2" xfId="25321"/>
    <cellStyle name="Normal 7 3 2 6 7 2 2 2" xfId="25322"/>
    <cellStyle name="Normal 7 3 2 6 7 2 3" xfId="25323"/>
    <cellStyle name="Normal 7 3 2 6 7 2 3 2" xfId="25324"/>
    <cellStyle name="Normal 7 3 2 6 7 2 4" xfId="25325"/>
    <cellStyle name="Normal 7 3 2 6 7 2 4 2" xfId="25326"/>
    <cellStyle name="Normal 7 3 2 6 7 2 5" xfId="25327"/>
    <cellStyle name="Normal 7 3 2 6 7 3" xfId="25328"/>
    <cellStyle name="Normal 7 3 2 6 7 3 2" xfId="25329"/>
    <cellStyle name="Normal 7 3 2 6 7 3 2 2" xfId="25330"/>
    <cellStyle name="Normal 7 3 2 6 7 3 3" xfId="25331"/>
    <cellStyle name="Normal 7 3 2 6 7 3 3 2" xfId="25332"/>
    <cellStyle name="Normal 7 3 2 6 7 3 4" xfId="25333"/>
    <cellStyle name="Normal 7 3 2 6 7 3 4 2" xfId="25334"/>
    <cellStyle name="Normal 7 3 2 6 7 3 5" xfId="25335"/>
    <cellStyle name="Normal 7 3 2 6 7 4" xfId="25336"/>
    <cellStyle name="Normal 7 3 2 6 7 4 2" xfId="25337"/>
    <cellStyle name="Normal 7 3 2 6 7 5" xfId="25338"/>
    <cellStyle name="Normal 7 3 2 6 7 5 2" xfId="25339"/>
    <cellStyle name="Normal 7 3 2 6 7 6" xfId="25340"/>
    <cellStyle name="Normal 7 3 2 6 7 6 2" xfId="25341"/>
    <cellStyle name="Normal 7 3 2 6 7 7" xfId="25342"/>
    <cellStyle name="Normal 7 3 2 6 8" xfId="25343"/>
    <cellStyle name="Normal 7 3 2 6 8 2" xfId="25344"/>
    <cellStyle name="Normal 7 3 2 6 8 2 2" xfId="25345"/>
    <cellStyle name="Normal 7 3 2 6 8 3" xfId="25346"/>
    <cellStyle name="Normal 7 3 2 6 8 3 2" xfId="25347"/>
    <cellStyle name="Normal 7 3 2 6 8 4" xfId="25348"/>
    <cellStyle name="Normal 7 3 2 6 8 4 2" xfId="25349"/>
    <cellStyle name="Normal 7 3 2 6 8 5" xfId="25350"/>
    <cellStyle name="Normal 7 3 2 6 9" xfId="25351"/>
    <cellStyle name="Normal 7 3 2 6 9 2" xfId="25352"/>
    <cellStyle name="Normal 7 3 2 6 9 2 2" xfId="25353"/>
    <cellStyle name="Normal 7 3 2 6 9 3" xfId="25354"/>
    <cellStyle name="Normal 7 3 2 6 9 3 2" xfId="25355"/>
    <cellStyle name="Normal 7 3 2 6 9 4" xfId="25356"/>
    <cellStyle name="Normal 7 3 2 6 9 4 2" xfId="25357"/>
    <cellStyle name="Normal 7 3 2 6 9 5" xfId="25358"/>
    <cellStyle name="Normal 7 3 2 7" xfId="25359"/>
    <cellStyle name="Normal 7 3 2 7 2" xfId="25360"/>
    <cellStyle name="Normal 7 3 2 7 2 2" xfId="25361"/>
    <cellStyle name="Normal 7 3 2 7 2 2 2" xfId="25362"/>
    <cellStyle name="Normal 7 3 2 7 2 2 2 2" xfId="25363"/>
    <cellStyle name="Normal 7 3 2 7 2 2 3" xfId="25364"/>
    <cellStyle name="Normal 7 3 2 7 2 2 3 2" xfId="25365"/>
    <cellStyle name="Normal 7 3 2 7 2 2 4" xfId="25366"/>
    <cellStyle name="Normal 7 3 2 7 2 2 4 2" xfId="25367"/>
    <cellStyle name="Normal 7 3 2 7 2 2 5" xfId="25368"/>
    <cellStyle name="Normal 7 3 2 7 2 3" xfId="25369"/>
    <cellStyle name="Normal 7 3 2 7 2 3 2" xfId="25370"/>
    <cellStyle name="Normal 7 3 2 7 2 3 2 2" xfId="25371"/>
    <cellStyle name="Normal 7 3 2 7 2 3 3" xfId="25372"/>
    <cellStyle name="Normal 7 3 2 7 2 3 3 2" xfId="25373"/>
    <cellStyle name="Normal 7 3 2 7 2 3 4" xfId="25374"/>
    <cellStyle name="Normal 7 3 2 7 2 3 4 2" xfId="25375"/>
    <cellStyle name="Normal 7 3 2 7 2 3 5" xfId="25376"/>
    <cellStyle name="Normal 7 3 2 7 2 4" xfId="25377"/>
    <cellStyle name="Normal 7 3 2 7 2 4 2" xfId="25378"/>
    <cellStyle name="Normal 7 3 2 7 2 5" xfId="25379"/>
    <cellStyle name="Normal 7 3 2 7 2 5 2" xfId="25380"/>
    <cellStyle name="Normal 7 3 2 7 2 6" xfId="25381"/>
    <cellStyle name="Normal 7 3 2 7 2 6 2" xfId="25382"/>
    <cellStyle name="Normal 7 3 2 7 2 7" xfId="25383"/>
    <cellStyle name="Normal 7 3 2 7 3" xfId="25384"/>
    <cellStyle name="Normal 7 3 2 7 3 2" xfId="25385"/>
    <cellStyle name="Normal 7 3 2 7 3 2 2" xfId="25386"/>
    <cellStyle name="Normal 7 3 2 7 3 3" xfId="25387"/>
    <cellStyle name="Normal 7 3 2 7 3 3 2" xfId="25388"/>
    <cellStyle name="Normal 7 3 2 7 3 4" xfId="25389"/>
    <cellStyle name="Normal 7 3 2 7 3 4 2" xfId="25390"/>
    <cellStyle name="Normal 7 3 2 7 3 5" xfId="25391"/>
    <cellStyle name="Normal 7 3 2 7 4" xfId="25392"/>
    <cellStyle name="Normal 7 3 2 7 4 2" xfId="25393"/>
    <cellStyle name="Normal 7 3 2 7 4 2 2" xfId="25394"/>
    <cellStyle name="Normal 7 3 2 7 4 3" xfId="25395"/>
    <cellStyle name="Normal 7 3 2 7 4 3 2" xfId="25396"/>
    <cellStyle name="Normal 7 3 2 7 4 4" xfId="25397"/>
    <cellStyle name="Normal 7 3 2 7 4 4 2" xfId="25398"/>
    <cellStyle name="Normal 7 3 2 7 4 5" xfId="25399"/>
    <cellStyle name="Normal 7 3 2 7 5" xfId="25400"/>
    <cellStyle name="Normal 7 3 2 7 5 2" xfId="25401"/>
    <cellStyle name="Normal 7 3 2 7 6" xfId="25402"/>
    <cellStyle name="Normal 7 3 2 7 6 2" xfId="25403"/>
    <cellStyle name="Normal 7 3 2 7 7" xfId="25404"/>
    <cellStyle name="Normal 7 3 2 7 7 2" xfId="25405"/>
    <cellStyle name="Normal 7 3 2 7 8" xfId="25406"/>
    <cellStyle name="Normal 7 3 2 8" xfId="25407"/>
    <cellStyle name="Normal 7 3 2 8 2" xfId="25408"/>
    <cellStyle name="Normal 7 3 2 8 2 2" xfId="25409"/>
    <cellStyle name="Normal 7 3 2 8 2 2 2" xfId="25410"/>
    <cellStyle name="Normal 7 3 2 8 2 2 2 2" xfId="25411"/>
    <cellStyle name="Normal 7 3 2 8 2 2 3" xfId="25412"/>
    <cellStyle name="Normal 7 3 2 8 2 2 3 2" xfId="25413"/>
    <cellStyle name="Normal 7 3 2 8 2 2 4" xfId="25414"/>
    <cellStyle name="Normal 7 3 2 8 2 2 4 2" xfId="25415"/>
    <cellStyle name="Normal 7 3 2 8 2 2 5" xfId="25416"/>
    <cellStyle name="Normal 7 3 2 8 2 3" xfId="25417"/>
    <cellStyle name="Normal 7 3 2 8 2 3 2" xfId="25418"/>
    <cellStyle name="Normal 7 3 2 8 2 3 2 2" xfId="25419"/>
    <cellStyle name="Normal 7 3 2 8 2 3 3" xfId="25420"/>
    <cellStyle name="Normal 7 3 2 8 2 3 3 2" xfId="25421"/>
    <cellStyle name="Normal 7 3 2 8 2 3 4" xfId="25422"/>
    <cellStyle name="Normal 7 3 2 8 2 3 4 2" xfId="25423"/>
    <cellStyle name="Normal 7 3 2 8 2 3 5" xfId="25424"/>
    <cellStyle name="Normal 7 3 2 8 2 4" xfId="25425"/>
    <cellStyle name="Normal 7 3 2 8 2 4 2" xfId="25426"/>
    <cellStyle name="Normal 7 3 2 8 2 5" xfId="25427"/>
    <cellStyle name="Normal 7 3 2 8 2 5 2" xfId="25428"/>
    <cellStyle name="Normal 7 3 2 8 2 6" xfId="25429"/>
    <cellStyle name="Normal 7 3 2 8 2 6 2" xfId="25430"/>
    <cellStyle name="Normal 7 3 2 8 2 7" xfId="25431"/>
    <cellStyle name="Normal 7 3 2 8 3" xfId="25432"/>
    <cellStyle name="Normal 7 3 2 8 3 2" xfId="25433"/>
    <cellStyle name="Normal 7 3 2 8 3 2 2" xfId="25434"/>
    <cellStyle name="Normal 7 3 2 8 3 3" xfId="25435"/>
    <cellStyle name="Normal 7 3 2 8 3 3 2" xfId="25436"/>
    <cellStyle name="Normal 7 3 2 8 3 4" xfId="25437"/>
    <cellStyle name="Normal 7 3 2 8 3 4 2" xfId="25438"/>
    <cellStyle name="Normal 7 3 2 8 3 5" xfId="25439"/>
    <cellStyle name="Normal 7 3 2 8 4" xfId="25440"/>
    <cellStyle name="Normal 7 3 2 8 4 2" xfId="25441"/>
    <cellStyle name="Normal 7 3 2 8 4 2 2" xfId="25442"/>
    <cellStyle name="Normal 7 3 2 8 4 3" xfId="25443"/>
    <cellStyle name="Normal 7 3 2 8 4 3 2" xfId="25444"/>
    <cellStyle name="Normal 7 3 2 8 4 4" xfId="25445"/>
    <cellStyle name="Normal 7 3 2 8 4 4 2" xfId="25446"/>
    <cellStyle name="Normal 7 3 2 8 4 5" xfId="25447"/>
    <cellStyle name="Normal 7 3 2 8 5" xfId="25448"/>
    <cellStyle name="Normal 7 3 2 8 5 2" xfId="25449"/>
    <cellStyle name="Normal 7 3 2 8 6" xfId="25450"/>
    <cellStyle name="Normal 7 3 2 8 6 2" xfId="25451"/>
    <cellStyle name="Normal 7 3 2 8 7" xfId="25452"/>
    <cellStyle name="Normal 7 3 2 8 7 2" xfId="25453"/>
    <cellStyle name="Normal 7 3 2 8 8" xfId="25454"/>
    <cellStyle name="Normal 7 3 2 9" xfId="25455"/>
    <cellStyle name="Normal 7 3 2 9 2" xfId="25456"/>
    <cellStyle name="Normal 7 3 2 9 2 2" xfId="25457"/>
    <cellStyle name="Normal 7 3 2 9 2 2 2" xfId="25458"/>
    <cellStyle name="Normal 7 3 2 9 2 2 2 2" xfId="25459"/>
    <cellStyle name="Normal 7 3 2 9 2 2 3" xfId="25460"/>
    <cellStyle name="Normal 7 3 2 9 2 2 3 2" xfId="25461"/>
    <cellStyle name="Normal 7 3 2 9 2 2 4" xfId="25462"/>
    <cellStyle name="Normal 7 3 2 9 2 2 4 2" xfId="25463"/>
    <cellStyle name="Normal 7 3 2 9 2 2 5" xfId="25464"/>
    <cellStyle name="Normal 7 3 2 9 2 3" xfId="25465"/>
    <cellStyle name="Normal 7 3 2 9 2 3 2" xfId="25466"/>
    <cellStyle name="Normal 7 3 2 9 2 3 2 2" xfId="25467"/>
    <cellStyle name="Normal 7 3 2 9 2 3 3" xfId="25468"/>
    <cellStyle name="Normal 7 3 2 9 2 3 3 2" xfId="25469"/>
    <cellStyle name="Normal 7 3 2 9 2 3 4" xfId="25470"/>
    <cellStyle name="Normal 7 3 2 9 2 3 4 2" xfId="25471"/>
    <cellStyle name="Normal 7 3 2 9 2 3 5" xfId="25472"/>
    <cellStyle name="Normal 7 3 2 9 2 4" xfId="25473"/>
    <cellStyle name="Normal 7 3 2 9 2 4 2" xfId="25474"/>
    <cellStyle name="Normal 7 3 2 9 2 5" xfId="25475"/>
    <cellStyle name="Normal 7 3 2 9 2 5 2" xfId="25476"/>
    <cellStyle name="Normal 7 3 2 9 2 6" xfId="25477"/>
    <cellStyle name="Normal 7 3 2 9 2 6 2" xfId="25478"/>
    <cellStyle name="Normal 7 3 2 9 2 7" xfId="25479"/>
    <cellStyle name="Normal 7 3 2 9 3" xfId="25480"/>
    <cellStyle name="Normal 7 3 2 9 3 2" xfId="25481"/>
    <cellStyle name="Normal 7 3 2 9 3 2 2" xfId="25482"/>
    <cellStyle name="Normal 7 3 2 9 3 3" xfId="25483"/>
    <cellStyle name="Normal 7 3 2 9 3 3 2" xfId="25484"/>
    <cellStyle name="Normal 7 3 2 9 3 4" xfId="25485"/>
    <cellStyle name="Normal 7 3 2 9 3 4 2" xfId="25486"/>
    <cellStyle name="Normal 7 3 2 9 3 5" xfId="25487"/>
    <cellStyle name="Normal 7 3 2 9 4" xfId="25488"/>
    <cellStyle name="Normal 7 3 2 9 4 2" xfId="25489"/>
    <cellStyle name="Normal 7 3 2 9 4 2 2" xfId="25490"/>
    <cellStyle name="Normal 7 3 2 9 4 3" xfId="25491"/>
    <cellStyle name="Normal 7 3 2 9 4 3 2" xfId="25492"/>
    <cellStyle name="Normal 7 3 2 9 4 4" xfId="25493"/>
    <cellStyle name="Normal 7 3 2 9 4 4 2" xfId="25494"/>
    <cellStyle name="Normal 7 3 2 9 4 5" xfId="25495"/>
    <cellStyle name="Normal 7 3 2 9 5" xfId="25496"/>
    <cellStyle name="Normal 7 3 2 9 5 2" xfId="25497"/>
    <cellStyle name="Normal 7 3 2 9 6" xfId="25498"/>
    <cellStyle name="Normal 7 3 2 9 6 2" xfId="25499"/>
    <cellStyle name="Normal 7 3 2 9 7" xfId="25500"/>
    <cellStyle name="Normal 7 3 2 9 7 2" xfId="25501"/>
    <cellStyle name="Normal 7 3 2 9 8" xfId="25502"/>
    <cellStyle name="Normal 7 3 20" xfId="22431"/>
    <cellStyle name="Normal 7 3 21" xfId="39479"/>
    <cellStyle name="Normal 7 3 3" xfId="25503"/>
    <cellStyle name="Normal 7 3 3 10" xfId="25504"/>
    <cellStyle name="Normal 7 3 3 10 2" xfId="25505"/>
    <cellStyle name="Normal 7 3 3 10 2 2" xfId="25506"/>
    <cellStyle name="Normal 7 3 3 10 3" xfId="25507"/>
    <cellStyle name="Normal 7 3 3 10 3 2" xfId="25508"/>
    <cellStyle name="Normal 7 3 3 10 4" xfId="25509"/>
    <cellStyle name="Normal 7 3 3 10 4 2" xfId="25510"/>
    <cellStyle name="Normal 7 3 3 10 5" xfId="25511"/>
    <cellStyle name="Normal 7 3 3 11" xfId="25512"/>
    <cellStyle name="Normal 7 3 3 11 2" xfId="25513"/>
    <cellStyle name="Normal 7 3 3 12" xfId="25514"/>
    <cellStyle name="Normal 7 3 3 12 2" xfId="25515"/>
    <cellStyle name="Normal 7 3 3 13" xfId="25516"/>
    <cellStyle name="Normal 7 3 3 13 2" xfId="25517"/>
    <cellStyle name="Normal 7 3 3 14" xfId="25518"/>
    <cellStyle name="Normal 7 3 3 2" xfId="25519"/>
    <cellStyle name="Normal 7 3 3 2 10" xfId="25520"/>
    <cellStyle name="Normal 7 3 3 2 10 2" xfId="25521"/>
    <cellStyle name="Normal 7 3 3 2 11" xfId="25522"/>
    <cellStyle name="Normal 7 3 3 2 11 2" xfId="25523"/>
    <cellStyle name="Normal 7 3 3 2 12" xfId="25524"/>
    <cellStyle name="Normal 7 3 3 2 12 2" xfId="25525"/>
    <cellStyle name="Normal 7 3 3 2 13" xfId="25526"/>
    <cellStyle name="Normal 7 3 3 2 2" xfId="25527"/>
    <cellStyle name="Normal 7 3 3 2 2 2" xfId="25528"/>
    <cellStyle name="Normal 7 3 3 2 2 2 2" xfId="25529"/>
    <cellStyle name="Normal 7 3 3 2 2 2 2 2" xfId="25530"/>
    <cellStyle name="Normal 7 3 3 2 2 2 2 2 2" xfId="25531"/>
    <cellStyle name="Normal 7 3 3 2 2 2 2 3" xfId="25532"/>
    <cellStyle name="Normal 7 3 3 2 2 2 2 3 2" xfId="25533"/>
    <cellStyle name="Normal 7 3 3 2 2 2 2 4" xfId="25534"/>
    <cellStyle name="Normal 7 3 3 2 2 2 2 4 2" xfId="25535"/>
    <cellStyle name="Normal 7 3 3 2 2 2 2 5" xfId="25536"/>
    <cellStyle name="Normal 7 3 3 2 2 2 3" xfId="25537"/>
    <cellStyle name="Normal 7 3 3 2 2 2 3 2" xfId="25538"/>
    <cellStyle name="Normal 7 3 3 2 2 2 3 2 2" xfId="25539"/>
    <cellStyle name="Normal 7 3 3 2 2 2 3 3" xfId="25540"/>
    <cellStyle name="Normal 7 3 3 2 2 2 3 3 2" xfId="25541"/>
    <cellStyle name="Normal 7 3 3 2 2 2 3 4" xfId="25542"/>
    <cellStyle name="Normal 7 3 3 2 2 2 3 4 2" xfId="25543"/>
    <cellStyle name="Normal 7 3 3 2 2 2 3 5" xfId="25544"/>
    <cellStyle name="Normal 7 3 3 2 2 2 4" xfId="25545"/>
    <cellStyle name="Normal 7 3 3 2 2 2 4 2" xfId="25546"/>
    <cellStyle name="Normal 7 3 3 2 2 2 5" xfId="25547"/>
    <cellStyle name="Normal 7 3 3 2 2 2 5 2" xfId="25548"/>
    <cellStyle name="Normal 7 3 3 2 2 2 6" xfId="25549"/>
    <cellStyle name="Normal 7 3 3 2 2 2 6 2" xfId="25550"/>
    <cellStyle name="Normal 7 3 3 2 2 2 7" xfId="25551"/>
    <cellStyle name="Normal 7 3 3 2 2 3" xfId="25552"/>
    <cellStyle name="Normal 7 3 3 2 2 3 2" xfId="25553"/>
    <cellStyle name="Normal 7 3 3 2 2 3 2 2" xfId="25554"/>
    <cellStyle name="Normal 7 3 3 2 2 3 3" xfId="25555"/>
    <cellStyle name="Normal 7 3 3 2 2 3 3 2" xfId="25556"/>
    <cellStyle name="Normal 7 3 3 2 2 3 4" xfId="25557"/>
    <cellStyle name="Normal 7 3 3 2 2 3 4 2" xfId="25558"/>
    <cellStyle name="Normal 7 3 3 2 2 3 5" xfId="25559"/>
    <cellStyle name="Normal 7 3 3 2 2 4" xfId="25560"/>
    <cellStyle name="Normal 7 3 3 2 2 4 2" xfId="25561"/>
    <cellStyle name="Normal 7 3 3 2 2 4 2 2" xfId="25562"/>
    <cellStyle name="Normal 7 3 3 2 2 4 3" xfId="25563"/>
    <cellStyle name="Normal 7 3 3 2 2 4 3 2" xfId="25564"/>
    <cellStyle name="Normal 7 3 3 2 2 4 4" xfId="25565"/>
    <cellStyle name="Normal 7 3 3 2 2 4 4 2" xfId="25566"/>
    <cellStyle name="Normal 7 3 3 2 2 4 5" xfId="25567"/>
    <cellStyle name="Normal 7 3 3 2 2 5" xfId="25568"/>
    <cellStyle name="Normal 7 3 3 2 2 5 2" xfId="25569"/>
    <cellStyle name="Normal 7 3 3 2 2 6" xfId="25570"/>
    <cellStyle name="Normal 7 3 3 2 2 6 2" xfId="25571"/>
    <cellStyle name="Normal 7 3 3 2 2 7" xfId="25572"/>
    <cellStyle name="Normal 7 3 3 2 2 7 2" xfId="25573"/>
    <cellStyle name="Normal 7 3 3 2 2 8" xfId="25574"/>
    <cellStyle name="Normal 7 3 3 2 3" xfId="25575"/>
    <cellStyle name="Normal 7 3 3 2 3 2" xfId="25576"/>
    <cellStyle name="Normal 7 3 3 2 3 2 2" xfId="25577"/>
    <cellStyle name="Normal 7 3 3 2 3 2 2 2" xfId="25578"/>
    <cellStyle name="Normal 7 3 3 2 3 2 2 2 2" xfId="25579"/>
    <cellStyle name="Normal 7 3 3 2 3 2 2 3" xfId="25580"/>
    <cellStyle name="Normal 7 3 3 2 3 2 2 3 2" xfId="25581"/>
    <cellStyle name="Normal 7 3 3 2 3 2 2 4" xfId="25582"/>
    <cellStyle name="Normal 7 3 3 2 3 2 2 4 2" xfId="25583"/>
    <cellStyle name="Normal 7 3 3 2 3 2 2 5" xfId="25584"/>
    <cellStyle name="Normal 7 3 3 2 3 2 3" xfId="25585"/>
    <cellStyle name="Normal 7 3 3 2 3 2 3 2" xfId="25586"/>
    <cellStyle name="Normal 7 3 3 2 3 2 3 2 2" xfId="25587"/>
    <cellStyle name="Normal 7 3 3 2 3 2 3 3" xfId="25588"/>
    <cellStyle name="Normal 7 3 3 2 3 2 3 3 2" xfId="25589"/>
    <cellStyle name="Normal 7 3 3 2 3 2 3 4" xfId="25590"/>
    <cellStyle name="Normal 7 3 3 2 3 2 3 4 2" xfId="25591"/>
    <cellStyle name="Normal 7 3 3 2 3 2 3 5" xfId="25592"/>
    <cellStyle name="Normal 7 3 3 2 3 2 4" xfId="25593"/>
    <cellStyle name="Normal 7 3 3 2 3 2 4 2" xfId="25594"/>
    <cellStyle name="Normal 7 3 3 2 3 2 5" xfId="25595"/>
    <cellStyle name="Normal 7 3 3 2 3 2 5 2" xfId="25596"/>
    <cellStyle name="Normal 7 3 3 2 3 2 6" xfId="25597"/>
    <cellStyle name="Normal 7 3 3 2 3 2 6 2" xfId="25598"/>
    <cellStyle name="Normal 7 3 3 2 3 2 7" xfId="25599"/>
    <cellStyle name="Normal 7 3 3 2 3 3" xfId="25600"/>
    <cellStyle name="Normal 7 3 3 2 3 3 2" xfId="25601"/>
    <cellStyle name="Normal 7 3 3 2 3 3 2 2" xfId="25602"/>
    <cellStyle name="Normal 7 3 3 2 3 3 3" xfId="25603"/>
    <cellStyle name="Normal 7 3 3 2 3 3 3 2" xfId="25604"/>
    <cellStyle name="Normal 7 3 3 2 3 3 4" xfId="25605"/>
    <cellStyle name="Normal 7 3 3 2 3 3 4 2" xfId="25606"/>
    <cellStyle name="Normal 7 3 3 2 3 3 5" xfId="25607"/>
    <cellStyle name="Normal 7 3 3 2 3 4" xfId="25608"/>
    <cellStyle name="Normal 7 3 3 2 3 4 2" xfId="25609"/>
    <cellStyle name="Normal 7 3 3 2 3 4 2 2" xfId="25610"/>
    <cellStyle name="Normal 7 3 3 2 3 4 3" xfId="25611"/>
    <cellStyle name="Normal 7 3 3 2 3 4 3 2" xfId="25612"/>
    <cellStyle name="Normal 7 3 3 2 3 4 4" xfId="25613"/>
    <cellStyle name="Normal 7 3 3 2 3 4 4 2" xfId="25614"/>
    <cellStyle name="Normal 7 3 3 2 3 4 5" xfId="25615"/>
    <cellStyle name="Normal 7 3 3 2 3 5" xfId="25616"/>
    <cellStyle name="Normal 7 3 3 2 3 5 2" xfId="25617"/>
    <cellStyle name="Normal 7 3 3 2 3 6" xfId="25618"/>
    <cellStyle name="Normal 7 3 3 2 3 6 2" xfId="25619"/>
    <cellStyle name="Normal 7 3 3 2 3 7" xfId="25620"/>
    <cellStyle name="Normal 7 3 3 2 3 7 2" xfId="25621"/>
    <cellStyle name="Normal 7 3 3 2 3 8" xfId="25622"/>
    <cellStyle name="Normal 7 3 3 2 4" xfId="25623"/>
    <cellStyle name="Normal 7 3 3 2 4 2" xfId="25624"/>
    <cellStyle name="Normal 7 3 3 2 4 2 2" xfId="25625"/>
    <cellStyle name="Normal 7 3 3 2 4 2 2 2" xfId="25626"/>
    <cellStyle name="Normal 7 3 3 2 4 2 2 2 2" xfId="25627"/>
    <cellStyle name="Normal 7 3 3 2 4 2 2 3" xfId="25628"/>
    <cellStyle name="Normal 7 3 3 2 4 2 2 3 2" xfId="25629"/>
    <cellStyle name="Normal 7 3 3 2 4 2 2 4" xfId="25630"/>
    <cellStyle name="Normal 7 3 3 2 4 2 2 4 2" xfId="25631"/>
    <cellStyle name="Normal 7 3 3 2 4 2 2 5" xfId="25632"/>
    <cellStyle name="Normal 7 3 3 2 4 2 3" xfId="25633"/>
    <cellStyle name="Normal 7 3 3 2 4 2 3 2" xfId="25634"/>
    <cellStyle name="Normal 7 3 3 2 4 2 3 2 2" xfId="25635"/>
    <cellStyle name="Normal 7 3 3 2 4 2 3 3" xfId="25636"/>
    <cellStyle name="Normal 7 3 3 2 4 2 3 3 2" xfId="25637"/>
    <cellStyle name="Normal 7 3 3 2 4 2 3 4" xfId="25638"/>
    <cellStyle name="Normal 7 3 3 2 4 2 3 4 2" xfId="25639"/>
    <cellStyle name="Normal 7 3 3 2 4 2 3 5" xfId="25640"/>
    <cellStyle name="Normal 7 3 3 2 4 2 4" xfId="25641"/>
    <cellStyle name="Normal 7 3 3 2 4 2 4 2" xfId="25642"/>
    <cellStyle name="Normal 7 3 3 2 4 2 5" xfId="25643"/>
    <cellStyle name="Normal 7 3 3 2 4 2 5 2" xfId="25644"/>
    <cellStyle name="Normal 7 3 3 2 4 2 6" xfId="25645"/>
    <cellStyle name="Normal 7 3 3 2 4 2 6 2" xfId="25646"/>
    <cellStyle name="Normal 7 3 3 2 4 2 7" xfId="25647"/>
    <cellStyle name="Normal 7 3 3 2 4 3" xfId="25648"/>
    <cellStyle name="Normal 7 3 3 2 4 3 2" xfId="25649"/>
    <cellStyle name="Normal 7 3 3 2 4 3 2 2" xfId="25650"/>
    <cellStyle name="Normal 7 3 3 2 4 3 3" xfId="25651"/>
    <cellStyle name="Normal 7 3 3 2 4 3 3 2" xfId="25652"/>
    <cellStyle name="Normal 7 3 3 2 4 3 4" xfId="25653"/>
    <cellStyle name="Normal 7 3 3 2 4 3 4 2" xfId="25654"/>
    <cellStyle name="Normal 7 3 3 2 4 3 5" xfId="25655"/>
    <cellStyle name="Normal 7 3 3 2 4 4" xfId="25656"/>
    <cellStyle name="Normal 7 3 3 2 4 4 2" xfId="25657"/>
    <cellStyle name="Normal 7 3 3 2 4 4 2 2" xfId="25658"/>
    <cellStyle name="Normal 7 3 3 2 4 4 3" xfId="25659"/>
    <cellStyle name="Normal 7 3 3 2 4 4 3 2" xfId="25660"/>
    <cellStyle name="Normal 7 3 3 2 4 4 4" xfId="25661"/>
    <cellStyle name="Normal 7 3 3 2 4 4 4 2" xfId="25662"/>
    <cellStyle name="Normal 7 3 3 2 4 4 5" xfId="25663"/>
    <cellStyle name="Normal 7 3 3 2 4 5" xfId="25664"/>
    <cellStyle name="Normal 7 3 3 2 4 5 2" xfId="25665"/>
    <cellStyle name="Normal 7 3 3 2 4 6" xfId="25666"/>
    <cellStyle name="Normal 7 3 3 2 4 6 2" xfId="25667"/>
    <cellStyle name="Normal 7 3 3 2 4 7" xfId="25668"/>
    <cellStyle name="Normal 7 3 3 2 4 7 2" xfId="25669"/>
    <cellStyle name="Normal 7 3 3 2 4 8" xfId="25670"/>
    <cellStyle name="Normal 7 3 3 2 5" xfId="25671"/>
    <cellStyle name="Normal 7 3 3 2 5 2" xfId="25672"/>
    <cellStyle name="Normal 7 3 3 2 5 2 2" xfId="25673"/>
    <cellStyle name="Normal 7 3 3 2 5 2 2 2" xfId="25674"/>
    <cellStyle name="Normal 7 3 3 2 5 2 2 2 2" xfId="25675"/>
    <cellStyle name="Normal 7 3 3 2 5 2 2 3" xfId="25676"/>
    <cellStyle name="Normal 7 3 3 2 5 2 2 3 2" xfId="25677"/>
    <cellStyle name="Normal 7 3 3 2 5 2 2 4" xfId="25678"/>
    <cellStyle name="Normal 7 3 3 2 5 2 2 4 2" xfId="25679"/>
    <cellStyle name="Normal 7 3 3 2 5 2 2 5" xfId="25680"/>
    <cellStyle name="Normal 7 3 3 2 5 2 3" xfId="25681"/>
    <cellStyle name="Normal 7 3 3 2 5 2 3 2" xfId="25682"/>
    <cellStyle name="Normal 7 3 3 2 5 2 3 2 2" xfId="25683"/>
    <cellStyle name="Normal 7 3 3 2 5 2 3 3" xfId="25684"/>
    <cellStyle name="Normal 7 3 3 2 5 2 3 3 2" xfId="25685"/>
    <cellStyle name="Normal 7 3 3 2 5 2 3 4" xfId="25686"/>
    <cellStyle name="Normal 7 3 3 2 5 2 3 4 2" xfId="25687"/>
    <cellStyle name="Normal 7 3 3 2 5 2 3 5" xfId="25688"/>
    <cellStyle name="Normal 7 3 3 2 5 2 4" xfId="25689"/>
    <cellStyle name="Normal 7 3 3 2 5 2 4 2" xfId="25690"/>
    <cellStyle name="Normal 7 3 3 2 5 2 5" xfId="25691"/>
    <cellStyle name="Normal 7 3 3 2 5 2 5 2" xfId="25692"/>
    <cellStyle name="Normal 7 3 3 2 5 2 6" xfId="25693"/>
    <cellStyle name="Normal 7 3 3 2 5 2 6 2" xfId="25694"/>
    <cellStyle name="Normal 7 3 3 2 5 2 7" xfId="25695"/>
    <cellStyle name="Normal 7 3 3 2 5 3" xfId="25696"/>
    <cellStyle name="Normal 7 3 3 2 5 3 2" xfId="25697"/>
    <cellStyle name="Normal 7 3 3 2 5 3 2 2" xfId="25698"/>
    <cellStyle name="Normal 7 3 3 2 5 3 3" xfId="25699"/>
    <cellStyle name="Normal 7 3 3 2 5 3 3 2" xfId="25700"/>
    <cellStyle name="Normal 7 3 3 2 5 3 4" xfId="25701"/>
    <cellStyle name="Normal 7 3 3 2 5 3 4 2" xfId="25702"/>
    <cellStyle name="Normal 7 3 3 2 5 3 5" xfId="25703"/>
    <cellStyle name="Normal 7 3 3 2 5 4" xfId="25704"/>
    <cellStyle name="Normal 7 3 3 2 5 4 2" xfId="25705"/>
    <cellStyle name="Normal 7 3 3 2 5 4 2 2" xfId="25706"/>
    <cellStyle name="Normal 7 3 3 2 5 4 3" xfId="25707"/>
    <cellStyle name="Normal 7 3 3 2 5 4 3 2" xfId="25708"/>
    <cellStyle name="Normal 7 3 3 2 5 4 4" xfId="25709"/>
    <cellStyle name="Normal 7 3 3 2 5 4 4 2" xfId="25710"/>
    <cellStyle name="Normal 7 3 3 2 5 4 5" xfId="25711"/>
    <cellStyle name="Normal 7 3 3 2 5 5" xfId="25712"/>
    <cellStyle name="Normal 7 3 3 2 5 5 2" xfId="25713"/>
    <cellStyle name="Normal 7 3 3 2 5 6" xfId="25714"/>
    <cellStyle name="Normal 7 3 3 2 5 6 2" xfId="25715"/>
    <cellStyle name="Normal 7 3 3 2 5 7" xfId="25716"/>
    <cellStyle name="Normal 7 3 3 2 5 7 2" xfId="25717"/>
    <cellStyle name="Normal 7 3 3 2 5 8" xfId="25718"/>
    <cellStyle name="Normal 7 3 3 2 6" xfId="25719"/>
    <cellStyle name="Normal 7 3 3 2 6 2" xfId="25720"/>
    <cellStyle name="Normal 7 3 3 2 6 2 2" xfId="25721"/>
    <cellStyle name="Normal 7 3 3 2 6 2 2 2" xfId="25722"/>
    <cellStyle name="Normal 7 3 3 2 6 2 2 2 2" xfId="25723"/>
    <cellStyle name="Normal 7 3 3 2 6 2 2 3" xfId="25724"/>
    <cellStyle name="Normal 7 3 3 2 6 2 2 3 2" xfId="25725"/>
    <cellStyle name="Normal 7 3 3 2 6 2 2 4" xfId="25726"/>
    <cellStyle name="Normal 7 3 3 2 6 2 2 4 2" xfId="25727"/>
    <cellStyle name="Normal 7 3 3 2 6 2 2 5" xfId="25728"/>
    <cellStyle name="Normal 7 3 3 2 6 2 3" xfId="25729"/>
    <cellStyle name="Normal 7 3 3 2 6 2 3 2" xfId="25730"/>
    <cellStyle name="Normal 7 3 3 2 6 2 3 2 2" xfId="25731"/>
    <cellStyle name="Normal 7 3 3 2 6 2 3 3" xfId="25732"/>
    <cellStyle name="Normal 7 3 3 2 6 2 3 3 2" xfId="25733"/>
    <cellStyle name="Normal 7 3 3 2 6 2 3 4" xfId="25734"/>
    <cellStyle name="Normal 7 3 3 2 6 2 3 4 2" xfId="25735"/>
    <cellStyle name="Normal 7 3 3 2 6 2 3 5" xfId="25736"/>
    <cellStyle name="Normal 7 3 3 2 6 2 4" xfId="25737"/>
    <cellStyle name="Normal 7 3 3 2 6 2 4 2" xfId="25738"/>
    <cellStyle name="Normal 7 3 3 2 6 2 5" xfId="25739"/>
    <cellStyle name="Normal 7 3 3 2 6 2 5 2" xfId="25740"/>
    <cellStyle name="Normal 7 3 3 2 6 2 6" xfId="25741"/>
    <cellStyle name="Normal 7 3 3 2 6 2 6 2" xfId="25742"/>
    <cellStyle name="Normal 7 3 3 2 6 2 7" xfId="25743"/>
    <cellStyle name="Normal 7 3 3 2 6 3" xfId="25744"/>
    <cellStyle name="Normal 7 3 3 2 6 3 2" xfId="25745"/>
    <cellStyle name="Normal 7 3 3 2 6 3 2 2" xfId="25746"/>
    <cellStyle name="Normal 7 3 3 2 6 3 3" xfId="25747"/>
    <cellStyle name="Normal 7 3 3 2 6 3 3 2" xfId="25748"/>
    <cellStyle name="Normal 7 3 3 2 6 3 4" xfId="25749"/>
    <cellStyle name="Normal 7 3 3 2 6 3 4 2" xfId="25750"/>
    <cellStyle name="Normal 7 3 3 2 6 3 5" xfId="25751"/>
    <cellStyle name="Normal 7 3 3 2 6 4" xfId="25752"/>
    <cellStyle name="Normal 7 3 3 2 6 4 2" xfId="25753"/>
    <cellStyle name="Normal 7 3 3 2 6 4 2 2" xfId="25754"/>
    <cellStyle name="Normal 7 3 3 2 6 4 3" xfId="25755"/>
    <cellStyle name="Normal 7 3 3 2 6 4 3 2" xfId="25756"/>
    <cellStyle name="Normal 7 3 3 2 6 4 4" xfId="25757"/>
    <cellStyle name="Normal 7 3 3 2 6 4 4 2" xfId="25758"/>
    <cellStyle name="Normal 7 3 3 2 6 4 5" xfId="25759"/>
    <cellStyle name="Normal 7 3 3 2 6 5" xfId="25760"/>
    <cellStyle name="Normal 7 3 3 2 6 5 2" xfId="25761"/>
    <cellStyle name="Normal 7 3 3 2 6 6" xfId="25762"/>
    <cellStyle name="Normal 7 3 3 2 6 6 2" xfId="25763"/>
    <cellStyle name="Normal 7 3 3 2 6 7" xfId="25764"/>
    <cellStyle name="Normal 7 3 3 2 6 7 2" xfId="25765"/>
    <cellStyle name="Normal 7 3 3 2 6 8" xfId="25766"/>
    <cellStyle name="Normal 7 3 3 2 7" xfId="25767"/>
    <cellStyle name="Normal 7 3 3 2 7 2" xfId="25768"/>
    <cellStyle name="Normal 7 3 3 2 7 2 2" xfId="25769"/>
    <cellStyle name="Normal 7 3 3 2 7 2 2 2" xfId="25770"/>
    <cellStyle name="Normal 7 3 3 2 7 2 3" xfId="25771"/>
    <cellStyle name="Normal 7 3 3 2 7 2 3 2" xfId="25772"/>
    <cellStyle name="Normal 7 3 3 2 7 2 4" xfId="25773"/>
    <cellStyle name="Normal 7 3 3 2 7 2 4 2" xfId="25774"/>
    <cellStyle name="Normal 7 3 3 2 7 2 5" xfId="25775"/>
    <cellStyle name="Normal 7 3 3 2 7 3" xfId="25776"/>
    <cellStyle name="Normal 7 3 3 2 7 3 2" xfId="25777"/>
    <cellStyle name="Normal 7 3 3 2 7 3 2 2" xfId="25778"/>
    <cellStyle name="Normal 7 3 3 2 7 3 3" xfId="25779"/>
    <cellStyle name="Normal 7 3 3 2 7 3 3 2" xfId="25780"/>
    <cellStyle name="Normal 7 3 3 2 7 3 4" xfId="25781"/>
    <cellStyle name="Normal 7 3 3 2 7 3 4 2" xfId="25782"/>
    <cellStyle name="Normal 7 3 3 2 7 3 5" xfId="25783"/>
    <cellStyle name="Normal 7 3 3 2 7 4" xfId="25784"/>
    <cellStyle name="Normal 7 3 3 2 7 4 2" xfId="25785"/>
    <cellStyle name="Normal 7 3 3 2 7 5" xfId="25786"/>
    <cellStyle name="Normal 7 3 3 2 7 5 2" xfId="25787"/>
    <cellStyle name="Normal 7 3 3 2 7 6" xfId="25788"/>
    <cellStyle name="Normal 7 3 3 2 7 6 2" xfId="25789"/>
    <cellStyle name="Normal 7 3 3 2 7 7" xfId="25790"/>
    <cellStyle name="Normal 7 3 3 2 8" xfId="25791"/>
    <cellStyle name="Normal 7 3 3 2 8 2" xfId="25792"/>
    <cellStyle name="Normal 7 3 3 2 8 2 2" xfId="25793"/>
    <cellStyle name="Normal 7 3 3 2 8 3" xfId="25794"/>
    <cellStyle name="Normal 7 3 3 2 8 3 2" xfId="25795"/>
    <cellStyle name="Normal 7 3 3 2 8 4" xfId="25796"/>
    <cellStyle name="Normal 7 3 3 2 8 4 2" xfId="25797"/>
    <cellStyle name="Normal 7 3 3 2 8 5" xfId="25798"/>
    <cellStyle name="Normal 7 3 3 2 9" xfId="25799"/>
    <cellStyle name="Normal 7 3 3 2 9 2" xfId="25800"/>
    <cellStyle name="Normal 7 3 3 2 9 2 2" xfId="25801"/>
    <cellStyle name="Normal 7 3 3 2 9 3" xfId="25802"/>
    <cellStyle name="Normal 7 3 3 2 9 3 2" xfId="25803"/>
    <cellStyle name="Normal 7 3 3 2 9 4" xfId="25804"/>
    <cellStyle name="Normal 7 3 3 2 9 4 2" xfId="25805"/>
    <cellStyle name="Normal 7 3 3 2 9 5" xfId="25806"/>
    <cellStyle name="Normal 7 3 3 3" xfId="25807"/>
    <cellStyle name="Normal 7 3 3 3 2" xfId="25808"/>
    <cellStyle name="Normal 7 3 3 3 2 2" xfId="25809"/>
    <cellStyle name="Normal 7 3 3 3 2 2 2" xfId="25810"/>
    <cellStyle name="Normal 7 3 3 3 2 2 2 2" xfId="25811"/>
    <cellStyle name="Normal 7 3 3 3 2 2 3" xfId="25812"/>
    <cellStyle name="Normal 7 3 3 3 2 2 3 2" xfId="25813"/>
    <cellStyle name="Normal 7 3 3 3 2 2 4" xfId="25814"/>
    <cellStyle name="Normal 7 3 3 3 2 2 4 2" xfId="25815"/>
    <cellStyle name="Normal 7 3 3 3 2 2 5" xfId="25816"/>
    <cellStyle name="Normal 7 3 3 3 2 3" xfId="25817"/>
    <cellStyle name="Normal 7 3 3 3 2 3 2" xfId="25818"/>
    <cellStyle name="Normal 7 3 3 3 2 3 2 2" xfId="25819"/>
    <cellStyle name="Normal 7 3 3 3 2 3 3" xfId="25820"/>
    <cellStyle name="Normal 7 3 3 3 2 3 3 2" xfId="25821"/>
    <cellStyle name="Normal 7 3 3 3 2 3 4" xfId="25822"/>
    <cellStyle name="Normal 7 3 3 3 2 3 4 2" xfId="25823"/>
    <cellStyle name="Normal 7 3 3 3 2 3 5" xfId="25824"/>
    <cellStyle name="Normal 7 3 3 3 2 4" xfId="25825"/>
    <cellStyle name="Normal 7 3 3 3 2 4 2" xfId="25826"/>
    <cellStyle name="Normal 7 3 3 3 2 5" xfId="25827"/>
    <cellStyle name="Normal 7 3 3 3 2 5 2" xfId="25828"/>
    <cellStyle name="Normal 7 3 3 3 2 6" xfId="25829"/>
    <cellStyle name="Normal 7 3 3 3 2 6 2" xfId="25830"/>
    <cellStyle name="Normal 7 3 3 3 2 7" xfId="25831"/>
    <cellStyle name="Normal 7 3 3 3 3" xfId="25832"/>
    <cellStyle name="Normal 7 3 3 3 3 2" xfId="25833"/>
    <cellStyle name="Normal 7 3 3 3 3 2 2" xfId="25834"/>
    <cellStyle name="Normal 7 3 3 3 3 3" xfId="25835"/>
    <cellStyle name="Normal 7 3 3 3 3 3 2" xfId="25836"/>
    <cellStyle name="Normal 7 3 3 3 3 4" xfId="25837"/>
    <cellStyle name="Normal 7 3 3 3 3 4 2" xfId="25838"/>
    <cellStyle name="Normal 7 3 3 3 3 5" xfId="25839"/>
    <cellStyle name="Normal 7 3 3 3 4" xfId="25840"/>
    <cellStyle name="Normal 7 3 3 3 4 2" xfId="25841"/>
    <cellStyle name="Normal 7 3 3 3 4 2 2" xfId="25842"/>
    <cellStyle name="Normal 7 3 3 3 4 3" xfId="25843"/>
    <cellStyle name="Normal 7 3 3 3 4 3 2" xfId="25844"/>
    <cellStyle name="Normal 7 3 3 3 4 4" xfId="25845"/>
    <cellStyle name="Normal 7 3 3 3 4 4 2" xfId="25846"/>
    <cellStyle name="Normal 7 3 3 3 4 5" xfId="25847"/>
    <cellStyle name="Normal 7 3 3 3 5" xfId="25848"/>
    <cellStyle name="Normal 7 3 3 3 5 2" xfId="25849"/>
    <cellStyle name="Normal 7 3 3 3 6" xfId="25850"/>
    <cellStyle name="Normal 7 3 3 3 6 2" xfId="25851"/>
    <cellStyle name="Normal 7 3 3 3 7" xfId="25852"/>
    <cellStyle name="Normal 7 3 3 3 7 2" xfId="25853"/>
    <cellStyle name="Normal 7 3 3 3 8" xfId="25854"/>
    <cellStyle name="Normal 7 3 3 4" xfId="25855"/>
    <cellStyle name="Normal 7 3 3 4 2" xfId="25856"/>
    <cellStyle name="Normal 7 3 3 4 2 2" xfId="25857"/>
    <cellStyle name="Normal 7 3 3 4 2 2 2" xfId="25858"/>
    <cellStyle name="Normal 7 3 3 4 2 2 2 2" xfId="25859"/>
    <cellStyle name="Normal 7 3 3 4 2 2 3" xfId="25860"/>
    <cellStyle name="Normal 7 3 3 4 2 2 3 2" xfId="25861"/>
    <cellStyle name="Normal 7 3 3 4 2 2 4" xfId="25862"/>
    <cellStyle name="Normal 7 3 3 4 2 2 4 2" xfId="25863"/>
    <cellStyle name="Normal 7 3 3 4 2 2 5" xfId="25864"/>
    <cellStyle name="Normal 7 3 3 4 2 3" xfId="25865"/>
    <cellStyle name="Normal 7 3 3 4 2 3 2" xfId="25866"/>
    <cellStyle name="Normal 7 3 3 4 2 3 2 2" xfId="25867"/>
    <cellStyle name="Normal 7 3 3 4 2 3 3" xfId="25868"/>
    <cellStyle name="Normal 7 3 3 4 2 3 3 2" xfId="25869"/>
    <cellStyle name="Normal 7 3 3 4 2 3 4" xfId="25870"/>
    <cellStyle name="Normal 7 3 3 4 2 3 4 2" xfId="25871"/>
    <cellStyle name="Normal 7 3 3 4 2 3 5" xfId="25872"/>
    <cellStyle name="Normal 7 3 3 4 2 4" xfId="25873"/>
    <cellStyle name="Normal 7 3 3 4 2 4 2" xfId="25874"/>
    <cellStyle name="Normal 7 3 3 4 2 5" xfId="25875"/>
    <cellStyle name="Normal 7 3 3 4 2 5 2" xfId="25876"/>
    <cellStyle name="Normal 7 3 3 4 2 6" xfId="25877"/>
    <cellStyle name="Normal 7 3 3 4 2 6 2" xfId="25878"/>
    <cellStyle name="Normal 7 3 3 4 2 7" xfId="25879"/>
    <cellStyle name="Normal 7 3 3 4 3" xfId="25880"/>
    <cellStyle name="Normal 7 3 3 4 3 2" xfId="25881"/>
    <cellStyle name="Normal 7 3 3 4 3 2 2" xfId="25882"/>
    <cellStyle name="Normal 7 3 3 4 3 3" xfId="25883"/>
    <cellStyle name="Normal 7 3 3 4 3 3 2" xfId="25884"/>
    <cellStyle name="Normal 7 3 3 4 3 4" xfId="25885"/>
    <cellStyle name="Normal 7 3 3 4 3 4 2" xfId="25886"/>
    <cellStyle name="Normal 7 3 3 4 3 5" xfId="25887"/>
    <cellStyle name="Normal 7 3 3 4 4" xfId="25888"/>
    <cellStyle name="Normal 7 3 3 4 4 2" xfId="25889"/>
    <cellStyle name="Normal 7 3 3 4 4 2 2" xfId="25890"/>
    <cellStyle name="Normal 7 3 3 4 4 3" xfId="25891"/>
    <cellStyle name="Normal 7 3 3 4 4 3 2" xfId="25892"/>
    <cellStyle name="Normal 7 3 3 4 4 4" xfId="25893"/>
    <cellStyle name="Normal 7 3 3 4 4 4 2" xfId="25894"/>
    <cellStyle name="Normal 7 3 3 4 4 5" xfId="25895"/>
    <cellStyle name="Normal 7 3 3 4 5" xfId="25896"/>
    <cellStyle name="Normal 7 3 3 4 5 2" xfId="25897"/>
    <cellStyle name="Normal 7 3 3 4 6" xfId="25898"/>
    <cellStyle name="Normal 7 3 3 4 6 2" xfId="25899"/>
    <cellStyle name="Normal 7 3 3 4 7" xfId="25900"/>
    <cellStyle name="Normal 7 3 3 4 7 2" xfId="25901"/>
    <cellStyle name="Normal 7 3 3 4 8" xfId="25902"/>
    <cellStyle name="Normal 7 3 3 5" xfId="25903"/>
    <cellStyle name="Normal 7 3 3 5 2" xfId="25904"/>
    <cellStyle name="Normal 7 3 3 5 2 2" xfId="25905"/>
    <cellStyle name="Normal 7 3 3 5 2 2 2" xfId="25906"/>
    <cellStyle name="Normal 7 3 3 5 2 2 2 2" xfId="25907"/>
    <cellStyle name="Normal 7 3 3 5 2 2 3" xfId="25908"/>
    <cellStyle name="Normal 7 3 3 5 2 2 3 2" xfId="25909"/>
    <cellStyle name="Normal 7 3 3 5 2 2 4" xfId="25910"/>
    <cellStyle name="Normal 7 3 3 5 2 2 4 2" xfId="25911"/>
    <cellStyle name="Normal 7 3 3 5 2 2 5" xfId="25912"/>
    <cellStyle name="Normal 7 3 3 5 2 3" xfId="25913"/>
    <cellStyle name="Normal 7 3 3 5 2 3 2" xfId="25914"/>
    <cellStyle name="Normal 7 3 3 5 2 3 2 2" xfId="25915"/>
    <cellStyle name="Normal 7 3 3 5 2 3 3" xfId="25916"/>
    <cellStyle name="Normal 7 3 3 5 2 3 3 2" xfId="25917"/>
    <cellStyle name="Normal 7 3 3 5 2 3 4" xfId="25918"/>
    <cellStyle name="Normal 7 3 3 5 2 3 4 2" xfId="25919"/>
    <cellStyle name="Normal 7 3 3 5 2 3 5" xfId="25920"/>
    <cellStyle name="Normal 7 3 3 5 2 4" xfId="25921"/>
    <cellStyle name="Normal 7 3 3 5 2 4 2" xfId="25922"/>
    <cellStyle name="Normal 7 3 3 5 2 5" xfId="25923"/>
    <cellStyle name="Normal 7 3 3 5 2 5 2" xfId="25924"/>
    <cellStyle name="Normal 7 3 3 5 2 6" xfId="25925"/>
    <cellStyle name="Normal 7 3 3 5 2 6 2" xfId="25926"/>
    <cellStyle name="Normal 7 3 3 5 2 7" xfId="25927"/>
    <cellStyle name="Normal 7 3 3 5 3" xfId="25928"/>
    <cellStyle name="Normal 7 3 3 5 3 2" xfId="25929"/>
    <cellStyle name="Normal 7 3 3 5 3 2 2" xfId="25930"/>
    <cellStyle name="Normal 7 3 3 5 3 3" xfId="25931"/>
    <cellStyle name="Normal 7 3 3 5 3 3 2" xfId="25932"/>
    <cellStyle name="Normal 7 3 3 5 3 4" xfId="25933"/>
    <cellStyle name="Normal 7 3 3 5 3 4 2" xfId="25934"/>
    <cellStyle name="Normal 7 3 3 5 3 5" xfId="25935"/>
    <cellStyle name="Normal 7 3 3 5 4" xfId="25936"/>
    <cellStyle name="Normal 7 3 3 5 4 2" xfId="25937"/>
    <cellStyle name="Normal 7 3 3 5 4 2 2" xfId="25938"/>
    <cellStyle name="Normal 7 3 3 5 4 3" xfId="25939"/>
    <cellStyle name="Normal 7 3 3 5 4 3 2" xfId="25940"/>
    <cellStyle name="Normal 7 3 3 5 4 4" xfId="25941"/>
    <cellStyle name="Normal 7 3 3 5 4 4 2" xfId="25942"/>
    <cellStyle name="Normal 7 3 3 5 4 5" xfId="25943"/>
    <cellStyle name="Normal 7 3 3 5 5" xfId="25944"/>
    <cellStyle name="Normal 7 3 3 5 5 2" xfId="25945"/>
    <cellStyle name="Normal 7 3 3 5 6" xfId="25946"/>
    <cellStyle name="Normal 7 3 3 5 6 2" xfId="25947"/>
    <cellStyle name="Normal 7 3 3 5 7" xfId="25948"/>
    <cellStyle name="Normal 7 3 3 5 7 2" xfId="25949"/>
    <cellStyle name="Normal 7 3 3 5 8" xfId="25950"/>
    <cellStyle name="Normal 7 3 3 6" xfId="25951"/>
    <cellStyle name="Normal 7 3 3 6 2" xfId="25952"/>
    <cellStyle name="Normal 7 3 3 6 2 2" xfId="25953"/>
    <cellStyle name="Normal 7 3 3 6 2 2 2" xfId="25954"/>
    <cellStyle name="Normal 7 3 3 6 2 2 2 2" xfId="25955"/>
    <cellStyle name="Normal 7 3 3 6 2 2 3" xfId="25956"/>
    <cellStyle name="Normal 7 3 3 6 2 2 3 2" xfId="25957"/>
    <cellStyle name="Normal 7 3 3 6 2 2 4" xfId="25958"/>
    <cellStyle name="Normal 7 3 3 6 2 2 4 2" xfId="25959"/>
    <cellStyle name="Normal 7 3 3 6 2 2 5" xfId="25960"/>
    <cellStyle name="Normal 7 3 3 6 2 3" xfId="25961"/>
    <cellStyle name="Normal 7 3 3 6 2 3 2" xfId="25962"/>
    <cellStyle name="Normal 7 3 3 6 2 3 2 2" xfId="25963"/>
    <cellStyle name="Normal 7 3 3 6 2 3 3" xfId="25964"/>
    <cellStyle name="Normal 7 3 3 6 2 3 3 2" xfId="25965"/>
    <cellStyle name="Normal 7 3 3 6 2 3 4" xfId="25966"/>
    <cellStyle name="Normal 7 3 3 6 2 3 4 2" xfId="25967"/>
    <cellStyle name="Normal 7 3 3 6 2 3 5" xfId="25968"/>
    <cellStyle name="Normal 7 3 3 6 2 4" xfId="25969"/>
    <cellStyle name="Normal 7 3 3 6 2 4 2" xfId="25970"/>
    <cellStyle name="Normal 7 3 3 6 2 5" xfId="25971"/>
    <cellStyle name="Normal 7 3 3 6 2 5 2" xfId="25972"/>
    <cellStyle name="Normal 7 3 3 6 2 6" xfId="25973"/>
    <cellStyle name="Normal 7 3 3 6 2 6 2" xfId="25974"/>
    <cellStyle name="Normal 7 3 3 6 2 7" xfId="25975"/>
    <cellStyle name="Normal 7 3 3 6 3" xfId="25976"/>
    <cellStyle name="Normal 7 3 3 6 3 2" xfId="25977"/>
    <cellStyle name="Normal 7 3 3 6 3 2 2" xfId="25978"/>
    <cellStyle name="Normal 7 3 3 6 3 3" xfId="25979"/>
    <cellStyle name="Normal 7 3 3 6 3 3 2" xfId="25980"/>
    <cellStyle name="Normal 7 3 3 6 3 4" xfId="25981"/>
    <cellStyle name="Normal 7 3 3 6 3 4 2" xfId="25982"/>
    <cellStyle name="Normal 7 3 3 6 3 5" xfId="25983"/>
    <cellStyle name="Normal 7 3 3 6 4" xfId="25984"/>
    <cellStyle name="Normal 7 3 3 6 4 2" xfId="25985"/>
    <cellStyle name="Normal 7 3 3 6 4 2 2" xfId="25986"/>
    <cellStyle name="Normal 7 3 3 6 4 3" xfId="25987"/>
    <cellStyle name="Normal 7 3 3 6 4 3 2" xfId="25988"/>
    <cellStyle name="Normal 7 3 3 6 4 4" xfId="25989"/>
    <cellStyle name="Normal 7 3 3 6 4 4 2" xfId="25990"/>
    <cellStyle name="Normal 7 3 3 6 4 5" xfId="25991"/>
    <cellStyle name="Normal 7 3 3 6 5" xfId="25992"/>
    <cellStyle name="Normal 7 3 3 6 5 2" xfId="25993"/>
    <cellStyle name="Normal 7 3 3 6 6" xfId="25994"/>
    <cellStyle name="Normal 7 3 3 6 6 2" xfId="25995"/>
    <cellStyle name="Normal 7 3 3 6 7" xfId="25996"/>
    <cellStyle name="Normal 7 3 3 6 7 2" xfId="25997"/>
    <cellStyle name="Normal 7 3 3 6 8" xfId="25998"/>
    <cellStyle name="Normal 7 3 3 7" xfId="25999"/>
    <cellStyle name="Normal 7 3 3 7 2" xfId="26000"/>
    <cellStyle name="Normal 7 3 3 7 2 2" xfId="26001"/>
    <cellStyle name="Normal 7 3 3 7 2 2 2" xfId="26002"/>
    <cellStyle name="Normal 7 3 3 7 2 2 2 2" xfId="26003"/>
    <cellStyle name="Normal 7 3 3 7 2 2 3" xfId="26004"/>
    <cellStyle name="Normal 7 3 3 7 2 2 3 2" xfId="26005"/>
    <cellStyle name="Normal 7 3 3 7 2 2 4" xfId="26006"/>
    <cellStyle name="Normal 7 3 3 7 2 2 4 2" xfId="26007"/>
    <cellStyle name="Normal 7 3 3 7 2 2 5" xfId="26008"/>
    <cellStyle name="Normal 7 3 3 7 2 3" xfId="26009"/>
    <cellStyle name="Normal 7 3 3 7 2 3 2" xfId="26010"/>
    <cellStyle name="Normal 7 3 3 7 2 3 2 2" xfId="26011"/>
    <cellStyle name="Normal 7 3 3 7 2 3 3" xfId="26012"/>
    <cellStyle name="Normal 7 3 3 7 2 3 3 2" xfId="26013"/>
    <cellStyle name="Normal 7 3 3 7 2 3 4" xfId="26014"/>
    <cellStyle name="Normal 7 3 3 7 2 3 4 2" xfId="26015"/>
    <cellStyle name="Normal 7 3 3 7 2 3 5" xfId="26016"/>
    <cellStyle name="Normal 7 3 3 7 2 4" xfId="26017"/>
    <cellStyle name="Normal 7 3 3 7 2 4 2" xfId="26018"/>
    <cellStyle name="Normal 7 3 3 7 2 5" xfId="26019"/>
    <cellStyle name="Normal 7 3 3 7 2 5 2" xfId="26020"/>
    <cellStyle name="Normal 7 3 3 7 2 6" xfId="26021"/>
    <cellStyle name="Normal 7 3 3 7 2 6 2" xfId="26022"/>
    <cellStyle name="Normal 7 3 3 7 2 7" xfId="26023"/>
    <cellStyle name="Normal 7 3 3 7 3" xfId="26024"/>
    <cellStyle name="Normal 7 3 3 7 3 2" xfId="26025"/>
    <cellStyle name="Normal 7 3 3 7 3 2 2" xfId="26026"/>
    <cellStyle name="Normal 7 3 3 7 3 3" xfId="26027"/>
    <cellStyle name="Normal 7 3 3 7 3 3 2" xfId="26028"/>
    <cellStyle name="Normal 7 3 3 7 3 4" xfId="26029"/>
    <cellStyle name="Normal 7 3 3 7 3 4 2" xfId="26030"/>
    <cellStyle name="Normal 7 3 3 7 3 5" xfId="26031"/>
    <cellStyle name="Normal 7 3 3 7 4" xfId="26032"/>
    <cellStyle name="Normal 7 3 3 7 4 2" xfId="26033"/>
    <cellStyle name="Normal 7 3 3 7 4 2 2" xfId="26034"/>
    <cellStyle name="Normal 7 3 3 7 4 3" xfId="26035"/>
    <cellStyle name="Normal 7 3 3 7 4 3 2" xfId="26036"/>
    <cellStyle name="Normal 7 3 3 7 4 4" xfId="26037"/>
    <cellStyle name="Normal 7 3 3 7 4 4 2" xfId="26038"/>
    <cellStyle name="Normal 7 3 3 7 4 5" xfId="26039"/>
    <cellStyle name="Normal 7 3 3 7 5" xfId="26040"/>
    <cellStyle name="Normal 7 3 3 7 5 2" xfId="26041"/>
    <cellStyle name="Normal 7 3 3 7 6" xfId="26042"/>
    <cellStyle name="Normal 7 3 3 7 6 2" xfId="26043"/>
    <cellStyle name="Normal 7 3 3 7 7" xfId="26044"/>
    <cellStyle name="Normal 7 3 3 7 7 2" xfId="26045"/>
    <cellStyle name="Normal 7 3 3 7 8" xfId="26046"/>
    <cellStyle name="Normal 7 3 3 8" xfId="26047"/>
    <cellStyle name="Normal 7 3 3 8 2" xfId="26048"/>
    <cellStyle name="Normal 7 3 3 8 2 2" xfId="26049"/>
    <cellStyle name="Normal 7 3 3 8 2 2 2" xfId="26050"/>
    <cellStyle name="Normal 7 3 3 8 2 3" xfId="26051"/>
    <cellStyle name="Normal 7 3 3 8 2 3 2" xfId="26052"/>
    <cellStyle name="Normal 7 3 3 8 2 4" xfId="26053"/>
    <cellStyle name="Normal 7 3 3 8 2 4 2" xfId="26054"/>
    <cellStyle name="Normal 7 3 3 8 2 5" xfId="26055"/>
    <cellStyle name="Normal 7 3 3 8 3" xfId="26056"/>
    <cellStyle name="Normal 7 3 3 8 3 2" xfId="26057"/>
    <cellStyle name="Normal 7 3 3 8 3 2 2" xfId="26058"/>
    <cellStyle name="Normal 7 3 3 8 3 3" xfId="26059"/>
    <cellStyle name="Normal 7 3 3 8 3 3 2" xfId="26060"/>
    <cellStyle name="Normal 7 3 3 8 3 4" xfId="26061"/>
    <cellStyle name="Normal 7 3 3 8 3 4 2" xfId="26062"/>
    <cellStyle name="Normal 7 3 3 8 3 5" xfId="26063"/>
    <cellStyle name="Normal 7 3 3 8 4" xfId="26064"/>
    <cellStyle name="Normal 7 3 3 8 4 2" xfId="26065"/>
    <cellStyle name="Normal 7 3 3 8 5" xfId="26066"/>
    <cellStyle name="Normal 7 3 3 8 5 2" xfId="26067"/>
    <cellStyle name="Normal 7 3 3 8 6" xfId="26068"/>
    <cellStyle name="Normal 7 3 3 8 6 2" xfId="26069"/>
    <cellStyle name="Normal 7 3 3 8 7" xfId="26070"/>
    <cellStyle name="Normal 7 3 3 9" xfId="26071"/>
    <cellStyle name="Normal 7 3 3 9 2" xfId="26072"/>
    <cellStyle name="Normal 7 3 3 9 2 2" xfId="26073"/>
    <cellStyle name="Normal 7 3 3 9 3" xfId="26074"/>
    <cellStyle name="Normal 7 3 3 9 3 2" xfId="26075"/>
    <cellStyle name="Normal 7 3 3 9 4" xfId="26076"/>
    <cellStyle name="Normal 7 3 3 9 4 2" xfId="26077"/>
    <cellStyle name="Normal 7 3 3 9 5" xfId="26078"/>
    <cellStyle name="Normal 7 3 4" xfId="26079"/>
    <cellStyle name="Normal 7 3 4 10" xfId="26080"/>
    <cellStyle name="Normal 7 3 4 10 2" xfId="26081"/>
    <cellStyle name="Normal 7 3 4 10 2 2" xfId="26082"/>
    <cellStyle name="Normal 7 3 4 10 3" xfId="26083"/>
    <cellStyle name="Normal 7 3 4 10 3 2" xfId="26084"/>
    <cellStyle name="Normal 7 3 4 10 4" xfId="26085"/>
    <cellStyle name="Normal 7 3 4 10 4 2" xfId="26086"/>
    <cellStyle name="Normal 7 3 4 10 5" xfId="26087"/>
    <cellStyle name="Normal 7 3 4 11" xfId="26088"/>
    <cellStyle name="Normal 7 3 4 11 2" xfId="26089"/>
    <cellStyle name="Normal 7 3 4 12" xfId="26090"/>
    <cellStyle name="Normal 7 3 4 12 2" xfId="26091"/>
    <cellStyle name="Normal 7 3 4 13" xfId="26092"/>
    <cellStyle name="Normal 7 3 4 13 2" xfId="26093"/>
    <cellStyle name="Normal 7 3 4 14" xfId="26094"/>
    <cellStyle name="Normal 7 3 4 2" xfId="26095"/>
    <cellStyle name="Normal 7 3 4 2 10" xfId="26096"/>
    <cellStyle name="Normal 7 3 4 2 10 2" xfId="26097"/>
    <cellStyle name="Normal 7 3 4 2 11" xfId="26098"/>
    <cellStyle name="Normal 7 3 4 2 11 2" xfId="26099"/>
    <cellStyle name="Normal 7 3 4 2 12" xfId="26100"/>
    <cellStyle name="Normal 7 3 4 2 12 2" xfId="26101"/>
    <cellStyle name="Normal 7 3 4 2 13" xfId="26102"/>
    <cellStyle name="Normal 7 3 4 2 2" xfId="26103"/>
    <cellStyle name="Normal 7 3 4 2 2 2" xfId="26104"/>
    <cellStyle name="Normal 7 3 4 2 2 2 2" xfId="26105"/>
    <cellStyle name="Normal 7 3 4 2 2 2 2 2" xfId="26106"/>
    <cellStyle name="Normal 7 3 4 2 2 2 2 2 2" xfId="26107"/>
    <cellStyle name="Normal 7 3 4 2 2 2 2 3" xfId="26108"/>
    <cellStyle name="Normal 7 3 4 2 2 2 2 3 2" xfId="26109"/>
    <cellStyle name="Normal 7 3 4 2 2 2 2 4" xfId="26110"/>
    <cellStyle name="Normal 7 3 4 2 2 2 2 4 2" xfId="26111"/>
    <cellStyle name="Normal 7 3 4 2 2 2 2 5" xfId="26112"/>
    <cellStyle name="Normal 7 3 4 2 2 2 3" xfId="26113"/>
    <cellStyle name="Normal 7 3 4 2 2 2 3 2" xfId="26114"/>
    <cellStyle name="Normal 7 3 4 2 2 2 3 2 2" xfId="26115"/>
    <cellStyle name="Normal 7 3 4 2 2 2 3 3" xfId="26116"/>
    <cellStyle name="Normal 7 3 4 2 2 2 3 3 2" xfId="26117"/>
    <cellStyle name="Normal 7 3 4 2 2 2 3 4" xfId="26118"/>
    <cellStyle name="Normal 7 3 4 2 2 2 3 4 2" xfId="26119"/>
    <cellStyle name="Normal 7 3 4 2 2 2 3 5" xfId="26120"/>
    <cellStyle name="Normal 7 3 4 2 2 2 4" xfId="26121"/>
    <cellStyle name="Normal 7 3 4 2 2 2 4 2" xfId="26122"/>
    <cellStyle name="Normal 7 3 4 2 2 2 5" xfId="26123"/>
    <cellStyle name="Normal 7 3 4 2 2 2 5 2" xfId="26124"/>
    <cellStyle name="Normal 7 3 4 2 2 2 6" xfId="26125"/>
    <cellStyle name="Normal 7 3 4 2 2 2 6 2" xfId="26126"/>
    <cellStyle name="Normal 7 3 4 2 2 2 7" xfId="26127"/>
    <cellStyle name="Normal 7 3 4 2 2 3" xfId="26128"/>
    <cellStyle name="Normal 7 3 4 2 2 3 2" xfId="26129"/>
    <cellStyle name="Normal 7 3 4 2 2 3 2 2" xfId="26130"/>
    <cellStyle name="Normal 7 3 4 2 2 3 3" xfId="26131"/>
    <cellStyle name="Normal 7 3 4 2 2 3 3 2" xfId="26132"/>
    <cellStyle name="Normal 7 3 4 2 2 3 4" xfId="26133"/>
    <cellStyle name="Normal 7 3 4 2 2 3 4 2" xfId="26134"/>
    <cellStyle name="Normal 7 3 4 2 2 3 5" xfId="26135"/>
    <cellStyle name="Normal 7 3 4 2 2 4" xfId="26136"/>
    <cellStyle name="Normal 7 3 4 2 2 4 2" xfId="26137"/>
    <cellStyle name="Normal 7 3 4 2 2 4 2 2" xfId="26138"/>
    <cellStyle name="Normal 7 3 4 2 2 4 3" xfId="26139"/>
    <cellStyle name="Normal 7 3 4 2 2 4 3 2" xfId="26140"/>
    <cellStyle name="Normal 7 3 4 2 2 4 4" xfId="26141"/>
    <cellStyle name="Normal 7 3 4 2 2 4 4 2" xfId="26142"/>
    <cellStyle name="Normal 7 3 4 2 2 4 5" xfId="26143"/>
    <cellStyle name="Normal 7 3 4 2 2 5" xfId="26144"/>
    <cellStyle name="Normal 7 3 4 2 2 5 2" xfId="26145"/>
    <cellStyle name="Normal 7 3 4 2 2 6" xfId="26146"/>
    <cellStyle name="Normal 7 3 4 2 2 6 2" xfId="26147"/>
    <cellStyle name="Normal 7 3 4 2 2 7" xfId="26148"/>
    <cellStyle name="Normal 7 3 4 2 2 7 2" xfId="26149"/>
    <cellStyle name="Normal 7 3 4 2 2 8" xfId="26150"/>
    <cellStyle name="Normal 7 3 4 2 3" xfId="26151"/>
    <cellStyle name="Normal 7 3 4 2 3 2" xfId="26152"/>
    <cellStyle name="Normal 7 3 4 2 3 2 2" xfId="26153"/>
    <cellStyle name="Normal 7 3 4 2 3 2 2 2" xfId="26154"/>
    <cellStyle name="Normal 7 3 4 2 3 2 2 2 2" xfId="26155"/>
    <cellStyle name="Normal 7 3 4 2 3 2 2 3" xfId="26156"/>
    <cellStyle name="Normal 7 3 4 2 3 2 2 3 2" xfId="26157"/>
    <cellStyle name="Normal 7 3 4 2 3 2 2 4" xfId="26158"/>
    <cellStyle name="Normal 7 3 4 2 3 2 2 4 2" xfId="26159"/>
    <cellStyle name="Normal 7 3 4 2 3 2 2 5" xfId="26160"/>
    <cellStyle name="Normal 7 3 4 2 3 2 3" xfId="26161"/>
    <cellStyle name="Normal 7 3 4 2 3 2 3 2" xfId="26162"/>
    <cellStyle name="Normal 7 3 4 2 3 2 3 2 2" xfId="26163"/>
    <cellStyle name="Normal 7 3 4 2 3 2 3 3" xfId="26164"/>
    <cellStyle name="Normal 7 3 4 2 3 2 3 3 2" xfId="26165"/>
    <cellStyle name="Normal 7 3 4 2 3 2 3 4" xfId="26166"/>
    <cellStyle name="Normal 7 3 4 2 3 2 3 4 2" xfId="26167"/>
    <cellStyle name="Normal 7 3 4 2 3 2 3 5" xfId="26168"/>
    <cellStyle name="Normal 7 3 4 2 3 2 4" xfId="26169"/>
    <cellStyle name="Normal 7 3 4 2 3 2 4 2" xfId="26170"/>
    <cellStyle name="Normal 7 3 4 2 3 2 5" xfId="26171"/>
    <cellStyle name="Normal 7 3 4 2 3 2 5 2" xfId="26172"/>
    <cellStyle name="Normal 7 3 4 2 3 2 6" xfId="26173"/>
    <cellStyle name="Normal 7 3 4 2 3 2 6 2" xfId="26174"/>
    <cellStyle name="Normal 7 3 4 2 3 2 7" xfId="26175"/>
    <cellStyle name="Normal 7 3 4 2 3 3" xfId="26176"/>
    <cellStyle name="Normal 7 3 4 2 3 3 2" xfId="26177"/>
    <cellStyle name="Normal 7 3 4 2 3 3 2 2" xfId="26178"/>
    <cellStyle name="Normal 7 3 4 2 3 3 3" xfId="26179"/>
    <cellStyle name="Normal 7 3 4 2 3 3 3 2" xfId="26180"/>
    <cellStyle name="Normal 7 3 4 2 3 3 4" xfId="26181"/>
    <cellStyle name="Normal 7 3 4 2 3 3 4 2" xfId="26182"/>
    <cellStyle name="Normal 7 3 4 2 3 3 5" xfId="26183"/>
    <cellStyle name="Normal 7 3 4 2 3 4" xfId="26184"/>
    <cellStyle name="Normal 7 3 4 2 3 4 2" xfId="26185"/>
    <cellStyle name="Normal 7 3 4 2 3 4 2 2" xfId="26186"/>
    <cellStyle name="Normal 7 3 4 2 3 4 3" xfId="26187"/>
    <cellStyle name="Normal 7 3 4 2 3 4 3 2" xfId="26188"/>
    <cellStyle name="Normal 7 3 4 2 3 4 4" xfId="26189"/>
    <cellStyle name="Normal 7 3 4 2 3 4 4 2" xfId="26190"/>
    <cellStyle name="Normal 7 3 4 2 3 4 5" xfId="26191"/>
    <cellStyle name="Normal 7 3 4 2 3 5" xfId="26192"/>
    <cellStyle name="Normal 7 3 4 2 3 5 2" xfId="26193"/>
    <cellStyle name="Normal 7 3 4 2 3 6" xfId="26194"/>
    <cellStyle name="Normal 7 3 4 2 3 6 2" xfId="26195"/>
    <cellStyle name="Normal 7 3 4 2 3 7" xfId="26196"/>
    <cellStyle name="Normal 7 3 4 2 3 7 2" xfId="26197"/>
    <cellStyle name="Normal 7 3 4 2 3 8" xfId="26198"/>
    <cellStyle name="Normal 7 3 4 2 4" xfId="26199"/>
    <cellStyle name="Normal 7 3 4 2 4 2" xfId="26200"/>
    <cellStyle name="Normal 7 3 4 2 4 2 2" xfId="26201"/>
    <cellStyle name="Normal 7 3 4 2 4 2 2 2" xfId="26202"/>
    <cellStyle name="Normal 7 3 4 2 4 2 2 2 2" xfId="26203"/>
    <cellStyle name="Normal 7 3 4 2 4 2 2 3" xfId="26204"/>
    <cellStyle name="Normal 7 3 4 2 4 2 2 3 2" xfId="26205"/>
    <cellStyle name="Normal 7 3 4 2 4 2 2 4" xfId="26206"/>
    <cellStyle name="Normal 7 3 4 2 4 2 2 4 2" xfId="26207"/>
    <cellStyle name="Normal 7 3 4 2 4 2 2 5" xfId="26208"/>
    <cellStyle name="Normal 7 3 4 2 4 2 3" xfId="26209"/>
    <cellStyle name="Normal 7 3 4 2 4 2 3 2" xfId="26210"/>
    <cellStyle name="Normal 7 3 4 2 4 2 3 2 2" xfId="26211"/>
    <cellStyle name="Normal 7 3 4 2 4 2 3 3" xfId="26212"/>
    <cellStyle name="Normal 7 3 4 2 4 2 3 3 2" xfId="26213"/>
    <cellStyle name="Normal 7 3 4 2 4 2 3 4" xfId="26214"/>
    <cellStyle name="Normal 7 3 4 2 4 2 3 4 2" xfId="26215"/>
    <cellStyle name="Normal 7 3 4 2 4 2 3 5" xfId="26216"/>
    <cellStyle name="Normal 7 3 4 2 4 2 4" xfId="26217"/>
    <cellStyle name="Normal 7 3 4 2 4 2 4 2" xfId="26218"/>
    <cellStyle name="Normal 7 3 4 2 4 2 5" xfId="26219"/>
    <cellStyle name="Normal 7 3 4 2 4 2 5 2" xfId="26220"/>
    <cellStyle name="Normal 7 3 4 2 4 2 6" xfId="26221"/>
    <cellStyle name="Normal 7 3 4 2 4 2 6 2" xfId="26222"/>
    <cellStyle name="Normal 7 3 4 2 4 2 7" xfId="26223"/>
    <cellStyle name="Normal 7 3 4 2 4 3" xfId="26224"/>
    <cellStyle name="Normal 7 3 4 2 4 3 2" xfId="26225"/>
    <cellStyle name="Normal 7 3 4 2 4 3 2 2" xfId="26226"/>
    <cellStyle name="Normal 7 3 4 2 4 3 3" xfId="26227"/>
    <cellStyle name="Normal 7 3 4 2 4 3 3 2" xfId="26228"/>
    <cellStyle name="Normal 7 3 4 2 4 3 4" xfId="26229"/>
    <cellStyle name="Normal 7 3 4 2 4 3 4 2" xfId="26230"/>
    <cellStyle name="Normal 7 3 4 2 4 3 5" xfId="26231"/>
    <cellStyle name="Normal 7 3 4 2 4 4" xfId="26232"/>
    <cellStyle name="Normal 7 3 4 2 4 4 2" xfId="26233"/>
    <cellStyle name="Normal 7 3 4 2 4 4 2 2" xfId="26234"/>
    <cellStyle name="Normal 7 3 4 2 4 4 3" xfId="26235"/>
    <cellStyle name="Normal 7 3 4 2 4 4 3 2" xfId="26236"/>
    <cellStyle name="Normal 7 3 4 2 4 4 4" xfId="26237"/>
    <cellStyle name="Normal 7 3 4 2 4 4 4 2" xfId="26238"/>
    <cellStyle name="Normal 7 3 4 2 4 4 5" xfId="26239"/>
    <cellStyle name="Normal 7 3 4 2 4 5" xfId="26240"/>
    <cellStyle name="Normal 7 3 4 2 4 5 2" xfId="26241"/>
    <cellStyle name="Normal 7 3 4 2 4 6" xfId="26242"/>
    <cellStyle name="Normal 7 3 4 2 4 6 2" xfId="26243"/>
    <cellStyle name="Normal 7 3 4 2 4 7" xfId="26244"/>
    <cellStyle name="Normal 7 3 4 2 4 7 2" xfId="26245"/>
    <cellStyle name="Normal 7 3 4 2 4 8" xfId="26246"/>
    <cellStyle name="Normal 7 3 4 2 5" xfId="26247"/>
    <cellStyle name="Normal 7 3 4 2 5 2" xfId="26248"/>
    <cellStyle name="Normal 7 3 4 2 5 2 2" xfId="26249"/>
    <cellStyle name="Normal 7 3 4 2 5 2 2 2" xfId="26250"/>
    <cellStyle name="Normal 7 3 4 2 5 2 2 2 2" xfId="26251"/>
    <cellStyle name="Normal 7 3 4 2 5 2 2 3" xfId="26252"/>
    <cellStyle name="Normal 7 3 4 2 5 2 2 3 2" xfId="26253"/>
    <cellStyle name="Normal 7 3 4 2 5 2 2 4" xfId="26254"/>
    <cellStyle name="Normal 7 3 4 2 5 2 2 4 2" xfId="26255"/>
    <cellStyle name="Normal 7 3 4 2 5 2 2 5" xfId="26256"/>
    <cellStyle name="Normal 7 3 4 2 5 2 3" xfId="26257"/>
    <cellStyle name="Normal 7 3 4 2 5 2 3 2" xfId="26258"/>
    <cellStyle name="Normal 7 3 4 2 5 2 3 2 2" xfId="26259"/>
    <cellStyle name="Normal 7 3 4 2 5 2 3 3" xfId="26260"/>
    <cellStyle name="Normal 7 3 4 2 5 2 3 3 2" xfId="26261"/>
    <cellStyle name="Normal 7 3 4 2 5 2 3 4" xfId="26262"/>
    <cellStyle name="Normal 7 3 4 2 5 2 3 4 2" xfId="26263"/>
    <cellStyle name="Normal 7 3 4 2 5 2 3 5" xfId="26264"/>
    <cellStyle name="Normal 7 3 4 2 5 2 4" xfId="26265"/>
    <cellStyle name="Normal 7 3 4 2 5 2 4 2" xfId="26266"/>
    <cellStyle name="Normal 7 3 4 2 5 2 5" xfId="26267"/>
    <cellStyle name="Normal 7 3 4 2 5 2 5 2" xfId="26268"/>
    <cellStyle name="Normal 7 3 4 2 5 2 6" xfId="26269"/>
    <cellStyle name="Normal 7 3 4 2 5 2 6 2" xfId="26270"/>
    <cellStyle name="Normal 7 3 4 2 5 2 7" xfId="26271"/>
    <cellStyle name="Normal 7 3 4 2 5 3" xfId="26272"/>
    <cellStyle name="Normal 7 3 4 2 5 3 2" xfId="26273"/>
    <cellStyle name="Normal 7 3 4 2 5 3 2 2" xfId="26274"/>
    <cellStyle name="Normal 7 3 4 2 5 3 3" xfId="26275"/>
    <cellStyle name="Normal 7 3 4 2 5 3 3 2" xfId="26276"/>
    <cellStyle name="Normal 7 3 4 2 5 3 4" xfId="26277"/>
    <cellStyle name="Normal 7 3 4 2 5 3 4 2" xfId="26278"/>
    <cellStyle name="Normal 7 3 4 2 5 3 5" xfId="26279"/>
    <cellStyle name="Normal 7 3 4 2 5 4" xfId="26280"/>
    <cellStyle name="Normal 7 3 4 2 5 4 2" xfId="26281"/>
    <cellStyle name="Normal 7 3 4 2 5 4 2 2" xfId="26282"/>
    <cellStyle name="Normal 7 3 4 2 5 4 3" xfId="26283"/>
    <cellStyle name="Normal 7 3 4 2 5 4 3 2" xfId="26284"/>
    <cellStyle name="Normal 7 3 4 2 5 4 4" xfId="26285"/>
    <cellStyle name="Normal 7 3 4 2 5 4 4 2" xfId="26286"/>
    <cellStyle name="Normal 7 3 4 2 5 4 5" xfId="26287"/>
    <cellStyle name="Normal 7 3 4 2 5 5" xfId="26288"/>
    <cellStyle name="Normal 7 3 4 2 5 5 2" xfId="26289"/>
    <cellStyle name="Normal 7 3 4 2 5 6" xfId="26290"/>
    <cellStyle name="Normal 7 3 4 2 5 6 2" xfId="26291"/>
    <cellStyle name="Normal 7 3 4 2 5 7" xfId="26292"/>
    <cellStyle name="Normal 7 3 4 2 5 7 2" xfId="26293"/>
    <cellStyle name="Normal 7 3 4 2 5 8" xfId="26294"/>
    <cellStyle name="Normal 7 3 4 2 6" xfId="26295"/>
    <cellStyle name="Normal 7 3 4 2 6 2" xfId="26296"/>
    <cellStyle name="Normal 7 3 4 2 6 2 2" xfId="26297"/>
    <cellStyle name="Normal 7 3 4 2 6 2 2 2" xfId="26298"/>
    <cellStyle name="Normal 7 3 4 2 6 2 2 2 2" xfId="26299"/>
    <cellStyle name="Normal 7 3 4 2 6 2 2 3" xfId="26300"/>
    <cellStyle name="Normal 7 3 4 2 6 2 2 3 2" xfId="26301"/>
    <cellStyle name="Normal 7 3 4 2 6 2 2 4" xfId="26302"/>
    <cellStyle name="Normal 7 3 4 2 6 2 2 4 2" xfId="26303"/>
    <cellStyle name="Normal 7 3 4 2 6 2 2 5" xfId="26304"/>
    <cellStyle name="Normal 7 3 4 2 6 2 3" xfId="26305"/>
    <cellStyle name="Normal 7 3 4 2 6 2 3 2" xfId="26306"/>
    <cellStyle name="Normal 7 3 4 2 6 2 3 2 2" xfId="26307"/>
    <cellStyle name="Normal 7 3 4 2 6 2 3 3" xfId="26308"/>
    <cellStyle name="Normal 7 3 4 2 6 2 3 3 2" xfId="26309"/>
    <cellStyle name="Normal 7 3 4 2 6 2 3 4" xfId="26310"/>
    <cellStyle name="Normal 7 3 4 2 6 2 3 4 2" xfId="26311"/>
    <cellStyle name="Normal 7 3 4 2 6 2 3 5" xfId="26312"/>
    <cellStyle name="Normal 7 3 4 2 6 2 4" xfId="26313"/>
    <cellStyle name="Normal 7 3 4 2 6 2 4 2" xfId="26314"/>
    <cellStyle name="Normal 7 3 4 2 6 2 5" xfId="26315"/>
    <cellStyle name="Normal 7 3 4 2 6 2 5 2" xfId="26316"/>
    <cellStyle name="Normal 7 3 4 2 6 2 6" xfId="26317"/>
    <cellStyle name="Normal 7 3 4 2 6 2 6 2" xfId="26318"/>
    <cellStyle name="Normal 7 3 4 2 6 2 7" xfId="26319"/>
    <cellStyle name="Normal 7 3 4 2 6 3" xfId="26320"/>
    <cellStyle name="Normal 7 3 4 2 6 3 2" xfId="26321"/>
    <cellStyle name="Normal 7 3 4 2 6 3 2 2" xfId="26322"/>
    <cellStyle name="Normal 7 3 4 2 6 3 3" xfId="26323"/>
    <cellStyle name="Normal 7 3 4 2 6 3 3 2" xfId="26324"/>
    <cellStyle name="Normal 7 3 4 2 6 3 4" xfId="26325"/>
    <cellStyle name="Normal 7 3 4 2 6 3 4 2" xfId="26326"/>
    <cellStyle name="Normal 7 3 4 2 6 3 5" xfId="26327"/>
    <cellStyle name="Normal 7 3 4 2 6 4" xfId="26328"/>
    <cellStyle name="Normal 7 3 4 2 6 4 2" xfId="26329"/>
    <cellStyle name="Normal 7 3 4 2 6 4 2 2" xfId="26330"/>
    <cellStyle name="Normal 7 3 4 2 6 4 3" xfId="26331"/>
    <cellStyle name="Normal 7 3 4 2 6 4 3 2" xfId="26332"/>
    <cellStyle name="Normal 7 3 4 2 6 4 4" xfId="26333"/>
    <cellStyle name="Normal 7 3 4 2 6 4 4 2" xfId="26334"/>
    <cellStyle name="Normal 7 3 4 2 6 4 5" xfId="26335"/>
    <cellStyle name="Normal 7 3 4 2 6 5" xfId="26336"/>
    <cellStyle name="Normal 7 3 4 2 6 5 2" xfId="26337"/>
    <cellStyle name="Normal 7 3 4 2 6 6" xfId="26338"/>
    <cellStyle name="Normal 7 3 4 2 6 6 2" xfId="26339"/>
    <cellStyle name="Normal 7 3 4 2 6 7" xfId="26340"/>
    <cellStyle name="Normal 7 3 4 2 6 7 2" xfId="26341"/>
    <cellStyle name="Normal 7 3 4 2 6 8" xfId="26342"/>
    <cellStyle name="Normal 7 3 4 2 7" xfId="26343"/>
    <cellStyle name="Normal 7 3 4 2 7 2" xfId="26344"/>
    <cellStyle name="Normal 7 3 4 2 7 2 2" xfId="26345"/>
    <cellStyle name="Normal 7 3 4 2 7 2 2 2" xfId="26346"/>
    <cellStyle name="Normal 7 3 4 2 7 2 3" xfId="26347"/>
    <cellStyle name="Normal 7 3 4 2 7 2 3 2" xfId="26348"/>
    <cellStyle name="Normal 7 3 4 2 7 2 4" xfId="26349"/>
    <cellStyle name="Normal 7 3 4 2 7 2 4 2" xfId="26350"/>
    <cellStyle name="Normal 7 3 4 2 7 2 5" xfId="26351"/>
    <cellStyle name="Normal 7 3 4 2 7 3" xfId="26352"/>
    <cellStyle name="Normal 7 3 4 2 7 3 2" xfId="26353"/>
    <cellStyle name="Normal 7 3 4 2 7 3 2 2" xfId="26354"/>
    <cellStyle name="Normal 7 3 4 2 7 3 3" xfId="26355"/>
    <cellStyle name="Normal 7 3 4 2 7 3 3 2" xfId="26356"/>
    <cellStyle name="Normal 7 3 4 2 7 3 4" xfId="26357"/>
    <cellStyle name="Normal 7 3 4 2 7 3 4 2" xfId="26358"/>
    <cellStyle name="Normal 7 3 4 2 7 3 5" xfId="26359"/>
    <cellStyle name="Normal 7 3 4 2 7 4" xfId="26360"/>
    <cellStyle name="Normal 7 3 4 2 7 4 2" xfId="26361"/>
    <cellStyle name="Normal 7 3 4 2 7 5" xfId="26362"/>
    <cellStyle name="Normal 7 3 4 2 7 5 2" xfId="26363"/>
    <cellStyle name="Normal 7 3 4 2 7 6" xfId="26364"/>
    <cellStyle name="Normal 7 3 4 2 7 6 2" xfId="26365"/>
    <cellStyle name="Normal 7 3 4 2 7 7" xfId="26366"/>
    <cellStyle name="Normal 7 3 4 2 8" xfId="26367"/>
    <cellStyle name="Normal 7 3 4 2 8 2" xfId="26368"/>
    <cellStyle name="Normal 7 3 4 2 8 2 2" xfId="26369"/>
    <cellStyle name="Normal 7 3 4 2 8 3" xfId="26370"/>
    <cellStyle name="Normal 7 3 4 2 8 3 2" xfId="26371"/>
    <cellStyle name="Normal 7 3 4 2 8 4" xfId="26372"/>
    <cellStyle name="Normal 7 3 4 2 8 4 2" xfId="26373"/>
    <cellStyle name="Normal 7 3 4 2 8 5" xfId="26374"/>
    <cellStyle name="Normal 7 3 4 2 9" xfId="26375"/>
    <cellStyle name="Normal 7 3 4 2 9 2" xfId="26376"/>
    <cellStyle name="Normal 7 3 4 2 9 2 2" xfId="26377"/>
    <cellStyle name="Normal 7 3 4 2 9 3" xfId="26378"/>
    <cellStyle name="Normal 7 3 4 2 9 3 2" xfId="26379"/>
    <cellStyle name="Normal 7 3 4 2 9 4" xfId="26380"/>
    <cellStyle name="Normal 7 3 4 2 9 4 2" xfId="26381"/>
    <cellStyle name="Normal 7 3 4 2 9 5" xfId="26382"/>
    <cellStyle name="Normal 7 3 4 3" xfId="26383"/>
    <cellStyle name="Normal 7 3 4 3 2" xfId="26384"/>
    <cellStyle name="Normal 7 3 4 3 2 2" xfId="26385"/>
    <cellStyle name="Normal 7 3 4 3 2 2 2" xfId="26386"/>
    <cellStyle name="Normal 7 3 4 3 2 2 2 2" xfId="26387"/>
    <cellStyle name="Normal 7 3 4 3 2 2 3" xfId="26388"/>
    <cellStyle name="Normal 7 3 4 3 2 2 3 2" xfId="26389"/>
    <cellStyle name="Normal 7 3 4 3 2 2 4" xfId="26390"/>
    <cellStyle name="Normal 7 3 4 3 2 2 4 2" xfId="26391"/>
    <cellStyle name="Normal 7 3 4 3 2 2 5" xfId="26392"/>
    <cellStyle name="Normal 7 3 4 3 2 3" xfId="26393"/>
    <cellStyle name="Normal 7 3 4 3 2 3 2" xfId="26394"/>
    <cellStyle name="Normal 7 3 4 3 2 3 2 2" xfId="26395"/>
    <cellStyle name="Normal 7 3 4 3 2 3 3" xfId="26396"/>
    <cellStyle name="Normal 7 3 4 3 2 3 3 2" xfId="26397"/>
    <cellStyle name="Normal 7 3 4 3 2 3 4" xfId="26398"/>
    <cellStyle name="Normal 7 3 4 3 2 3 4 2" xfId="26399"/>
    <cellStyle name="Normal 7 3 4 3 2 3 5" xfId="26400"/>
    <cellStyle name="Normal 7 3 4 3 2 4" xfId="26401"/>
    <cellStyle name="Normal 7 3 4 3 2 4 2" xfId="26402"/>
    <cellStyle name="Normal 7 3 4 3 2 5" xfId="26403"/>
    <cellStyle name="Normal 7 3 4 3 2 5 2" xfId="26404"/>
    <cellStyle name="Normal 7 3 4 3 2 6" xfId="26405"/>
    <cellStyle name="Normal 7 3 4 3 2 6 2" xfId="26406"/>
    <cellStyle name="Normal 7 3 4 3 2 7" xfId="26407"/>
    <cellStyle name="Normal 7 3 4 3 3" xfId="26408"/>
    <cellStyle name="Normal 7 3 4 3 3 2" xfId="26409"/>
    <cellStyle name="Normal 7 3 4 3 3 2 2" xfId="26410"/>
    <cellStyle name="Normal 7 3 4 3 3 3" xfId="26411"/>
    <cellStyle name="Normal 7 3 4 3 3 3 2" xfId="26412"/>
    <cellStyle name="Normal 7 3 4 3 3 4" xfId="26413"/>
    <cellStyle name="Normal 7 3 4 3 3 4 2" xfId="26414"/>
    <cellStyle name="Normal 7 3 4 3 3 5" xfId="26415"/>
    <cellStyle name="Normal 7 3 4 3 4" xfId="26416"/>
    <cellStyle name="Normal 7 3 4 3 4 2" xfId="26417"/>
    <cellStyle name="Normal 7 3 4 3 4 2 2" xfId="26418"/>
    <cellStyle name="Normal 7 3 4 3 4 3" xfId="26419"/>
    <cellStyle name="Normal 7 3 4 3 4 3 2" xfId="26420"/>
    <cellStyle name="Normal 7 3 4 3 4 4" xfId="26421"/>
    <cellStyle name="Normal 7 3 4 3 4 4 2" xfId="26422"/>
    <cellStyle name="Normal 7 3 4 3 4 5" xfId="26423"/>
    <cellStyle name="Normal 7 3 4 3 5" xfId="26424"/>
    <cellStyle name="Normal 7 3 4 3 5 2" xfId="26425"/>
    <cellStyle name="Normal 7 3 4 3 6" xfId="26426"/>
    <cellStyle name="Normal 7 3 4 3 6 2" xfId="26427"/>
    <cellStyle name="Normal 7 3 4 3 7" xfId="26428"/>
    <cellStyle name="Normal 7 3 4 3 7 2" xfId="26429"/>
    <cellStyle name="Normal 7 3 4 3 8" xfId="26430"/>
    <cellStyle name="Normal 7 3 4 4" xfId="26431"/>
    <cellStyle name="Normal 7 3 4 4 2" xfId="26432"/>
    <cellStyle name="Normal 7 3 4 4 2 2" xfId="26433"/>
    <cellStyle name="Normal 7 3 4 4 2 2 2" xfId="26434"/>
    <cellStyle name="Normal 7 3 4 4 2 2 2 2" xfId="26435"/>
    <cellStyle name="Normal 7 3 4 4 2 2 3" xfId="26436"/>
    <cellStyle name="Normal 7 3 4 4 2 2 3 2" xfId="26437"/>
    <cellStyle name="Normal 7 3 4 4 2 2 4" xfId="26438"/>
    <cellStyle name="Normal 7 3 4 4 2 2 4 2" xfId="26439"/>
    <cellStyle name="Normal 7 3 4 4 2 2 5" xfId="26440"/>
    <cellStyle name="Normal 7 3 4 4 2 3" xfId="26441"/>
    <cellStyle name="Normal 7 3 4 4 2 3 2" xfId="26442"/>
    <cellStyle name="Normal 7 3 4 4 2 3 2 2" xfId="26443"/>
    <cellStyle name="Normal 7 3 4 4 2 3 3" xfId="26444"/>
    <cellStyle name="Normal 7 3 4 4 2 3 3 2" xfId="26445"/>
    <cellStyle name="Normal 7 3 4 4 2 3 4" xfId="26446"/>
    <cellStyle name="Normal 7 3 4 4 2 3 4 2" xfId="26447"/>
    <cellStyle name="Normal 7 3 4 4 2 3 5" xfId="26448"/>
    <cellStyle name="Normal 7 3 4 4 2 4" xfId="26449"/>
    <cellStyle name="Normal 7 3 4 4 2 4 2" xfId="26450"/>
    <cellStyle name="Normal 7 3 4 4 2 5" xfId="26451"/>
    <cellStyle name="Normal 7 3 4 4 2 5 2" xfId="26452"/>
    <cellStyle name="Normal 7 3 4 4 2 6" xfId="26453"/>
    <cellStyle name="Normal 7 3 4 4 2 6 2" xfId="26454"/>
    <cellStyle name="Normal 7 3 4 4 2 7" xfId="26455"/>
    <cellStyle name="Normal 7 3 4 4 3" xfId="26456"/>
    <cellStyle name="Normal 7 3 4 4 3 2" xfId="26457"/>
    <cellStyle name="Normal 7 3 4 4 3 2 2" xfId="26458"/>
    <cellStyle name="Normal 7 3 4 4 3 3" xfId="26459"/>
    <cellStyle name="Normal 7 3 4 4 3 3 2" xfId="26460"/>
    <cellStyle name="Normal 7 3 4 4 3 4" xfId="26461"/>
    <cellStyle name="Normal 7 3 4 4 3 4 2" xfId="26462"/>
    <cellStyle name="Normal 7 3 4 4 3 5" xfId="26463"/>
    <cellStyle name="Normal 7 3 4 4 4" xfId="26464"/>
    <cellStyle name="Normal 7 3 4 4 4 2" xfId="26465"/>
    <cellStyle name="Normal 7 3 4 4 4 2 2" xfId="26466"/>
    <cellStyle name="Normal 7 3 4 4 4 3" xfId="26467"/>
    <cellStyle name="Normal 7 3 4 4 4 3 2" xfId="26468"/>
    <cellStyle name="Normal 7 3 4 4 4 4" xfId="26469"/>
    <cellStyle name="Normal 7 3 4 4 4 4 2" xfId="26470"/>
    <cellStyle name="Normal 7 3 4 4 4 5" xfId="26471"/>
    <cellStyle name="Normal 7 3 4 4 5" xfId="26472"/>
    <cellStyle name="Normal 7 3 4 4 5 2" xfId="26473"/>
    <cellStyle name="Normal 7 3 4 4 6" xfId="26474"/>
    <cellStyle name="Normal 7 3 4 4 6 2" xfId="26475"/>
    <cellStyle name="Normal 7 3 4 4 7" xfId="26476"/>
    <cellStyle name="Normal 7 3 4 4 7 2" xfId="26477"/>
    <cellStyle name="Normal 7 3 4 4 8" xfId="26478"/>
    <cellStyle name="Normal 7 3 4 5" xfId="26479"/>
    <cellStyle name="Normal 7 3 4 5 2" xfId="26480"/>
    <cellStyle name="Normal 7 3 4 5 2 2" xfId="26481"/>
    <cellStyle name="Normal 7 3 4 5 2 2 2" xfId="26482"/>
    <cellStyle name="Normal 7 3 4 5 2 2 2 2" xfId="26483"/>
    <cellStyle name="Normal 7 3 4 5 2 2 3" xfId="26484"/>
    <cellStyle name="Normal 7 3 4 5 2 2 3 2" xfId="26485"/>
    <cellStyle name="Normal 7 3 4 5 2 2 4" xfId="26486"/>
    <cellStyle name="Normal 7 3 4 5 2 2 4 2" xfId="26487"/>
    <cellStyle name="Normal 7 3 4 5 2 2 5" xfId="26488"/>
    <cellStyle name="Normal 7 3 4 5 2 3" xfId="26489"/>
    <cellStyle name="Normal 7 3 4 5 2 3 2" xfId="26490"/>
    <cellStyle name="Normal 7 3 4 5 2 3 2 2" xfId="26491"/>
    <cellStyle name="Normal 7 3 4 5 2 3 3" xfId="26492"/>
    <cellStyle name="Normal 7 3 4 5 2 3 3 2" xfId="26493"/>
    <cellStyle name="Normal 7 3 4 5 2 3 4" xfId="26494"/>
    <cellStyle name="Normal 7 3 4 5 2 3 4 2" xfId="26495"/>
    <cellStyle name="Normal 7 3 4 5 2 3 5" xfId="26496"/>
    <cellStyle name="Normal 7 3 4 5 2 4" xfId="26497"/>
    <cellStyle name="Normal 7 3 4 5 2 4 2" xfId="26498"/>
    <cellStyle name="Normal 7 3 4 5 2 5" xfId="26499"/>
    <cellStyle name="Normal 7 3 4 5 2 5 2" xfId="26500"/>
    <cellStyle name="Normal 7 3 4 5 2 6" xfId="26501"/>
    <cellStyle name="Normal 7 3 4 5 2 6 2" xfId="26502"/>
    <cellStyle name="Normal 7 3 4 5 2 7" xfId="26503"/>
    <cellStyle name="Normal 7 3 4 5 3" xfId="26504"/>
    <cellStyle name="Normal 7 3 4 5 3 2" xfId="26505"/>
    <cellStyle name="Normal 7 3 4 5 3 2 2" xfId="26506"/>
    <cellStyle name="Normal 7 3 4 5 3 3" xfId="26507"/>
    <cellStyle name="Normal 7 3 4 5 3 3 2" xfId="26508"/>
    <cellStyle name="Normal 7 3 4 5 3 4" xfId="26509"/>
    <cellStyle name="Normal 7 3 4 5 3 4 2" xfId="26510"/>
    <cellStyle name="Normal 7 3 4 5 3 5" xfId="26511"/>
    <cellStyle name="Normal 7 3 4 5 4" xfId="26512"/>
    <cellStyle name="Normal 7 3 4 5 4 2" xfId="26513"/>
    <cellStyle name="Normal 7 3 4 5 4 2 2" xfId="26514"/>
    <cellStyle name="Normal 7 3 4 5 4 3" xfId="26515"/>
    <cellStyle name="Normal 7 3 4 5 4 3 2" xfId="26516"/>
    <cellStyle name="Normal 7 3 4 5 4 4" xfId="26517"/>
    <cellStyle name="Normal 7 3 4 5 4 4 2" xfId="26518"/>
    <cellStyle name="Normal 7 3 4 5 4 5" xfId="26519"/>
    <cellStyle name="Normal 7 3 4 5 5" xfId="26520"/>
    <cellStyle name="Normal 7 3 4 5 5 2" xfId="26521"/>
    <cellStyle name="Normal 7 3 4 5 6" xfId="26522"/>
    <cellStyle name="Normal 7 3 4 5 6 2" xfId="26523"/>
    <cellStyle name="Normal 7 3 4 5 7" xfId="26524"/>
    <cellStyle name="Normal 7 3 4 5 7 2" xfId="26525"/>
    <cellStyle name="Normal 7 3 4 5 8" xfId="26526"/>
    <cellStyle name="Normal 7 3 4 6" xfId="26527"/>
    <cellStyle name="Normal 7 3 4 6 2" xfId="26528"/>
    <cellStyle name="Normal 7 3 4 6 2 2" xfId="26529"/>
    <cellStyle name="Normal 7 3 4 6 2 2 2" xfId="26530"/>
    <cellStyle name="Normal 7 3 4 6 2 2 2 2" xfId="26531"/>
    <cellStyle name="Normal 7 3 4 6 2 2 3" xfId="26532"/>
    <cellStyle name="Normal 7 3 4 6 2 2 3 2" xfId="26533"/>
    <cellStyle name="Normal 7 3 4 6 2 2 4" xfId="26534"/>
    <cellStyle name="Normal 7 3 4 6 2 2 4 2" xfId="26535"/>
    <cellStyle name="Normal 7 3 4 6 2 2 5" xfId="26536"/>
    <cellStyle name="Normal 7 3 4 6 2 3" xfId="26537"/>
    <cellStyle name="Normal 7 3 4 6 2 3 2" xfId="26538"/>
    <cellStyle name="Normal 7 3 4 6 2 3 2 2" xfId="26539"/>
    <cellStyle name="Normal 7 3 4 6 2 3 3" xfId="26540"/>
    <cellStyle name="Normal 7 3 4 6 2 3 3 2" xfId="26541"/>
    <cellStyle name="Normal 7 3 4 6 2 3 4" xfId="26542"/>
    <cellStyle name="Normal 7 3 4 6 2 3 4 2" xfId="26543"/>
    <cellStyle name="Normal 7 3 4 6 2 3 5" xfId="26544"/>
    <cellStyle name="Normal 7 3 4 6 2 4" xfId="26545"/>
    <cellStyle name="Normal 7 3 4 6 2 4 2" xfId="26546"/>
    <cellStyle name="Normal 7 3 4 6 2 5" xfId="26547"/>
    <cellStyle name="Normal 7 3 4 6 2 5 2" xfId="26548"/>
    <cellStyle name="Normal 7 3 4 6 2 6" xfId="26549"/>
    <cellStyle name="Normal 7 3 4 6 2 6 2" xfId="26550"/>
    <cellStyle name="Normal 7 3 4 6 2 7" xfId="26551"/>
    <cellStyle name="Normal 7 3 4 6 3" xfId="26552"/>
    <cellStyle name="Normal 7 3 4 6 3 2" xfId="26553"/>
    <cellStyle name="Normal 7 3 4 6 3 2 2" xfId="26554"/>
    <cellStyle name="Normal 7 3 4 6 3 3" xfId="26555"/>
    <cellStyle name="Normal 7 3 4 6 3 3 2" xfId="26556"/>
    <cellStyle name="Normal 7 3 4 6 3 4" xfId="26557"/>
    <cellStyle name="Normal 7 3 4 6 3 4 2" xfId="26558"/>
    <cellStyle name="Normal 7 3 4 6 3 5" xfId="26559"/>
    <cellStyle name="Normal 7 3 4 6 4" xfId="26560"/>
    <cellStyle name="Normal 7 3 4 6 4 2" xfId="26561"/>
    <cellStyle name="Normal 7 3 4 6 4 2 2" xfId="26562"/>
    <cellStyle name="Normal 7 3 4 6 4 3" xfId="26563"/>
    <cellStyle name="Normal 7 3 4 6 4 3 2" xfId="26564"/>
    <cellStyle name="Normal 7 3 4 6 4 4" xfId="26565"/>
    <cellStyle name="Normal 7 3 4 6 4 4 2" xfId="26566"/>
    <cellStyle name="Normal 7 3 4 6 4 5" xfId="26567"/>
    <cellStyle name="Normal 7 3 4 6 5" xfId="26568"/>
    <cellStyle name="Normal 7 3 4 6 5 2" xfId="26569"/>
    <cellStyle name="Normal 7 3 4 6 6" xfId="26570"/>
    <cellStyle name="Normal 7 3 4 6 6 2" xfId="26571"/>
    <cellStyle name="Normal 7 3 4 6 7" xfId="26572"/>
    <cellStyle name="Normal 7 3 4 6 7 2" xfId="26573"/>
    <cellStyle name="Normal 7 3 4 6 8" xfId="26574"/>
    <cellStyle name="Normal 7 3 4 7" xfId="26575"/>
    <cellStyle name="Normal 7 3 4 7 2" xfId="26576"/>
    <cellStyle name="Normal 7 3 4 7 2 2" xfId="26577"/>
    <cellStyle name="Normal 7 3 4 7 2 2 2" xfId="26578"/>
    <cellStyle name="Normal 7 3 4 7 2 2 2 2" xfId="26579"/>
    <cellStyle name="Normal 7 3 4 7 2 2 3" xfId="26580"/>
    <cellStyle name="Normal 7 3 4 7 2 2 3 2" xfId="26581"/>
    <cellStyle name="Normal 7 3 4 7 2 2 4" xfId="26582"/>
    <cellStyle name="Normal 7 3 4 7 2 2 4 2" xfId="26583"/>
    <cellStyle name="Normal 7 3 4 7 2 2 5" xfId="26584"/>
    <cellStyle name="Normal 7 3 4 7 2 3" xfId="26585"/>
    <cellStyle name="Normal 7 3 4 7 2 3 2" xfId="26586"/>
    <cellStyle name="Normal 7 3 4 7 2 3 2 2" xfId="26587"/>
    <cellStyle name="Normal 7 3 4 7 2 3 3" xfId="26588"/>
    <cellStyle name="Normal 7 3 4 7 2 3 3 2" xfId="26589"/>
    <cellStyle name="Normal 7 3 4 7 2 3 4" xfId="26590"/>
    <cellStyle name="Normal 7 3 4 7 2 3 4 2" xfId="26591"/>
    <cellStyle name="Normal 7 3 4 7 2 3 5" xfId="26592"/>
    <cellStyle name="Normal 7 3 4 7 2 4" xfId="26593"/>
    <cellStyle name="Normal 7 3 4 7 2 4 2" xfId="26594"/>
    <cellStyle name="Normal 7 3 4 7 2 5" xfId="26595"/>
    <cellStyle name="Normal 7 3 4 7 2 5 2" xfId="26596"/>
    <cellStyle name="Normal 7 3 4 7 2 6" xfId="26597"/>
    <cellStyle name="Normal 7 3 4 7 2 6 2" xfId="26598"/>
    <cellStyle name="Normal 7 3 4 7 2 7" xfId="26599"/>
    <cellStyle name="Normal 7 3 4 7 3" xfId="26600"/>
    <cellStyle name="Normal 7 3 4 7 3 2" xfId="26601"/>
    <cellStyle name="Normal 7 3 4 7 3 2 2" xfId="26602"/>
    <cellStyle name="Normal 7 3 4 7 3 3" xfId="26603"/>
    <cellStyle name="Normal 7 3 4 7 3 3 2" xfId="26604"/>
    <cellStyle name="Normal 7 3 4 7 3 4" xfId="26605"/>
    <cellStyle name="Normal 7 3 4 7 3 4 2" xfId="26606"/>
    <cellStyle name="Normal 7 3 4 7 3 5" xfId="26607"/>
    <cellStyle name="Normal 7 3 4 7 4" xfId="26608"/>
    <cellStyle name="Normal 7 3 4 7 4 2" xfId="26609"/>
    <cellStyle name="Normal 7 3 4 7 4 2 2" xfId="26610"/>
    <cellStyle name="Normal 7 3 4 7 4 3" xfId="26611"/>
    <cellStyle name="Normal 7 3 4 7 4 3 2" xfId="26612"/>
    <cellStyle name="Normal 7 3 4 7 4 4" xfId="26613"/>
    <cellStyle name="Normal 7 3 4 7 4 4 2" xfId="26614"/>
    <cellStyle name="Normal 7 3 4 7 4 5" xfId="26615"/>
    <cellStyle name="Normal 7 3 4 7 5" xfId="26616"/>
    <cellStyle name="Normal 7 3 4 7 5 2" xfId="26617"/>
    <cellStyle name="Normal 7 3 4 7 6" xfId="26618"/>
    <cellStyle name="Normal 7 3 4 7 6 2" xfId="26619"/>
    <cellStyle name="Normal 7 3 4 7 7" xfId="26620"/>
    <cellStyle name="Normal 7 3 4 7 7 2" xfId="26621"/>
    <cellStyle name="Normal 7 3 4 7 8" xfId="26622"/>
    <cellStyle name="Normal 7 3 4 8" xfId="26623"/>
    <cellStyle name="Normal 7 3 4 8 2" xfId="26624"/>
    <cellStyle name="Normal 7 3 4 8 2 2" xfId="26625"/>
    <cellStyle name="Normal 7 3 4 8 2 2 2" xfId="26626"/>
    <cellStyle name="Normal 7 3 4 8 2 3" xfId="26627"/>
    <cellStyle name="Normal 7 3 4 8 2 3 2" xfId="26628"/>
    <cellStyle name="Normal 7 3 4 8 2 4" xfId="26629"/>
    <cellStyle name="Normal 7 3 4 8 2 4 2" xfId="26630"/>
    <cellStyle name="Normal 7 3 4 8 2 5" xfId="26631"/>
    <cellStyle name="Normal 7 3 4 8 3" xfId="26632"/>
    <cellStyle name="Normal 7 3 4 8 3 2" xfId="26633"/>
    <cellStyle name="Normal 7 3 4 8 3 2 2" xfId="26634"/>
    <cellStyle name="Normal 7 3 4 8 3 3" xfId="26635"/>
    <cellStyle name="Normal 7 3 4 8 3 3 2" xfId="26636"/>
    <cellStyle name="Normal 7 3 4 8 3 4" xfId="26637"/>
    <cellStyle name="Normal 7 3 4 8 3 4 2" xfId="26638"/>
    <cellStyle name="Normal 7 3 4 8 3 5" xfId="26639"/>
    <cellStyle name="Normal 7 3 4 8 4" xfId="26640"/>
    <cellStyle name="Normal 7 3 4 8 4 2" xfId="26641"/>
    <cellStyle name="Normal 7 3 4 8 5" xfId="26642"/>
    <cellStyle name="Normal 7 3 4 8 5 2" xfId="26643"/>
    <cellStyle name="Normal 7 3 4 8 6" xfId="26644"/>
    <cellStyle name="Normal 7 3 4 8 6 2" xfId="26645"/>
    <cellStyle name="Normal 7 3 4 8 7" xfId="26646"/>
    <cellStyle name="Normal 7 3 4 9" xfId="26647"/>
    <cellStyle name="Normal 7 3 4 9 2" xfId="26648"/>
    <cellStyle name="Normal 7 3 4 9 2 2" xfId="26649"/>
    <cellStyle name="Normal 7 3 4 9 3" xfId="26650"/>
    <cellStyle name="Normal 7 3 4 9 3 2" xfId="26651"/>
    <cellStyle name="Normal 7 3 4 9 4" xfId="26652"/>
    <cellStyle name="Normal 7 3 4 9 4 2" xfId="26653"/>
    <cellStyle name="Normal 7 3 4 9 5" xfId="26654"/>
    <cellStyle name="Normal 7 3 5" xfId="26655"/>
    <cellStyle name="Normal 7 3 5 10" xfId="26656"/>
    <cellStyle name="Normal 7 3 5 10 2" xfId="26657"/>
    <cellStyle name="Normal 7 3 5 10 2 2" xfId="26658"/>
    <cellStyle name="Normal 7 3 5 10 3" xfId="26659"/>
    <cellStyle name="Normal 7 3 5 10 3 2" xfId="26660"/>
    <cellStyle name="Normal 7 3 5 10 4" xfId="26661"/>
    <cellStyle name="Normal 7 3 5 10 4 2" xfId="26662"/>
    <cellStyle name="Normal 7 3 5 10 5" xfId="26663"/>
    <cellStyle name="Normal 7 3 5 11" xfId="26664"/>
    <cellStyle name="Normal 7 3 5 11 2" xfId="26665"/>
    <cellStyle name="Normal 7 3 5 12" xfId="26666"/>
    <cellStyle name="Normal 7 3 5 12 2" xfId="26667"/>
    <cellStyle name="Normal 7 3 5 13" xfId="26668"/>
    <cellStyle name="Normal 7 3 5 13 2" xfId="26669"/>
    <cellStyle name="Normal 7 3 5 14" xfId="26670"/>
    <cellStyle name="Normal 7 3 5 2" xfId="26671"/>
    <cellStyle name="Normal 7 3 5 2 10" xfId="26672"/>
    <cellStyle name="Normal 7 3 5 2 10 2" xfId="26673"/>
    <cellStyle name="Normal 7 3 5 2 11" xfId="26674"/>
    <cellStyle name="Normal 7 3 5 2 11 2" xfId="26675"/>
    <cellStyle name="Normal 7 3 5 2 12" xfId="26676"/>
    <cellStyle name="Normal 7 3 5 2 12 2" xfId="26677"/>
    <cellStyle name="Normal 7 3 5 2 13" xfId="26678"/>
    <cellStyle name="Normal 7 3 5 2 2" xfId="26679"/>
    <cellStyle name="Normal 7 3 5 2 2 2" xfId="26680"/>
    <cellStyle name="Normal 7 3 5 2 2 2 2" xfId="26681"/>
    <cellStyle name="Normal 7 3 5 2 2 2 2 2" xfId="26682"/>
    <cellStyle name="Normal 7 3 5 2 2 2 2 2 2" xfId="26683"/>
    <cellStyle name="Normal 7 3 5 2 2 2 2 3" xfId="26684"/>
    <cellStyle name="Normal 7 3 5 2 2 2 2 3 2" xfId="26685"/>
    <cellStyle name="Normal 7 3 5 2 2 2 2 4" xfId="26686"/>
    <cellStyle name="Normal 7 3 5 2 2 2 2 4 2" xfId="26687"/>
    <cellStyle name="Normal 7 3 5 2 2 2 2 5" xfId="26688"/>
    <cellStyle name="Normal 7 3 5 2 2 2 3" xfId="26689"/>
    <cellStyle name="Normal 7 3 5 2 2 2 3 2" xfId="26690"/>
    <cellStyle name="Normal 7 3 5 2 2 2 3 2 2" xfId="26691"/>
    <cellStyle name="Normal 7 3 5 2 2 2 3 3" xfId="26692"/>
    <cellStyle name="Normal 7 3 5 2 2 2 3 3 2" xfId="26693"/>
    <cellStyle name="Normal 7 3 5 2 2 2 3 4" xfId="26694"/>
    <cellStyle name="Normal 7 3 5 2 2 2 3 4 2" xfId="26695"/>
    <cellStyle name="Normal 7 3 5 2 2 2 3 5" xfId="26696"/>
    <cellStyle name="Normal 7 3 5 2 2 2 4" xfId="26697"/>
    <cellStyle name="Normal 7 3 5 2 2 2 4 2" xfId="26698"/>
    <cellStyle name="Normal 7 3 5 2 2 2 5" xfId="26699"/>
    <cellStyle name="Normal 7 3 5 2 2 2 5 2" xfId="26700"/>
    <cellStyle name="Normal 7 3 5 2 2 2 6" xfId="26701"/>
    <cellStyle name="Normal 7 3 5 2 2 2 6 2" xfId="26702"/>
    <cellStyle name="Normal 7 3 5 2 2 2 7" xfId="26703"/>
    <cellStyle name="Normal 7 3 5 2 2 3" xfId="26704"/>
    <cellStyle name="Normal 7 3 5 2 2 3 2" xfId="26705"/>
    <cellStyle name="Normal 7 3 5 2 2 3 2 2" xfId="26706"/>
    <cellStyle name="Normal 7 3 5 2 2 3 3" xfId="26707"/>
    <cellStyle name="Normal 7 3 5 2 2 3 3 2" xfId="26708"/>
    <cellStyle name="Normal 7 3 5 2 2 3 4" xfId="26709"/>
    <cellStyle name="Normal 7 3 5 2 2 3 4 2" xfId="26710"/>
    <cellStyle name="Normal 7 3 5 2 2 3 5" xfId="26711"/>
    <cellStyle name="Normal 7 3 5 2 2 4" xfId="26712"/>
    <cellStyle name="Normal 7 3 5 2 2 4 2" xfId="26713"/>
    <cellStyle name="Normal 7 3 5 2 2 4 2 2" xfId="26714"/>
    <cellStyle name="Normal 7 3 5 2 2 4 3" xfId="26715"/>
    <cellStyle name="Normal 7 3 5 2 2 4 3 2" xfId="26716"/>
    <cellStyle name="Normal 7 3 5 2 2 4 4" xfId="26717"/>
    <cellStyle name="Normal 7 3 5 2 2 4 4 2" xfId="26718"/>
    <cellStyle name="Normal 7 3 5 2 2 4 5" xfId="26719"/>
    <cellStyle name="Normal 7 3 5 2 2 5" xfId="26720"/>
    <cellStyle name="Normal 7 3 5 2 2 5 2" xfId="26721"/>
    <cellStyle name="Normal 7 3 5 2 2 6" xfId="26722"/>
    <cellStyle name="Normal 7 3 5 2 2 6 2" xfId="26723"/>
    <cellStyle name="Normal 7 3 5 2 2 7" xfId="26724"/>
    <cellStyle name="Normal 7 3 5 2 2 7 2" xfId="26725"/>
    <cellStyle name="Normal 7 3 5 2 2 8" xfId="26726"/>
    <cellStyle name="Normal 7 3 5 2 3" xfId="26727"/>
    <cellStyle name="Normal 7 3 5 2 3 2" xfId="26728"/>
    <cellStyle name="Normal 7 3 5 2 3 2 2" xfId="26729"/>
    <cellStyle name="Normal 7 3 5 2 3 2 2 2" xfId="26730"/>
    <cellStyle name="Normal 7 3 5 2 3 2 2 2 2" xfId="26731"/>
    <cellStyle name="Normal 7 3 5 2 3 2 2 3" xfId="26732"/>
    <cellStyle name="Normal 7 3 5 2 3 2 2 3 2" xfId="26733"/>
    <cellStyle name="Normal 7 3 5 2 3 2 2 4" xfId="26734"/>
    <cellStyle name="Normal 7 3 5 2 3 2 2 4 2" xfId="26735"/>
    <cellStyle name="Normal 7 3 5 2 3 2 2 5" xfId="26736"/>
    <cellStyle name="Normal 7 3 5 2 3 2 3" xfId="26737"/>
    <cellStyle name="Normal 7 3 5 2 3 2 3 2" xfId="26738"/>
    <cellStyle name="Normal 7 3 5 2 3 2 3 2 2" xfId="26739"/>
    <cellStyle name="Normal 7 3 5 2 3 2 3 3" xfId="26740"/>
    <cellStyle name="Normal 7 3 5 2 3 2 3 3 2" xfId="26741"/>
    <cellStyle name="Normal 7 3 5 2 3 2 3 4" xfId="26742"/>
    <cellStyle name="Normal 7 3 5 2 3 2 3 4 2" xfId="26743"/>
    <cellStyle name="Normal 7 3 5 2 3 2 3 5" xfId="26744"/>
    <cellStyle name="Normal 7 3 5 2 3 2 4" xfId="26745"/>
    <cellStyle name="Normal 7 3 5 2 3 2 4 2" xfId="26746"/>
    <cellStyle name="Normal 7 3 5 2 3 2 5" xfId="26747"/>
    <cellStyle name="Normal 7 3 5 2 3 2 5 2" xfId="26748"/>
    <cellStyle name="Normal 7 3 5 2 3 2 6" xfId="26749"/>
    <cellStyle name="Normal 7 3 5 2 3 2 6 2" xfId="26750"/>
    <cellStyle name="Normal 7 3 5 2 3 2 7" xfId="26751"/>
    <cellStyle name="Normal 7 3 5 2 3 3" xfId="26752"/>
    <cellStyle name="Normal 7 3 5 2 3 3 2" xfId="26753"/>
    <cellStyle name="Normal 7 3 5 2 3 3 2 2" xfId="26754"/>
    <cellStyle name="Normal 7 3 5 2 3 3 3" xfId="26755"/>
    <cellStyle name="Normal 7 3 5 2 3 3 3 2" xfId="26756"/>
    <cellStyle name="Normal 7 3 5 2 3 3 4" xfId="26757"/>
    <cellStyle name="Normal 7 3 5 2 3 3 4 2" xfId="26758"/>
    <cellStyle name="Normal 7 3 5 2 3 3 5" xfId="26759"/>
    <cellStyle name="Normal 7 3 5 2 3 4" xfId="26760"/>
    <cellStyle name="Normal 7 3 5 2 3 4 2" xfId="26761"/>
    <cellStyle name="Normal 7 3 5 2 3 4 2 2" xfId="26762"/>
    <cellStyle name="Normal 7 3 5 2 3 4 3" xfId="26763"/>
    <cellStyle name="Normal 7 3 5 2 3 4 3 2" xfId="26764"/>
    <cellStyle name="Normal 7 3 5 2 3 4 4" xfId="26765"/>
    <cellStyle name="Normal 7 3 5 2 3 4 4 2" xfId="26766"/>
    <cellStyle name="Normal 7 3 5 2 3 4 5" xfId="26767"/>
    <cellStyle name="Normal 7 3 5 2 3 5" xfId="26768"/>
    <cellStyle name="Normal 7 3 5 2 3 5 2" xfId="26769"/>
    <cellStyle name="Normal 7 3 5 2 3 6" xfId="26770"/>
    <cellStyle name="Normal 7 3 5 2 3 6 2" xfId="26771"/>
    <cellStyle name="Normal 7 3 5 2 3 7" xfId="26772"/>
    <cellStyle name="Normal 7 3 5 2 3 7 2" xfId="26773"/>
    <cellStyle name="Normal 7 3 5 2 3 8" xfId="26774"/>
    <cellStyle name="Normal 7 3 5 2 4" xfId="26775"/>
    <cellStyle name="Normal 7 3 5 2 4 2" xfId="26776"/>
    <cellStyle name="Normal 7 3 5 2 4 2 2" xfId="26777"/>
    <cellStyle name="Normal 7 3 5 2 4 2 2 2" xfId="26778"/>
    <cellStyle name="Normal 7 3 5 2 4 2 2 2 2" xfId="26779"/>
    <cellStyle name="Normal 7 3 5 2 4 2 2 3" xfId="26780"/>
    <cellStyle name="Normal 7 3 5 2 4 2 2 3 2" xfId="26781"/>
    <cellStyle name="Normal 7 3 5 2 4 2 2 4" xfId="26782"/>
    <cellStyle name="Normal 7 3 5 2 4 2 2 4 2" xfId="26783"/>
    <cellStyle name="Normal 7 3 5 2 4 2 2 5" xfId="26784"/>
    <cellStyle name="Normal 7 3 5 2 4 2 3" xfId="26785"/>
    <cellStyle name="Normal 7 3 5 2 4 2 3 2" xfId="26786"/>
    <cellStyle name="Normal 7 3 5 2 4 2 3 2 2" xfId="26787"/>
    <cellStyle name="Normal 7 3 5 2 4 2 3 3" xfId="26788"/>
    <cellStyle name="Normal 7 3 5 2 4 2 3 3 2" xfId="26789"/>
    <cellStyle name="Normal 7 3 5 2 4 2 3 4" xfId="26790"/>
    <cellStyle name="Normal 7 3 5 2 4 2 3 4 2" xfId="26791"/>
    <cellStyle name="Normal 7 3 5 2 4 2 3 5" xfId="26792"/>
    <cellStyle name="Normal 7 3 5 2 4 2 4" xfId="26793"/>
    <cellStyle name="Normal 7 3 5 2 4 2 4 2" xfId="26794"/>
    <cellStyle name="Normal 7 3 5 2 4 2 5" xfId="26795"/>
    <cellStyle name="Normal 7 3 5 2 4 2 5 2" xfId="26796"/>
    <cellStyle name="Normal 7 3 5 2 4 2 6" xfId="26797"/>
    <cellStyle name="Normal 7 3 5 2 4 2 6 2" xfId="26798"/>
    <cellStyle name="Normal 7 3 5 2 4 2 7" xfId="26799"/>
    <cellStyle name="Normal 7 3 5 2 4 3" xfId="26800"/>
    <cellStyle name="Normal 7 3 5 2 4 3 2" xfId="26801"/>
    <cellStyle name="Normal 7 3 5 2 4 3 2 2" xfId="26802"/>
    <cellStyle name="Normal 7 3 5 2 4 3 3" xfId="26803"/>
    <cellStyle name="Normal 7 3 5 2 4 3 3 2" xfId="26804"/>
    <cellStyle name="Normal 7 3 5 2 4 3 4" xfId="26805"/>
    <cellStyle name="Normal 7 3 5 2 4 3 4 2" xfId="26806"/>
    <cellStyle name="Normal 7 3 5 2 4 3 5" xfId="26807"/>
    <cellStyle name="Normal 7 3 5 2 4 4" xfId="26808"/>
    <cellStyle name="Normal 7 3 5 2 4 4 2" xfId="26809"/>
    <cellStyle name="Normal 7 3 5 2 4 4 2 2" xfId="26810"/>
    <cellStyle name="Normal 7 3 5 2 4 4 3" xfId="26811"/>
    <cellStyle name="Normal 7 3 5 2 4 4 3 2" xfId="26812"/>
    <cellStyle name="Normal 7 3 5 2 4 4 4" xfId="26813"/>
    <cellStyle name="Normal 7 3 5 2 4 4 4 2" xfId="26814"/>
    <cellStyle name="Normal 7 3 5 2 4 4 5" xfId="26815"/>
    <cellStyle name="Normal 7 3 5 2 4 5" xfId="26816"/>
    <cellStyle name="Normal 7 3 5 2 4 5 2" xfId="26817"/>
    <cellStyle name="Normal 7 3 5 2 4 6" xfId="26818"/>
    <cellStyle name="Normal 7 3 5 2 4 6 2" xfId="26819"/>
    <cellStyle name="Normal 7 3 5 2 4 7" xfId="26820"/>
    <cellStyle name="Normal 7 3 5 2 4 7 2" xfId="26821"/>
    <cellStyle name="Normal 7 3 5 2 4 8" xfId="26822"/>
    <cellStyle name="Normal 7 3 5 2 5" xfId="26823"/>
    <cellStyle name="Normal 7 3 5 2 5 2" xfId="26824"/>
    <cellStyle name="Normal 7 3 5 2 5 2 2" xfId="26825"/>
    <cellStyle name="Normal 7 3 5 2 5 2 2 2" xfId="26826"/>
    <cellStyle name="Normal 7 3 5 2 5 2 2 2 2" xfId="26827"/>
    <cellStyle name="Normal 7 3 5 2 5 2 2 3" xfId="26828"/>
    <cellStyle name="Normal 7 3 5 2 5 2 2 3 2" xfId="26829"/>
    <cellStyle name="Normal 7 3 5 2 5 2 2 4" xfId="26830"/>
    <cellStyle name="Normal 7 3 5 2 5 2 2 4 2" xfId="26831"/>
    <cellStyle name="Normal 7 3 5 2 5 2 2 5" xfId="26832"/>
    <cellStyle name="Normal 7 3 5 2 5 2 3" xfId="26833"/>
    <cellStyle name="Normal 7 3 5 2 5 2 3 2" xfId="26834"/>
    <cellStyle name="Normal 7 3 5 2 5 2 3 2 2" xfId="26835"/>
    <cellStyle name="Normal 7 3 5 2 5 2 3 3" xfId="26836"/>
    <cellStyle name="Normal 7 3 5 2 5 2 3 3 2" xfId="26837"/>
    <cellStyle name="Normal 7 3 5 2 5 2 3 4" xfId="26838"/>
    <cellStyle name="Normal 7 3 5 2 5 2 3 4 2" xfId="26839"/>
    <cellStyle name="Normal 7 3 5 2 5 2 3 5" xfId="26840"/>
    <cellStyle name="Normal 7 3 5 2 5 2 4" xfId="26841"/>
    <cellStyle name="Normal 7 3 5 2 5 2 4 2" xfId="26842"/>
    <cellStyle name="Normal 7 3 5 2 5 2 5" xfId="26843"/>
    <cellStyle name="Normal 7 3 5 2 5 2 5 2" xfId="26844"/>
    <cellStyle name="Normal 7 3 5 2 5 2 6" xfId="26845"/>
    <cellStyle name="Normal 7 3 5 2 5 2 6 2" xfId="26846"/>
    <cellStyle name="Normal 7 3 5 2 5 2 7" xfId="26847"/>
    <cellStyle name="Normal 7 3 5 2 5 3" xfId="26848"/>
    <cellStyle name="Normal 7 3 5 2 5 3 2" xfId="26849"/>
    <cellStyle name="Normal 7 3 5 2 5 3 2 2" xfId="26850"/>
    <cellStyle name="Normal 7 3 5 2 5 3 3" xfId="26851"/>
    <cellStyle name="Normal 7 3 5 2 5 3 3 2" xfId="26852"/>
    <cellStyle name="Normal 7 3 5 2 5 3 4" xfId="26853"/>
    <cellStyle name="Normal 7 3 5 2 5 3 4 2" xfId="26854"/>
    <cellStyle name="Normal 7 3 5 2 5 3 5" xfId="26855"/>
    <cellStyle name="Normal 7 3 5 2 5 4" xfId="26856"/>
    <cellStyle name="Normal 7 3 5 2 5 4 2" xfId="26857"/>
    <cellStyle name="Normal 7 3 5 2 5 4 2 2" xfId="26858"/>
    <cellStyle name="Normal 7 3 5 2 5 4 3" xfId="26859"/>
    <cellStyle name="Normal 7 3 5 2 5 4 3 2" xfId="26860"/>
    <cellStyle name="Normal 7 3 5 2 5 4 4" xfId="26861"/>
    <cellStyle name="Normal 7 3 5 2 5 4 4 2" xfId="26862"/>
    <cellStyle name="Normal 7 3 5 2 5 4 5" xfId="26863"/>
    <cellStyle name="Normal 7 3 5 2 5 5" xfId="26864"/>
    <cellStyle name="Normal 7 3 5 2 5 5 2" xfId="26865"/>
    <cellStyle name="Normal 7 3 5 2 5 6" xfId="26866"/>
    <cellStyle name="Normal 7 3 5 2 5 6 2" xfId="26867"/>
    <cellStyle name="Normal 7 3 5 2 5 7" xfId="26868"/>
    <cellStyle name="Normal 7 3 5 2 5 7 2" xfId="26869"/>
    <cellStyle name="Normal 7 3 5 2 5 8" xfId="26870"/>
    <cellStyle name="Normal 7 3 5 2 6" xfId="26871"/>
    <cellStyle name="Normal 7 3 5 2 6 2" xfId="26872"/>
    <cellStyle name="Normal 7 3 5 2 6 2 2" xfId="26873"/>
    <cellStyle name="Normal 7 3 5 2 6 2 2 2" xfId="26874"/>
    <cellStyle name="Normal 7 3 5 2 6 2 2 2 2" xfId="26875"/>
    <cellStyle name="Normal 7 3 5 2 6 2 2 3" xfId="26876"/>
    <cellStyle name="Normal 7 3 5 2 6 2 2 3 2" xfId="26877"/>
    <cellStyle name="Normal 7 3 5 2 6 2 2 4" xfId="26878"/>
    <cellStyle name="Normal 7 3 5 2 6 2 2 4 2" xfId="26879"/>
    <cellStyle name="Normal 7 3 5 2 6 2 2 5" xfId="26880"/>
    <cellStyle name="Normal 7 3 5 2 6 2 3" xfId="26881"/>
    <cellStyle name="Normal 7 3 5 2 6 2 3 2" xfId="26882"/>
    <cellStyle name="Normal 7 3 5 2 6 2 3 2 2" xfId="26883"/>
    <cellStyle name="Normal 7 3 5 2 6 2 3 3" xfId="26884"/>
    <cellStyle name="Normal 7 3 5 2 6 2 3 3 2" xfId="26885"/>
    <cellStyle name="Normal 7 3 5 2 6 2 3 4" xfId="26886"/>
    <cellStyle name="Normal 7 3 5 2 6 2 3 4 2" xfId="26887"/>
    <cellStyle name="Normal 7 3 5 2 6 2 3 5" xfId="26888"/>
    <cellStyle name="Normal 7 3 5 2 6 2 4" xfId="26889"/>
    <cellStyle name="Normal 7 3 5 2 6 2 4 2" xfId="26890"/>
    <cellStyle name="Normal 7 3 5 2 6 2 5" xfId="26891"/>
    <cellStyle name="Normal 7 3 5 2 6 2 5 2" xfId="26892"/>
    <cellStyle name="Normal 7 3 5 2 6 2 6" xfId="26893"/>
    <cellStyle name="Normal 7 3 5 2 6 2 6 2" xfId="26894"/>
    <cellStyle name="Normal 7 3 5 2 6 2 7" xfId="26895"/>
    <cellStyle name="Normal 7 3 5 2 6 3" xfId="26896"/>
    <cellStyle name="Normal 7 3 5 2 6 3 2" xfId="26897"/>
    <cellStyle name="Normal 7 3 5 2 6 3 2 2" xfId="26898"/>
    <cellStyle name="Normal 7 3 5 2 6 3 3" xfId="26899"/>
    <cellStyle name="Normal 7 3 5 2 6 3 3 2" xfId="26900"/>
    <cellStyle name="Normal 7 3 5 2 6 3 4" xfId="26901"/>
    <cellStyle name="Normal 7 3 5 2 6 3 4 2" xfId="26902"/>
    <cellStyle name="Normal 7 3 5 2 6 3 5" xfId="26903"/>
    <cellStyle name="Normal 7 3 5 2 6 4" xfId="26904"/>
    <cellStyle name="Normal 7 3 5 2 6 4 2" xfId="26905"/>
    <cellStyle name="Normal 7 3 5 2 6 4 2 2" xfId="26906"/>
    <cellStyle name="Normal 7 3 5 2 6 4 3" xfId="26907"/>
    <cellStyle name="Normal 7 3 5 2 6 4 3 2" xfId="26908"/>
    <cellStyle name="Normal 7 3 5 2 6 4 4" xfId="26909"/>
    <cellStyle name="Normal 7 3 5 2 6 4 4 2" xfId="26910"/>
    <cellStyle name="Normal 7 3 5 2 6 4 5" xfId="26911"/>
    <cellStyle name="Normal 7 3 5 2 6 5" xfId="26912"/>
    <cellStyle name="Normal 7 3 5 2 6 5 2" xfId="26913"/>
    <cellStyle name="Normal 7 3 5 2 6 6" xfId="26914"/>
    <cellStyle name="Normal 7 3 5 2 6 6 2" xfId="26915"/>
    <cellStyle name="Normal 7 3 5 2 6 7" xfId="26916"/>
    <cellStyle name="Normal 7 3 5 2 6 7 2" xfId="26917"/>
    <cellStyle name="Normal 7 3 5 2 6 8" xfId="26918"/>
    <cellStyle name="Normal 7 3 5 2 7" xfId="26919"/>
    <cellStyle name="Normal 7 3 5 2 7 2" xfId="26920"/>
    <cellStyle name="Normal 7 3 5 2 7 2 2" xfId="26921"/>
    <cellStyle name="Normal 7 3 5 2 7 2 2 2" xfId="26922"/>
    <cellStyle name="Normal 7 3 5 2 7 2 3" xfId="26923"/>
    <cellStyle name="Normal 7 3 5 2 7 2 3 2" xfId="26924"/>
    <cellStyle name="Normal 7 3 5 2 7 2 4" xfId="26925"/>
    <cellStyle name="Normal 7 3 5 2 7 2 4 2" xfId="26926"/>
    <cellStyle name="Normal 7 3 5 2 7 2 5" xfId="26927"/>
    <cellStyle name="Normal 7 3 5 2 7 3" xfId="26928"/>
    <cellStyle name="Normal 7 3 5 2 7 3 2" xfId="26929"/>
    <cellStyle name="Normal 7 3 5 2 7 3 2 2" xfId="26930"/>
    <cellStyle name="Normal 7 3 5 2 7 3 3" xfId="26931"/>
    <cellStyle name="Normal 7 3 5 2 7 3 3 2" xfId="26932"/>
    <cellStyle name="Normal 7 3 5 2 7 3 4" xfId="26933"/>
    <cellStyle name="Normal 7 3 5 2 7 3 4 2" xfId="26934"/>
    <cellStyle name="Normal 7 3 5 2 7 3 5" xfId="26935"/>
    <cellStyle name="Normal 7 3 5 2 7 4" xfId="26936"/>
    <cellStyle name="Normal 7 3 5 2 7 4 2" xfId="26937"/>
    <cellStyle name="Normal 7 3 5 2 7 5" xfId="26938"/>
    <cellStyle name="Normal 7 3 5 2 7 5 2" xfId="26939"/>
    <cellStyle name="Normal 7 3 5 2 7 6" xfId="26940"/>
    <cellStyle name="Normal 7 3 5 2 7 6 2" xfId="26941"/>
    <cellStyle name="Normal 7 3 5 2 7 7" xfId="26942"/>
    <cellStyle name="Normal 7 3 5 2 8" xfId="26943"/>
    <cellStyle name="Normal 7 3 5 2 8 2" xfId="26944"/>
    <cellStyle name="Normal 7 3 5 2 8 2 2" xfId="26945"/>
    <cellStyle name="Normal 7 3 5 2 8 3" xfId="26946"/>
    <cellStyle name="Normal 7 3 5 2 8 3 2" xfId="26947"/>
    <cellStyle name="Normal 7 3 5 2 8 4" xfId="26948"/>
    <cellStyle name="Normal 7 3 5 2 8 4 2" xfId="26949"/>
    <cellStyle name="Normal 7 3 5 2 8 5" xfId="26950"/>
    <cellStyle name="Normal 7 3 5 2 9" xfId="26951"/>
    <cellStyle name="Normal 7 3 5 2 9 2" xfId="26952"/>
    <cellStyle name="Normal 7 3 5 2 9 2 2" xfId="26953"/>
    <cellStyle name="Normal 7 3 5 2 9 3" xfId="26954"/>
    <cellStyle name="Normal 7 3 5 2 9 3 2" xfId="26955"/>
    <cellStyle name="Normal 7 3 5 2 9 4" xfId="26956"/>
    <cellStyle name="Normal 7 3 5 2 9 4 2" xfId="26957"/>
    <cellStyle name="Normal 7 3 5 2 9 5" xfId="26958"/>
    <cellStyle name="Normal 7 3 5 3" xfId="26959"/>
    <cellStyle name="Normal 7 3 5 3 2" xfId="26960"/>
    <cellStyle name="Normal 7 3 5 3 2 2" xfId="26961"/>
    <cellStyle name="Normal 7 3 5 3 2 2 2" xfId="26962"/>
    <cellStyle name="Normal 7 3 5 3 2 2 2 2" xfId="26963"/>
    <cellStyle name="Normal 7 3 5 3 2 2 3" xfId="26964"/>
    <cellStyle name="Normal 7 3 5 3 2 2 3 2" xfId="26965"/>
    <cellStyle name="Normal 7 3 5 3 2 2 4" xfId="26966"/>
    <cellStyle name="Normal 7 3 5 3 2 2 4 2" xfId="26967"/>
    <cellStyle name="Normal 7 3 5 3 2 2 5" xfId="26968"/>
    <cellStyle name="Normal 7 3 5 3 2 3" xfId="26969"/>
    <cellStyle name="Normal 7 3 5 3 2 3 2" xfId="26970"/>
    <cellStyle name="Normal 7 3 5 3 2 3 2 2" xfId="26971"/>
    <cellStyle name="Normal 7 3 5 3 2 3 3" xfId="26972"/>
    <cellStyle name="Normal 7 3 5 3 2 3 3 2" xfId="26973"/>
    <cellStyle name="Normal 7 3 5 3 2 3 4" xfId="26974"/>
    <cellStyle name="Normal 7 3 5 3 2 3 4 2" xfId="26975"/>
    <cellStyle name="Normal 7 3 5 3 2 3 5" xfId="26976"/>
    <cellStyle name="Normal 7 3 5 3 2 4" xfId="26977"/>
    <cellStyle name="Normal 7 3 5 3 2 4 2" xfId="26978"/>
    <cellStyle name="Normal 7 3 5 3 2 5" xfId="26979"/>
    <cellStyle name="Normal 7 3 5 3 2 5 2" xfId="26980"/>
    <cellStyle name="Normal 7 3 5 3 2 6" xfId="26981"/>
    <cellStyle name="Normal 7 3 5 3 2 6 2" xfId="26982"/>
    <cellStyle name="Normal 7 3 5 3 2 7" xfId="26983"/>
    <cellStyle name="Normal 7 3 5 3 3" xfId="26984"/>
    <cellStyle name="Normal 7 3 5 3 3 2" xfId="26985"/>
    <cellStyle name="Normal 7 3 5 3 3 2 2" xfId="26986"/>
    <cellStyle name="Normal 7 3 5 3 3 3" xfId="26987"/>
    <cellStyle name="Normal 7 3 5 3 3 3 2" xfId="26988"/>
    <cellStyle name="Normal 7 3 5 3 3 4" xfId="26989"/>
    <cellStyle name="Normal 7 3 5 3 3 4 2" xfId="26990"/>
    <cellStyle name="Normal 7 3 5 3 3 5" xfId="26991"/>
    <cellStyle name="Normal 7 3 5 3 4" xfId="26992"/>
    <cellStyle name="Normal 7 3 5 3 4 2" xfId="26993"/>
    <cellStyle name="Normal 7 3 5 3 4 2 2" xfId="26994"/>
    <cellStyle name="Normal 7 3 5 3 4 3" xfId="26995"/>
    <cellStyle name="Normal 7 3 5 3 4 3 2" xfId="26996"/>
    <cellStyle name="Normal 7 3 5 3 4 4" xfId="26997"/>
    <cellStyle name="Normal 7 3 5 3 4 4 2" xfId="26998"/>
    <cellStyle name="Normal 7 3 5 3 4 5" xfId="26999"/>
    <cellStyle name="Normal 7 3 5 3 5" xfId="27000"/>
    <cellStyle name="Normal 7 3 5 3 5 2" xfId="27001"/>
    <cellStyle name="Normal 7 3 5 3 6" xfId="27002"/>
    <cellStyle name="Normal 7 3 5 3 6 2" xfId="27003"/>
    <cellStyle name="Normal 7 3 5 3 7" xfId="27004"/>
    <cellStyle name="Normal 7 3 5 3 7 2" xfId="27005"/>
    <cellStyle name="Normal 7 3 5 3 8" xfId="27006"/>
    <cellStyle name="Normal 7 3 5 4" xfId="27007"/>
    <cellStyle name="Normal 7 3 5 4 2" xfId="27008"/>
    <cellStyle name="Normal 7 3 5 4 2 2" xfId="27009"/>
    <cellStyle name="Normal 7 3 5 4 2 2 2" xfId="27010"/>
    <cellStyle name="Normal 7 3 5 4 2 2 2 2" xfId="27011"/>
    <cellStyle name="Normal 7 3 5 4 2 2 3" xfId="27012"/>
    <cellStyle name="Normal 7 3 5 4 2 2 3 2" xfId="27013"/>
    <cellStyle name="Normal 7 3 5 4 2 2 4" xfId="27014"/>
    <cellStyle name="Normal 7 3 5 4 2 2 4 2" xfId="27015"/>
    <cellStyle name="Normal 7 3 5 4 2 2 5" xfId="27016"/>
    <cellStyle name="Normal 7 3 5 4 2 3" xfId="27017"/>
    <cellStyle name="Normal 7 3 5 4 2 3 2" xfId="27018"/>
    <cellStyle name="Normal 7 3 5 4 2 3 2 2" xfId="27019"/>
    <cellStyle name="Normal 7 3 5 4 2 3 3" xfId="27020"/>
    <cellStyle name="Normal 7 3 5 4 2 3 3 2" xfId="27021"/>
    <cellStyle name="Normal 7 3 5 4 2 3 4" xfId="27022"/>
    <cellStyle name="Normal 7 3 5 4 2 3 4 2" xfId="27023"/>
    <cellStyle name="Normal 7 3 5 4 2 3 5" xfId="27024"/>
    <cellStyle name="Normal 7 3 5 4 2 4" xfId="27025"/>
    <cellStyle name="Normal 7 3 5 4 2 4 2" xfId="27026"/>
    <cellStyle name="Normal 7 3 5 4 2 5" xfId="27027"/>
    <cellStyle name="Normal 7 3 5 4 2 5 2" xfId="27028"/>
    <cellStyle name="Normal 7 3 5 4 2 6" xfId="27029"/>
    <cellStyle name="Normal 7 3 5 4 2 6 2" xfId="27030"/>
    <cellStyle name="Normal 7 3 5 4 2 7" xfId="27031"/>
    <cellStyle name="Normal 7 3 5 4 3" xfId="27032"/>
    <cellStyle name="Normal 7 3 5 4 3 2" xfId="27033"/>
    <cellStyle name="Normal 7 3 5 4 3 2 2" xfId="27034"/>
    <cellStyle name="Normal 7 3 5 4 3 3" xfId="27035"/>
    <cellStyle name="Normal 7 3 5 4 3 3 2" xfId="27036"/>
    <cellStyle name="Normal 7 3 5 4 3 4" xfId="27037"/>
    <cellStyle name="Normal 7 3 5 4 3 4 2" xfId="27038"/>
    <cellStyle name="Normal 7 3 5 4 3 5" xfId="27039"/>
    <cellStyle name="Normal 7 3 5 4 4" xfId="27040"/>
    <cellStyle name="Normal 7 3 5 4 4 2" xfId="27041"/>
    <cellStyle name="Normal 7 3 5 4 4 2 2" xfId="27042"/>
    <cellStyle name="Normal 7 3 5 4 4 3" xfId="27043"/>
    <cellStyle name="Normal 7 3 5 4 4 3 2" xfId="27044"/>
    <cellStyle name="Normal 7 3 5 4 4 4" xfId="27045"/>
    <cellStyle name="Normal 7 3 5 4 4 4 2" xfId="27046"/>
    <cellStyle name="Normal 7 3 5 4 4 5" xfId="27047"/>
    <cellStyle name="Normal 7 3 5 4 5" xfId="27048"/>
    <cellStyle name="Normal 7 3 5 4 5 2" xfId="27049"/>
    <cellStyle name="Normal 7 3 5 4 6" xfId="27050"/>
    <cellStyle name="Normal 7 3 5 4 6 2" xfId="27051"/>
    <cellStyle name="Normal 7 3 5 4 7" xfId="27052"/>
    <cellStyle name="Normal 7 3 5 4 7 2" xfId="27053"/>
    <cellStyle name="Normal 7 3 5 4 8" xfId="27054"/>
    <cellStyle name="Normal 7 3 5 5" xfId="27055"/>
    <cellStyle name="Normal 7 3 5 5 2" xfId="27056"/>
    <cellStyle name="Normal 7 3 5 5 2 2" xfId="27057"/>
    <cellStyle name="Normal 7 3 5 5 2 2 2" xfId="27058"/>
    <cellStyle name="Normal 7 3 5 5 2 2 2 2" xfId="27059"/>
    <cellStyle name="Normal 7 3 5 5 2 2 3" xfId="27060"/>
    <cellStyle name="Normal 7 3 5 5 2 2 3 2" xfId="27061"/>
    <cellStyle name="Normal 7 3 5 5 2 2 4" xfId="27062"/>
    <cellStyle name="Normal 7 3 5 5 2 2 4 2" xfId="27063"/>
    <cellStyle name="Normal 7 3 5 5 2 2 5" xfId="27064"/>
    <cellStyle name="Normal 7 3 5 5 2 3" xfId="27065"/>
    <cellStyle name="Normal 7 3 5 5 2 3 2" xfId="27066"/>
    <cellStyle name="Normal 7 3 5 5 2 3 2 2" xfId="27067"/>
    <cellStyle name="Normal 7 3 5 5 2 3 3" xfId="27068"/>
    <cellStyle name="Normal 7 3 5 5 2 3 3 2" xfId="27069"/>
    <cellStyle name="Normal 7 3 5 5 2 3 4" xfId="27070"/>
    <cellStyle name="Normal 7 3 5 5 2 3 4 2" xfId="27071"/>
    <cellStyle name="Normal 7 3 5 5 2 3 5" xfId="27072"/>
    <cellStyle name="Normal 7 3 5 5 2 4" xfId="27073"/>
    <cellStyle name="Normal 7 3 5 5 2 4 2" xfId="27074"/>
    <cellStyle name="Normal 7 3 5 5 2 5" xfId="27075"/>
    <cellStyle name="Normal 7 3 5 5 2 5 2" xfId="27076"/>
    <cellStyle name="Normal 7 3 5 5 2 6" xfId="27077"/>
    <cellStyle name="Normal 7 3 5 5 2 6 2" xfId="27078"/>
    <cellStyle name="Normal 7 3 5 5 2 7" xfId="27079"/>
    <cellStyle name="Normal 7 3 5 5 3" xfId="27080"/>
    <cellStyle name="Normal 7 3 5 5 3 2" xfId="27081"/>
    <cellStyle name="Normal 7 3 5 5 3 2 2" xfId="27082"/>
    <cellStyle name="Normal 7 3 5 5 3 3" xfId="27083"/>
    <cellStyle name="Normal 7 3 5 5 3 3 2" xfId="27084"/>
    <cellStyle name="Normal 7 3 5 5 3 4" xfId="27085"/>
    <cellStyle name="Normal 7 3 5 5 3 4 2" xfId="27086"/>
    <cellStyle name="Normal 7 3 5 5 3 5" xfId="27087"/>
    <cellStyle name="Normal 7 3 5 5 4" xfId="27088"/>
    <cellStyle name="Normal 7 3 5 5 4 2" xfId="27089"/>
    <cellStyle name="Normal 7 3 5 5 4 2 2" xfId="27090"/>
    <cellStyle name="Normal 7 3 5 5 4 3" xfId="27091"/>
    <cellStyle name="Normal 7 3 5 5 4 3 2" xfId="27092"/>
    <cellStyle name="Normal 7 3 5 5 4 4" xfId="27093"/>
    <cellStyle name="Normal 7 3 5 5 4 4 2" xfId="27094"/>
    <cellStyle name="Normal 7 3 5 5 4 5" xfId="27095"/>
    <cellStyle name="Normal 7 3 5 5 5" xfId="27096"/>
    <cellStyle name="Normal 7 3 5 5 5 2" xfId="27097"/>
    <cellStyle name="Normal 7 3 5 5 6" xfId="27098"/>
    <cellStyle name="Normal 7 3 5 5 6 2" xfId="27099"/>
    <cellStyle name="Normal 7 3 5 5 7" xfId="27100"/>
    <cellStyle name="Normal 7 3 5 5 7 2" xfId="27101"/>
    <cellStyle name="Normal 7 3 5 5 8" xfId="27102"/>
    <cellStyle name="Normal 7 3 5 6" xfId="27103"/>
    <cellStyle name="Normal 7 3 5 6 2" xfId="27104"/>
    <cellStyle name="Normal 7 3 5 6 2 2" xfId="27105"/>
    <cellStyle name="Normal 7 3 5 6 2 2 2" xfId="27106"/>
    <cellStyle name="Normal 7 3 5 6 2 2 2 2" xfId="27107"/>
    <cellStyle name="Normal 7 3 5 6 2 2 3" xfId="27108"/>
    <cellStyle name="Normal 7 3 5 6 2 2 3 2" xfId="27109"/>
    <cellStyle name="Normal 7 3 5 6 2 2 4" xfId="27110"/>
    <cellStyle name="Normal 7 3 5 6 2 2 4 2" xfId="27111"/>
    <cellStyle name="Normal 7 3 5 6 2 2 5" xfId="27112"/>
    <cellStyle name="Normal 7 3 5 6 2 3" xfId="27113"/>
    <cellStyle name="Normal 7 3 5 6 2 3 2" xfId="27114"/>
    <cellStyle name="Normal 7 3 5 6 2 3 2 2" xfId="27115"/>
    <cellStyle name="Normal 7 3 5 6 2 3 3" xfId="27116"/>
    <cellStyle name="Normal 7 3 5 6 2 3 3 2" xfId="27117"/>
    <cellStyle name="Normal 7 3 5 6 2 3 4" xfId="27118"/>
    <cellStyle name="Normal 7 3 5 6 2 3 4 2" xfId="27119"/>
    <cellStyle name="Normal 7 3 5 6 2 3 5" xfId="27120"/>
    <cellStyle name="Normal 7 3 5 6 2 4" xfId="27121"/>
    <cellStyle name="Normal 7 3 5 6 2 4 2" xfId="27122"/>
    <cellStyle name="Normal 7 3 5 6 2 5" xfId="27123"/>
    <cellStyle name="Normal 7 3 5 6 2 5 2" xfId="27124"/>
    <cellStyle name="Normal 7 3 5 6 2 6" xfId="27125"/>
    <cellStyle name="Normal 7 3 5 6 2 6 2" xfId="27126"/>
    <cellStyle name="Normal 7 3 5 6 2 7" xfId="27127"/>
    <cellStyle name="Normal 7 3 5 6 3" xfId="27128"/>
    <cellStyle name="Normal 7 3 5 6 3 2" xfId="27129"/>
    <cellStyle name="Normal 7 3 5 6 3 2 2" xfId="27130"/>
    <cellStyle name="Normal 7 3 5 6 3 3" xfId="27131"/>
    <cellStyle name="Normal 7 3 5 6 3 3 2" xfId="27132"/>
    <cellStyle name="Normal 7 3 5 6 3 4" xfId="27133"/>
    <cellStyle name="Normal 7 3 5 6 3 4 2" xfId="27134"/>
    <cellStyle name="Normal 7 3 5 6 3 5" xfId="27135"/>
    <cellStyle name="Normal 7 3 5 6 4" xfId="27136"/>
    <cellStyle name="Normal 7 3 5 6 4 2" xfId="27137"/>
    <cellStyle name="Normal 7 3 5 6 4 2 2" xfId="27138"/>
    <cellStyle name="Normal 7 3 5 6 4 3" xfId="27139"/>
    <cellStyle name="Normal 7 3 5 6 4 3 2" xfId="27140"/>
    <cellStyle name="Normal 7 3 5 6 4 4" xfId="27141"/>
    <cellStyle name="Normal 7 3 5 6 4 4 2" xfId="27142"/>
    <cellStyle name="Normal 7 3 5 6 4 5" xfId="27143"/>
    <cellStyle name="Normal 7 3 5 6 5" xfId="27144"/>
    <cellStyle name="Normal 7 3 5 6 5 2" xfId="27145"/>
    <cellStyle name="Normal 7 3 5 6 6" xfId="27146"/>
    <cellStyle name="Normal 7 3 5 6 6 2" xfId="27147"/>
    <cellStyle name="Normal 7 3 5 6 7" xfId="27148"/>
    <cellStyle name="Normal 7 3 5 6 7 2" xfId="27149"/>
    <cellStyle name="Normal 7 3 5 6 8" xfId="27150"/>
    <cellStyle name="Normal 7 3 5 7" xfId="27151"/>
    <cellStyle name="Normal 7 3 5 7 2" xfId="27152"/>
    <cellStyle name="Normal 7 3 5 7 2 2" xfId="27153"/>
    <cellStyle name="Normal 7 3 5 7 2 2 2" xfId="27154"/>
    <cellStyle name="Normal 7 3 5 7 2 2 2 2" xfId="27155"/>
    <cellStyle name="Normal 7 3 5 7 2 2 3" xfId="27156"/>
    <cellStyle name="Normal 7 3 5 7 2 2 3 2" xfId="27157"/>
    <cellStyle name="Normal 7 3 5 7 2 2 4" xfId="27158"/>
    <cellStyle name="Normal 7 3 5 7 2 2 4 2" xfId="27159"/>
    <cellStyle name="Normal 7 3 5 7 2 2 5" xfId="27160"/>
    <cellStyle name="Normal 7 3 5 7 2 3" xfId="27161"/>
    <cellStyle name="Normal 7 3 5 7 2 3 2" xfId="27162"/>
    <cellStyle name="Normal 7 3 5 7 2 3 2 2" xfId="27163"/>
    <cellStyle name="Normal 7 3 5 7 2 3 3" xfId="27164"/>
    <cellStyle name="Normal 7 3 5 7 2 3 3 2" xfId="27165"/>
    <cellStyle name="Normal 7 3 5 7 2 3 4" xfId="27166"/>
    <cellStyle name="Normal 7 3 5 7 2 3 4 2" xfId="27167"/>
    <cellStyle name="Normal 7 3 5 7 2 3 5" xfId="27168"/>
    <cellStyle name="Normal 7 3 5 7 2 4" xfId="27169"/>
    <cellStyle name="Normal 7 3 5 7 2 4 2" xfId="27170"/>
    <cellStyle name="Normal 7 3 5 7 2 5" xfId="27171"/>
    <cellStyle name="Normal 7 3 5 7 2 5 2" xfId="27172"/>
    <cellStyle name="Normal 7 3 5 7 2 6" xfId="27173"/>
    <cellStyle name="Normal 7 3 5 7 2 6 2" xfId="27174"/>
    <cellStyle name="Normal 7 3 5 7 2 7" xfId="27175"/>
    <cellStyle name="Normal 7 3 5 7 3" xfId="27176"/>
    <cellStyle name="Normal 7 3 5 7 3 2" xfId="27177"/>
    <cellStyle name="Normal 7 3 5 7 3 2 2" xfId="27178"/>
    <cellStyle name="Normal 7 3 5 7 3 3" xfId="27179"/>
    <cellStyle name="Normal 7 3 5 7 3 3 2" xfId="27180"/>
    <cellStyle name="Normal 7 3 5 7 3 4" xfId="27181"/>
    <cellStyle name="Normal 7 3 5 7 3 4 2" xfId="27182"/>
    <cellStyle name="Normal 7 3 5 7 3 5" xfId="27183"/>
    <cellStyle name="Normal 7 3 5 7 4" xfId="27184"/>
    <cellStyle name="Normal 7 3 5 7 4 2" xfId="27185"/>
    <cellStyle name="Normal 7 3 5 7 4 2 2" xfId="27186"/>
    <cellStyle name="Normal 7 3 5 7 4 3" xfId="27187"/>
    <cellStyle name="Normal 7 3 5 7 4 3 2" xfId="27188"/>
    <cellStyle name="Normal 7 3 5 7 4 4" xfId="27189"/>
    <cellStyle name="Normal 7 3 5 7 4 4 2" xfId="27190"/>
    <cellStyle name="Normal 7 3 5 7 4 5" xfId="27191"/>
    <cellStyle name="Normal 7 3 5 7 5" xfId="27192"/>
    <cellStyle name="Normal 7 3 5 7 5 2" xfId="27193"/>
    <cellStyle name="Normal 7 3 5 7 6" xfId="27194"/>
    <cellStyle name="Normal 7 3 5 7 6 2" xfId="27195"/>
    <cellStyle name="Normal 7 3 5 7 7" xfId="27196"/>
    <cellStyle name="Normal 7 3 5 7 7 2" xfId="27197"/>
    <cellStyle name="Normal 7 3 5 7 8" xfId="27198"/>
    <cellStyle name="Normal 7 3 5 8" xfId="27199"/>
    <cellStyle name="Normal 7 3 5 8 2" xfId="27200"/>
    <cellStyle name="Normal 7 3 5 8 2 2" xfId="27201"/>
    <cellStyle name="Normal 7 3 5 8 2 2 2" xfId="27202"/>
    <cellStyle name="Normal 7 3 5 8 2 3" xfId="27203"/>
    <cellStyle name="Normal 7 3 5 8 2 3 2" xfId="27204"/>
    <cellStyle name="Normal 7 3 5 8 2 4" xfId="27205"/>
    <cellStyle name="Normal 7 3 5 8 2 4 2" xfId="27206"/>
    <cellStyle name="Normal 7 3 5 8 2 5" xfId="27207"/>
    <cellStyle name="Normal 7 3 5 8 3" xfId="27208"/>
    <cellStyle name="Normal 7 3 5 8 3 2" xfId="27209"/>
    <cellStyle name="Normal 7 3 5 8 3 2 2" xfId="27210"/>
    <cellStyle name="Normal 7 3 5 8 3 3" xfId="27211"/>
    <cellStyle name="Normal 7 3 5 8 3 3 2" xfId="27212"/>
    <cellStyle name="Normal 7 3 5 8 3 4" xfId="27213"/>
    <cellStyle name="Normal 7 3 5 8 3 4 2" xfId="27214"/>
    <cellStyle name="Normal 7 3 5 8 3 5" xfId="27215"/>
    <cellStyle name="Normal 7 3 5 8 4" xfId="27216"/>
    <cellStyle name="Normal 7 3 5 8 4 2" xfId="27217"/>
    <cellStyle name="Normal 7 3 5 8 5" xfId="27218"/>
    <cellStyle name="Normal 7 3 5 8 5 2" xfId="27219"/>
    <cellStyle name="Normal 7 3 5 8 6" xfId="27220"/>
    <cellStyle name="Normal 7 3 5 8 6 2" xfId="27221"/>
    <cellStyle name="Normal 7 3 5 8 7" xfId="27222"/>
    <cellStyle name="Normal 7 3 5 9" xfId="27223"/>
    <cellStyle name="Normal 7 3 5 9 2" xfId="27224"/>
    <cellStyle name="Normal 7 3 5 9 2 2" xfId="27225"/>
    <cellStyle name="Normal 7 3 5 9 3" xfId="27226"/>
    <cellStyle name="Normal 7 3 5 9 3 2" xfId="27227"/>
    <cellStyle name="Normal 7 3 5 9 4" xfId="27228"/>
    <cellStyle name="Normal 7 3 5 9 4 2" xfId="27229"/>
    <cellStyle name="Normal 7 3 5 9 5" xfId="27230"/>
    <cellStyle name="Normal 7 3 6" xfId="27231"/>
    <cellStyle name="Normal 7 3 6 10" xfId="27232"/>
    <cellStyle name="Normal 7 3 6 10 2" xfId="27233"/>
    <cellStyle name="Normal 7 3 6 10 2 2" xfId="27234"/>
    <cellStyle name="Normal 7 3 6 10 3" xfId="27235"/>
    <cellStyle name="Normal 7 3 6 10 3 2" xfId="27236"/>
    <cellStyle name="Normal 7 3 6 10 4" xfId="27237"/>
    <cellStyle name="Normal 7 3 6 10 4 2" xfId="27238"/>
    <cellStyle name="Normal 7 3 6 10 5" xfId="27239"/>
    <cellStyle name="Normal 7 3 6 11" xfId="27240"/>
    <cellStyle name="Normal 7 3 6 11 2" xfId="27241"/>
    <cellStyle name="Normal 7 3 6 12" xfId="27242"/>
    <cellStyle name="Normal 7 3 6 12 2" xfId="27243"/>
    <cellStyle name="Normal 7 3 6 13" xfId="27244"/>
    <cellStyle name="Normal 7 3 6 13 2" xfId="27245"/>
    <cellStyle name="Normal 7 3 6 14" xfId="27246"/>
    <cellStyle name="Normal 7 3 6 2" xfId="27247"/>
    <cellStyle name="Normal 7 3 6 2 10" xfId="27248"/>
    <cellStyle name="Normal 7 3 6 2 10 2" xfId="27249"/>
    <cellStyle name="Normal 7 3 6 2 11" xfId="27250"/>
    <cellStyle name="Normal 7 3 6 2 11 2" xfId="27251"/>
    <cellStyle name="Normal 7 3 6 2 12" xfId="27252"/>
    <cellStyle name="Normal 7 3 6 2 12 2" xfId="27253"/>
    <cellStyle name="Normal 7 3 6 2 13" xfId="27254"/>
    <cellStyle name="Normal 7 3 6 2 2" xfId="27255"/>
    <cellStyle name="Normal 7 3 6 2 2 2" xfId="27256"/>
    <cellStyle name="Normal 7 3 6 2 2 2 2" xfId="27257"/>
    <cellStyle name="Normal 7 3 6 2 2 2 2 2" xfId="27258"/>
    <cellStyle name="Normal 7 3 6 2 2 2 2 2 2" xfId="27259"/>
    <cellStyle name="Normal 7 3 6 2 2 2 2 3" xfId="27260"/>
    <cellStyle name="Normal 7 3 6 2 2 2 2 3 2" xfId="27261"/>
    <cellStyle name="Normal 7 3 6 2 2 2 2 4" xfId="27262"/>
    <cellStyle name="Normal 7 3 6 2 2 2 2 4 2" xfId="27263"/>
    <cellStyle name="Normal 7 3 6 2 2 2 2 5" xfId="27264"/>
    <cellStyle name="Normal 7 3 6 2 2 2 3" xfId="27265"/>
    <cellStyle name="Normal 7 3 6 2 2 2 3 2" xfId="27266"/>
    <cellStyle name="Normal 7 3 6 2 2 2 3 2 2" xfId="27267"/>
    <cellStyle name="Normal 7 3 6 2 2 2 3 3" xfId="27268"/>
    <cellStyle name="Normal 7 3 6 2 2 2 3 3 2" xfId="27269"/>
    <cellStyle name="Normal 7 3 6 2 2 2 3 4" xfId="27270"/>
    <cellStyle name="Normal 7 3 6 2 2 2 3 4 2" xfId="27271"/>
    <cellStyle name="Normal 7 3 6 2 2 2 3 5" xfId="27272"/>
    <cellStyle name="Normal 7 3 6 2 2 2 4" xfId="27273"/>
    <cellStyle name="Normal 7 3 6 2 2 2 4 2" xfId="27274"/>
    <cellStyle name="Normal 7 3 6 2 2 2 5" xfId="27275"/>
    <cellStyle name="Normal 7 3 6 2 2 2 5 2" xfId="27276"/>
    <cellStyle name="Normal 7 3 6 2 2 2 6" xfId="27277"/>
    <cellStyle name="Normal 7 3 6 2 2 2 6 2" xfId="27278"/>
    <cellStyle name="Normal 7 3 6 2 2 2 7" xfId="27279"/>
    <cellStyle name="Normal 7 3 6 2 2 3" xfId="27280"/>
    <cellStyle name="Normal 7 3 6 2 2 3 2" xfId="27281"/>
    <cellStyle name="Normal 7 3 6 2 2 3 2 2" xfId="27282"/>
    <cellStyle name="Normal 7 3 6 2 2 3 3" xfId="27283"/>
    <cellStyle name="Normal 7 3 6 2 2 3 3 2" xfId="27284"/>
    <cellStyle name="Normal 7 3 6 2 2 3 4" xfId="27285"/>
    <cellStyle name="Normal 7 3 6 2 2 3 4 2" xfId="27286"/>
    <cellStyle name="Normal 7 3 6 2 2 3 5" xfId="27287"/>
    <cellStyle name="Normal 7 3 6 2 2 4" xfId="27288"/>
    <cellStyle name="Normal 7 3 6 2 2 4 2" xfId="27289"/>
    <cellStyle name="Normal 7 3 6 2 2 4 2 2" xfId="27290"/>
    <cellStyle name="Normal 7 3 6 2 2 4 3" xfId="27291"/>
    <cellStyle name="Normal 7 3 6 2 2 4 3 2" xfId="27292"/>
    <cellStyle name="Normal 7 3 6 2 2 4 4" xfId="27293"/>
    <cellStyle name="Normal 7 3 6 2 2 4 4 2" xfId="27294"/>
    <cellStyle name="Normal 7 3 6 2 2 4 5" xfId="27295"/>
    <cellStyle name="Normal 7 3 6 2 2 5" xfId="27296"/>
    <cellStyle name="Normal 7 3 6 2 2 5 2" xfId="27297"/>
    <cellStyle name="Normal 7 3 6 2 2 6" xfId="27298"/>
    <cellStyle name="Normal 7 3 6 2 2 6 2" xfId="27299"/>
    <cellStyle name="Normal 7 3 6 2 2 7" xfId="27300"/>
    <cellStyle name="Normal 7 3 6 2 2 7 2" xfId="27301"/>
    <cellStyle name="Normal 7 3 6 2 2 8" xfId="27302"/>
    <cellStyle name="Normal 7 3 6 2 3" xfId="27303"/>
    <cellStyle name="Normal 7 3 6 2 3 2" xfId="27304"/>
    <cellStyle name="Normal 7 3 6 2 3 2 2" xfId="27305"/>
    <cellStyle name="Normal 7 3 6 2 3 2 2 2" xfId="27306"/>
    <cellStyle name="Normal 7 3 6 2 3 2 2 2 2" xfId="27307"/>
    <cellStyle name="Normal 7 3 6 2 3 2 2 3" xfId="27308"/>
    <cellStyle name="Normal 7 3 6 2 3 2 2 3 2" xfId="27309"/>
    <cellStyle name="Normal 7 3 6 2 3 2 2 4" xfId="27310"/>
    <cellStyle name="Normal 7 3 6 2 3 2 2 4 2" xfId="27311"/>
    <cellStyle name="Normal 7 3 6 2 3 2 2 5" xfId="27312"/>
    <cellStyle name="Normal 7 3 6 2 3 2 3" xfId="27313"/>
    <cellStyle name="Normal 7 3 6 2 3 2 3 2" xfId="27314"/>
    <cellStyle name="Normal 7 3 6 2 3 2 3 2 2" xfId="27315"/>
    <cellStyle name="Normal 7 3 6 2 3 2 3 3" xfId="27316"/>
    <cellStyle name="Normal 7 3 6 2 3 2 3 3 2" xfId="27317"/>
    <cellStyle name="Normal 7 3 6 2 3 2 3 4" xfId="27318"/>
    <cellStyle name="Normal 7 3 6 2 3 2 3 4 2" xfId="27319"/>
    <cellStyle name="Normal 7 3 6 2 3 2 3 5" xfId="27320"/>
    <cellStyle name="Normal 7 3 6 2 3 2 4" xfId="27321"/>
    <cellStyle name="Normal 7 3 6 2 3 2 4 2" xfId="27322"/>
    <cellStyle name="Normal 7 3 6 2 3 2 5" xfId="27323"/>
    <cellStyle name="Normal 7 3 6 2 3 2 5 2" xfId="27324"/>
    <cellStyle name="Normal 7 3 6 2 3 2 6" xfId="27325"/>
    <cellStyle name="Normal 7 3 6 2 3 2 6 2" xfId="27326"/>
    <cellStyle name="Normal 7 3 6 2 3 2 7" xfId="27327"/>
    <cellStyle name="Normal 7 3 6 2 3 3" xfId="27328"/>
    <cellStyle name="Normal 7 3 6 2 3 3 2" xfId="27329"/>
    <cellStyle name="Normal 7 3 6 2 3 3 2 2" xfId="27330"/>
    <cellStyle name="Normal 7 3 6 2 3 3 3" xfId="27331"/>
    <cellStyle name="Normal 7 3 6 2 3 3 3 2" xfId="27332"/>
    <cellStyle name="Normal 7 3 6 2 3 3 4" xfId="27333"/>
    <cellStyle name="Normal 7 3 6 2 3 3 4 2" xfId="27334"/>
    <cellStyle name="Normal 7 3 6 2 3 3 5" xfId="27335"/>
    <cellStyle name="Normal 7 3 6 2 3 4" xfId="27336"/>
    <cellStyle name="Normal 7 3 6 2 3 4 2" xfId="27337"/>
    <cellStyle name="Normal 7 3 6 2 3 4 2 2" xfId="27338"/>
    <cellStyle name="Normal 7 3 6 2 3 4 3" xfId="27339"/>
    <cellStyle name="Normal 7 3 6 2 3 4 3 2" xfId="27340"/>
    <cellStyle name="Normal 7 3 6 2 3 4 4" xfId="27341"/>
    <cellStyle name="Normal 7 3 6 2 3 4 4 2" xfId="27342"/>
    <cellStyle name="Normal 7 3 6 2 3 4 5" xfId="27343"/>
    <cellStyle name="Normal 7 3 6 2 3 5" xfId="27344"/>
    <cellStyle name="Normal 7 3 6 2 3 5 2" xfId="27345"/>
    <cellStyle name="Normal 7 3 6 2 3 6" xfId="27346"/>
    <cellStyle name="Normal 7 3 6 2 3 6 2" xfId="27347"/>
    <cellStyle name="Normal 7 3 6 2 3 7" xfId="27348"/>
    <cellStyle name="Normal 7 3 6 2 3 7 2" xfId="27349"/>
    <cellStyle name="Normal 7 3 6 2 3 8" xfId="27350"/>
    <cellStyle name="Normal 7 3 6 2 4" xfId="27351"/>
    <cellStyle name="Normal 7 3 6 2 4 2" xfId="27352"/>
    <cellStyle name="Normal 7 3 6 2 4 2 2" xfId="27353"/>
    <cellStyle name="Normal 7 3 6 2 4 2 2 2" xfId="27354"/>
    <cellStyle name="Normal 7 3 6 2 4 2 2 2 2" xfId="27355"/>
    <cellStyle name="Normal 7 3 6 2 4 2 2 3" xfId="27356"/>
    <cellStyle name="Normal 7 3 6 2 4 2 2 3 2" xfId="27357"/>
    <cellStyle name="Normal 7 3 6 2 4 2 2 4" xfId="27358"/>
    <cellStyle name="Normal 7 3 6 2 4 2 2 4 2" xfId="27359"/>
    <cellStyle name="Normal 7 3 6 2 4 2 2 5" xfId="27360"/>
    <cellStyle name="Normal 7 3 6 2 4 2 3" xfId="27361"/>
    <cellStyle name="Normal 7 3 6 2 4 2 3 2" xfId="27362"/>
    <cellStyle name="Normal 7 3 6 2 4 2 3 2 2" xfId="27363"/>
    <cellStyle name="Normal 7 3 6 2 4 2 3 3" xfId="27364"/>
    <cellStyle name="Normal 7 3 6 2 4 2 3 3 2" xfId="27365"/>
    <cellStyle name="Normal 7 3 6 2 4 2 3 4" xfId="27366"/>
    <cellStyle name="Normal 7 3 6 2 4 2 3 4 2" xfId="27367"/>
    <cellStyle name="Normal 7 3 6 2 4 2 3 5" xfId="27368"/>
    <cellStyle name="Normal 7 3 6 2 4 2 4" xfId="27369"/>
    <cellStyle name="Normal 7 3 6 2 4 2 4 2" xfId="27370"/>
    <cellStyle name="Normal 7 3 6 2 4 2 5" xfId="27371"/>
    <cellStyle name="Normal 7 3 6 2 4 2 5 2" xfId="27372"/>
    <cellStyle name="Normal 7 3 6 2 4 2 6" xfId="27373"/>
    <cellStyle name="Normal 7 3 6 2 4 2 6 2" xfId="27374"/>
    <cellStyle name="Normal 7 3 6 2 4 2 7" xfId="27375"/>
    <cellStyle name="Normal 7 3 6 2 4 3" xfId="27376"/>
    <cellStyle name="Normal 7 3 6 2 4 3 2" xfId="27377"/>
    <cellStyle name="Normal 7 3 6 2 4 3 2 2" xfId="27378"/>
    <cellStyle name="Normal 7 3 6 2 4 3 3" xfId="27379"/>
    <cellStyle name="Normal 7 3 6 2 4 3 3 2" xfId="27380"/>
    <cellStyle name="Normal 7 3 6 2 4 3 4" xfId="27381"/>
    <cellStyle name="Normal 7 3 6 2 4 3 4 2" xfId="27382"/>
    <cellStyle name="Normal 7 3 6 2 4 3 5" xfId="27383"/>
    <cellStyle name="Normal 7 3 6 2 4 4" xfId="27384"/>
    <cellStyle name="Normal 7 3 6 2 4 4 2" xfId="27385"/>
    <cellStyle name="Normal 7 3 6 2 4 4 2 2" xfId="27386"/>
    <cellStyle name="Normal 7 3 6 2 4 4 3" xfId="27387"/>
    <cellStyle name="Normal 7 3 6 2 4 4 3 2" xfId="27388"/>
    <cellStyle name="Normal 7 3 6 2 4 4 4" xfId="27389"/>
    <cellStyle name="Normal 7 3 6 2 4 4 4 2" xfId="27390"/>
    <cellStyle name="Normal 7 3 6 2 4 4 5" xfId="27391"/>
    <cellStyle name="Normal 7 3 6 2 4 5" xfId="27392"/>
    <cellStyle name="Normal 7 3 6 2 4 5 2" xfId="27393"/>
    <cellStyle name="Normal 7 3 6 2 4 6" xfId="27394"/>
    <cellStyle name="Normal 7 3 6 2 4 6 2" xfId="27395"/>
    <cellStyle name="Normal 7 3 6 2 4 7" xfId="27396"/>
    <cellStyle name="Normal 7 3 6 2 4 7 2" xfId="27397"/>
    <cellStyle name="Normal 7 3 6 2 4 8" xfId="27398"/>
    <cellStyle name="Normal 7 3 6 2 5" xfId="27399"/>
    <cellStyle name="Normal 7 3 6 2 5 2" xfId="27400"/>
    <cellStyle name="Normal 7 3 6 2 5 2 2" xfId="27401"/>
    <cellStyle name="Normal 7 3 6 2 5 2 2 2" xfId="27402"/>
    <cellStyle name="Normal 7 3 6 2 5 2 2 2 2" xfId="27403"/>
    <cellStyle name="Normal 7 3 6 2 5 2 2 3" xfId="27404"/>
    <cellStyle name="Normal 7 3 6 2 5 2 2 3 2" xfId="27405"/>
    <cellStyle name="Normal 7 3 6 2 5 2 2 4" xfId="27406"/>
    <cellStyle name="Normal 7 3 6 2 5 2 2 4 2" xfId="27407"/>
    <cellStyle name="Normal 7 3 6 2 5 2 2 5" xfId="27408"/>
    <cellStyle name="Normal 7 3 6 2 5 2 3" xfId="27409"/>
    <cellStyle name="Normal 7 3 6 2 5 2 3 2" xfId="27410"/>
    <cellStyle name="Normal 7 3 6 2 5 2 3 2 2" xfId="27411"/>
    <cellStyle name="Normal 7 3 6 2 5 2 3 3" xfId="27412"/>
    <cellStyle name="Normal 7 3 6 2 5 2 3 3 2" xfId="27413"/>
    <cellStyle name="Normal 7 3 6 2 5 2 3 4" xfId="27414"/>
    <cellStyle name="Normal 7 3 6 2 5 2 3 4 2" xfId="27415"/>
    <cellStyle name="Normal 7 3 6 2 5 2 3 5" xfId="27416"/>
    <cellStyle name="Normal 7 3 6 2 5 2 4" xfId="27417"/>
    <cellStyle name="Normal 7 3 6 2 5 2 4 2" xfId="27418"/>
    <cellStyle name="Normal 7 3 6 2 5 2 5" xfId="27419"/>
    <cellStyle name="Normal 7 3 6 2 5 2 5 2" xfId="27420"/>
    <cellStyle name="Normal 7 3 6 2 5 2 6" xfId="27421"/>
    <cellStyle name="Normal 7 3 6 2 5 2 6 2" xfId="27422"/>
    <cellStyle name="Normal 7 3 6 2 5 2 7" xfId="27423"/>
    <cellStyle name="Normal 7 3 6 2 5 3" xfId="27424"/>
    <cellStyle name="Normal 7 3 6 2 5 3 2" xfId="27425"/>
    <cellStyle name="Normal 7 3 6 2 5 3 2 2" xfId="27426"/>
    <cellStyle name="Normal 7 3 6 2 5 3 3" xfId="27427"/>
    <cellStyle name="Normal 7 3 6 2 5 3 3 2" xfId="27428"/>
    <cellStyle name="Normal 7 3 6 2 5 3 4" xfId="27429"/>
    <cellStyle name="Normal 7 3 6 2 5 3 4 2" xfId="27430"/>
    <cellStyle name="Normal 7 3 6 2 5 3 5" xfId="27431"/>
    <cellStyle name="Normal 7 3 6 2 5 4" xfId="27432"/>
    <cellStyle name="Normal 7 3 6 2 5 4 2" xfId="27433"/>
    <cellStyle name="Normal 7 3 6 2 5 4 2 2" xfId="27434"/>
    <cellStyle name="Normal 7 3 6 2 5 4 3" xfId="27435"/>
    <cellStyle name="Normal 7 3 6 2 5 4 3 2" xfId="27436"/>
    <cellStyle name="Normal 7 3 6 2 5 4 4" xfId="27437"/>
    <cellStyle name="Normal 7 3 6 2 5 4 4 2" xfId="27438"/>
    <cellStyle name="Normal 7 3 6 2 5 4 5" xfId="27439"/>
    <cellStyle name="Normal 7 3 6 2 5 5" xfId="27440"/>
    <cellStyle name="Normal 7 3 6 2 5 5 2" xfId="27441"/>
    <cellStyle name="Normal 7 3 6 2 5 6" xfId="27442"/>
    <cellStyle name="Normal 7 3 6 2 5 6 2" xfId="27443"/>
    <cellStyle name="Normal 7 3 6 2 5 7" xfId="27444"/>
    <cellStyle name="Normal 7 3 6 2 5 7 2" xfId="27445"/>
    <cellStyle name="Normal 7 3 6 2 5 8" xfId="27446"/>
    <cellStyle name="Normal 7 3 6 2 6" xfId="27447"/>
    <cellStyle name="Normal 7 3 6 2 6 2" xfId="27448"/>
    <cellStyle name="Normal 7 3 6 2 6 2 2" xfId="27449"/>
    <cellStyle name="Normal 7 3 6 2 6 2 2 2" xfId="27450"/>
    <cellStyle name="Normal 7 3 6 2 6 2 2 2 2" xfId="27451"/>
    <cellStyle name="Normal 7 3 6 2 6 2 2 3" xfId="27452"/>
    <cellStyle name="Normal 7 3 6 2 6 2 2 3 2" xfId="27453"/>
    <cellStyle name="Normal 7 3 6 2 6 2 2 4" xfId="27454"/>
    <cellStyle name="Normal 7 3 6 2 6 2 2 4 2" xfId="27455"/>
    <cellStyle name="Normal 7 3 6 2 6 2 2 5" xfId="27456"/>
    <cellStyle name="Normal 7 3 6 2 6 2 3" xfId="27457"/>
    <cellStyle name="Normal 7 3 6 2 6 2 3 2" xfId="27458"/>
    <cellStyle name="Normal 7 3 6 2 6 2 3 2 2" xfId="27459"/>
    <cellStyle name="Normal 7 3 6 2 6 2 3 3" xfId="27460"/>
    <cellStyle name="Normal 7 3 6 2 6 2 3 3 2" xfId="27461"/>
    <cellStyle name="Normal 7 3 6 2 6 2 3 4" xfId="27462"/>
    <cellStyle name="Normal 7 3 6 2 6 2 3 4 2" xfId="27463"/>
    <cellStyle name="Normal 7 3 6 2 6 2 3 5" xfId="27464"/>
    <cellStyle name="Normal 7 3 6 2 6 2 4" xfId="27465"/>
    <cellStyle name="Normal 7 3 6 2 6 2 4 2" xfId="27466"/>
    <cellStyle name="Normal 7 3 6 2 6 2 5" xfId="27467"/>
    <cellStyle name="Normal 7 3 6 2 6 2 5 2" xfId="27468"/>
    <cellStyle name="Normal 7 3 6 2 6 2 6" xfId="27469"/>
    <cellStyle name="Normal 7 3 6 2 6 2 6 2" xfId="27470"/>
    <cellStyle name="Normal 7 3 6 2 6 2 7" xfId="27471"/>
    <cellStyle name="Normal 7 3 6 2 6 3" xfId="27472"/>
    <cellStyle name="Normal 7 3 6 2 6 3 2" xfId="27473"/>
    <cellStyle name="Normal 7 3 6 2 6 3 2 2" xfId="27474"/>
    <cellStyle name="Normal 7 3 6 2 6 3 3" xfId="27475"/>
    <cellStyle name="Normal 7 3 6 2 6 3 3 2" xfId="27476"/>
    <cellStyle name="Normal 7 3 6 2 6 3 4" xfId="27477"/>
    <cellStyle name="Normal 7 3 6 2 6 3 4 2" xfId="27478"/>
    <cellStyle name="Normal 7 3 6 2 6 3 5" xfId="27479"/>
    <cellStyle name="Normal 7 3 6 2 6 4" xfId="27480"/>
    <cellStyle name="Normal 7 3 6 2 6 4 2" xfId="27481"/>
    <cellStyle name="Normal 7 3 6 2 6 4 2 2" xfId="27482"/>
    <cellStyle name="Normal 7 3 6 2 6 4 3" xfId="27483"/>
    <cellStyle name="Normal 7 3 6 2 6 4 3 2" xfId="27484"/>
    <cellStyle name="Normal 7 3 6 2 6 4 4" xfId="27485"/>
    <cellStyle name="Normal 7 3 6 2 6 4 4 2" xfId="27486"/>
    <cellStyle name="Normal 7 3 6 2 6 4 5" xfId="27487"/>
    <cellStyle name="Normal 7 3 6 2 6 5" xfId="27488"/>
    <cellStyle name="Normal 7 3 6 2 6 5 2" xfId="27489"/>
    <cellStyle name="Normal 7 3 6 2 6 6" xfId="27490"/>
    <cellStyle name="Normal 7 3 6 2 6 6 2" xfId="27491"/>
    <cellStyle name="Normal 7 3 6 2 6 7" xfId="27492"/>
    <cellStyle name="Normal 7 3 6 2 6 7 2" xfId="27493"/>
    <cellStyle name="Normal 7 3 6 2 6 8" xfId="27494"/>
    <cellStyle name="Normal 7 3 6 2 7" xfId="27495"/>
    <cellStyle name="Normal 7 3 6 2 7 2" xfId="27496"/>
    <cellStyle name="Normal 7 3 6 2 7 2 2" xfId="27497"/>
    <cellStyle name="Normal 7 3 6 2 7 2 2 2" xfId="27498"/>
    <cellStyle name="Normal 7 3 6 2 7 2 3" xfId="27499"/>
    <cellStyle name="Normal 7 3 6 2 7 2 3 2" xfId="27500"/>
    <cellStyle name="Normal 7 3 6 2 7 2 4" xfId="27501"/>
    <cellStyle name="Normal 7 3 6 2 7 2 4 2" xfId="27502"/>
    <cellStyle name="Normal 7 3 6 2 7 2 5" xfId="27503"/>
    <cellStyle name="Normal 7 3 6 2 7 3" xfId="27504"/>
    <cellStyle name="Normal 7 3 6 2 7 3 2" xfId="27505"/>
    <cellStyle name="Normal 7 3 6 2 7 3 2 2" xfId="27506"/>
    <cellStyle name="Normal 7 3 6 2 7 3 3" xfId="27507"/>
    <cellStyle name="Normal 7 3 6 2 7 3 3 2" xfId="27508"/>
    <cellStyle name="Normal 7 3 6 2 7 3 4" xfId="27509"/>
    <cellStyle name="Normal 7 3 6 2 7 3 4 2" xfId="27510"/>
    <cellStyle name="Normal 7 3 6 2 7 3 5" xfId="27511"/>
    <cellStyle name="Normal 7 3 6 2 7 4" xfId="27512"/>
    <cellStyle name="Normal 7 3 6 2 7 4 2" xfId="27513"/>
    <cellStyle name="Normal 7 3 6 2 7 5" xfId="27514"/>
    <cellStyle name="Normal 7 3 6 2 7 5 2" xfId="27515"/>
    <cellStyle name="Normal 7 3 6 2 7 6" xfId="27516"/>
    <cellStyle name="Normal 7 3 6 2 7 6 2" xfId="27517"/>
    <cellStyle name="Normal 7 3 6 2 7 7" xfId="27518"/>
    <cellStyle name="Normal 7 3 6 2 8" xfId="27519"/>
    <cellStyle name="Normal 7 3 6 2 8 2" xfId="27520"/>
    <cellStyle name="Normal 7 3 6 2 8 2 2" xfId="27521"/>
    <cellStyle name="Normal 7 3 6 2 8 3" xfId="27522"/>
    <cellStyle name="Normal 7 3 6 2 8 3 2" xfId="27523"/>
    <cellStyle name="Normal 7 3 6 2 8 4" xfId="27524"/>
    <cellStyle name="Normal 7 3 6 2 8 4 2" xfId="27525"/>
    <cellStyle name="Normal 7 3 6 2 8 5" xfId="27526"/>
    <cellStyle name="Normal 7 3 6 2 9" xfId="27527"/>
    <cellStyle name="Normal 7 3 6 2 9 2" xfId="27528"/>
    <cellStyle name="Normal 7 3 6 2 9 2 2" xfId="27529"/>
    <cellStyle name="Normal 7 3 6 2 9 3" xfId="27530"/>
    <cellStyle name="Normal 7 3 6 2 9 3 2" xfId="27531"/>
    <cellStyle name="Normal 7 3 6 2 9 4" xfId="27532"/>
    <cellStyle name="Normal 7 3 6 2 9 4 2" xfId="27533"/>
    <cellStyle name="Normal 7 3 6 2 9 5" xfId="27534"/>
    <cellStyle name="Normal 7 3 6 3" xfId="27535"/>
    <cellStyle name="Normal 7 3 6 3 2" xfId="27536"/>
    <cellStyle name="Normal 7 3 6 3 2 2" xfId="27537"/>
    <cellStyle name="Normal 7 3 6 3 2 2 2" xfId="27538"/>
    <cellStyle name="Normal 7 3 6 3 2 2 2 2" xfId="27539"/>
    <cellStyle name="Normal 7 3 6 3 2 2 3" xfId="27540"/>
    <cellStyle name="Normal 7 3 6 3 2 2 3 2" xfId="27541"/>
    <cellStyle name="Normal 7 3 6 3 2 2 4" xfId="27542"/>
    <cellStyle name="Normal 7 3 6 3 2 2 4 2" xfId="27543"/>
    <cellStyle name="Normal 7 3 6 3 2 2 5" xfId="27544"/>
    <cellStyle name="Normal 7 3 6 3 2 3" xfId="27545"/>
    <cellStyle name="Normal 7 3 6 3 2 3 2" xfId="27546"/>
    <cellStyle name="Normal 7 3 6 3 2 3 2 2" xfId="27547"/>
    <cellStyle name="Normal 7 3 6 3 2 3 3" xfId="27548"/>
    <cellStyle name="Normal 7 3 6 3 2 3 3 2" xfId="27549"/>
    <cellStyle name="Normal 7 3 6 3 2 3 4" xfId="27550"/>
    <cellStyle name="Normal 7 3 6 3 2 3 4 2" xfId="27551"/>
    <cellStyle name="Normal 7 3 6 3 2 3 5" xfId="27552"/>
    <cellStyle name="Normal 7 3 6 3 2 4" xfId="27553"/>
    <cellStyle name="Normal 7 3 6 3 2 4 2" xfId="27554"/>
    <cellStyle name="Normal 7 3 6 3 2 5" xfId="27555"/>
    <cellStyle name="Normal 7 3 6 3 2 5 2" xfId="27556"/>
    <cellStyle name="Normal 7 3 6 3 2 6" xfId="27557"/>
    <cellStyle name="Normal 7 3 6 3 2 6 2" xfId="27558"/>
    <cellStyle name="Normal 7 3 6 3 2 7" xfId="27559"/>
    <cellStyle name="Normal 7 3 6 3 3" xfId="27560"/>
    <cellStyle name="Normal 7 3 6 3 3 2" xfId="27561"/>
    <cellStyle name="Normal 7 3 6 3 3 2 2" xfId="27562"/>
    <cellStyle name="Normal 7 3 6 3 3 3" xfId="27563"/>
    <cellStyle name="Normal 7 3 6 3 3 3 2" xfId="27564"/>
    <cellStyle name="Normal 7 3 6 3 3 4" xfId="27565"/>
    <cellStyle name="Normal 7 3 6 3 3 4 2" xfId="27566"/>
    <cellStyle name="Normal 7 3 6 3 3 5" xfId="27567"/>
    <cellStyle name="Normal 7 3 6 3 4" xfId="27568"/>
    <cellStyle name="Normal 7 3 6 3 4 2" xfId="27569"/>
    <cellStyle name="Normal 7 3 6 3 4 2 2" xfId="27570"/>
    <cellStyle name="Normal 7 3 6 3 4 3" xfId="27571"/>
    <cellStyle name="Normal 7 3 6 3 4 3 2" xfId="27572"/>
    <cellStyle name="Normal 7 3 6 3 4 4" xfId="27573"/>
    <cellStyle name="Normal 7 3 6 3 4 4 2" xfId="27574"/>
    <cellStyle name="Normal 7 3 6 3 4 5" xfId="27575"/>
    <cellStyle name="Normal 7 3 6 3 5" xfId="27576"/>
    <cellStyle name="Normal 7 3 6 3 5 2" xfId="27577"/>
    <cellStyle name="Normal 7 3 6 3 6" xfId="27578"/>
    <cellStyle name="Normal 7 3 6 3 6 2" xfId="27579"/>
    <cellStyle name="Normal 7 3 6 3 7" xfId="27580"/>
    <cellStyle name="Normal 7 3 6 3 7 2" xfId="27581"/>
    <cellStyle name="Normal 7 3 6 3 8" xfId="27582"/>
    <cellStyle name="Normal 7 3 6 4" xfId="27583"/>
    <cellStyle name="Normal 7 3 6 4 2" xfId="27584"/>
    <cellStyle name="Normal 7 3 6 4 2 2" xfId="27585"/>
    <cellStyle name="Normal 7 3 6 4 2 2 2" xfId="27586"/>
    <cellStyle name="Normal 7 3 6 4 2 2 2 2" xfId="27587"/>
    <cellStyle name="Normal 7 3 6 4 2 2 3" xfId="27588"/>
    <cellStyle name="Normal 7 3 6 4 2 2 3 2" xfId="27589"/>
    <cellStyle name="Normal 7 3 6 4 2 2 4" xfId="27590"/>
    <cellStyle name="Normal 7 3 6 4 2 2 4 2" xfId="27591"/>
    <cellStyle name="Normal 7 3 6 4 2 2 5" xfId="27592"/>
    <cellStyle name="Normal 7 3 6 4 2 3" xfId="27593"/>
    <cellStyle name="Normal 7 3 6 4 2 3 2" xfId="27594"/>
    <cellStyle name="Normal 7 3 6 4 2 3 2 2" xfId="27595"/>
    <cellStyle name="Normal 7 3 6 4 2 3 3" xfId="27596"/>
    <cellStyle name="Normal 7 3 6 4 2 3 3 2" xfId="27597"/>
    <cellStyle name="Normal 7 3 6 4 2 3 4" xfId="27598"/>
    <cellStyle name="Normal 7 3 6 4 2 3 4 2" xfId="27599"/>
    <cellStyle name="Normal 7 3 6 4 2 3 5" xfId="27600"/>
    <cellStyle name="Normal 7 3 6 4 2 4" xfId="27601"/>
    <cellStyle name="Normal 7 3 6 4 2 4 2" xfId="27602"/>
    <cellStyle name="Normal 7 3 6 4 2 5" xfId="27603"/>
    <cellStyle name="Normal 7 3 6 4 2 5 2" xfId="27604"/>
    <cellStyle name="Normal 7 3 6 4 2 6" xfId="27605"/>
    <cellStyle name="Normal 7 3 6 4 2 6 2" xfId="27606"/>
    <cellStyle name="Normal 7 3 6 4 2 7" xfId="27607"/>
    <cellStyle name="Normal 7 3 6 4 3" xfId="27608"/>
    <cellStyle name="Normal 7 3 6 4 3 2" xfId="27609"/>
    <cellStyle name="Normal 7 3 6 4 3 2 2" xfId="27610"/>
    <cellStyle name="Normal 7 3 6 4 3 3" xfId="27611"/>
    <cellStyle name="Normal 7 3 6 4 3 3 2" xfId="27612"/>
    <cellStyle name="Normal 7 3 6 4 3 4" xfId="27613"/>
    <cellStyle name="Normal 7 3 6 4 3 4 2" xfId="27614"/>
    <cellStyle name="Normal 7 3 6 4 3 5" xfId="27615"/>
    <cellStyle name="Normal 7 3 6 4 4" xfId="27616"/>
    <cellStyle name="Normal 7 3 6 4 4 2" xfId="27617"/>
    <cellStyle name="Normal 7 3 6 4 4 2 2" xfId="27618"/>
    <cellStyle name="Normal 7 3 6 4 4 3" xfId="27619"/>
    <cellStyle name="Normal 7 3 6 4 4 3 2" xfId="27620"/>
    <cellStyle name="Normal 7 3 6 4 4 4" xfId="27621"/>
    <cellStyle name="Normal 7 3 6 4 4 4 2" xfId="27622"/>
    <cellStyle name="Normal 7 3 6 4 4 5" xfId="27623"/>
    <cellStyle name="Normal 7 3 6 4 5" xfId="27624"/>
    <cellStyle name="Normal 7 3 6 4 5 2" xfId="27625"/>
    <cellStyle name="Normal 7 3 6 4 6" xfId="27626"/>
    <cellStyle name="Normal 7 3 6 4 6 2" xfId="27627"/>
    <cellStyle name="Normal 7 3 6 4 7" xfId="27628"/>
    <cellStyle name="Normal 7 3 6 4 7 2" xfId="27629"/>
    <cellStyle name="Normal 7 3 6 4 8" xfId="27630"/>
    <cellStyle name="Normal 7 3 6 5" xfId="27631"/>
    <cellStyle name="Normal 7 3 6 5 2" xfId="27632"/>
    <cellStyle name="Normal 7 3 6 5 2 2" xfId="27633"/>
    <cellStyle name="Normal 7 3 6 5 2 2 2" xfId="27634"/>
    <cellStyle name="Normal 7 3 6 5 2 2 2 2" xfId="27635"/>
    <cellStyle name="Normal 7 3 6 5 2 2 3" xfId="27636"/>
    <cellStyle name="Normal 7 3 6 5 2 2 3 2" xfId="27637"/>
    <cellStyle name="Normal 7 3 6 5 2 2 4" xfId="27638"/>
    <cellStyle name="Normal 7 3 6 5 2 2 4 2" xfId="27639"/>
    <cellStyle name="Normal 7 3 6 5 2 2 5" xfId="27640"/>
    <cellStyle name="Normal 7 3 6 5 2 3" xfId="27641"/>
    <cellStyle name="Normal 7 3 6 5 2 3 2" xfId="27642"/>
    <cellStyle name="Normal 7 3 6 5 2 3 2 2" xfId="27643"/>
    <cellStyle name="Normal 7 3 6 5 2 3 3" xfId="27644"/>
    <cellStyle name="Normal 7 3 6 5 2 3 3 2" xfId="27645"/>
    <cellStyle name="Normal 7 3 6 5 2 3 4" xfId="27646"/>
    <cellStyle name="Normal 7 3 6 5 2 3 4 2" xfId="27647"/>
    <cellStyle name="Normal 7 3 6 5 2 3 5" xfId="27648"/>
    <cellStyle name="Normal 7 3 6 5 2 4" xfId="27649"/>
    <cellStyle name="Normal 7 3 6 5 2 4 2" xfId="27650"/>
    <cellStyle name="Normal 7 3 6 5 2 5" xfId="27651"/>
    <cellStyle name="Normal 7 3 6 5 2 5 2" xfId="27652"/>
    <cellStyle name="Normal 7 3 6 5 2 6" xfId="27653"/>
    <cellStyle name="Normal 7 3 6 5 2 6 2" xfId="27654"/>
    <cellStyle name="Normal 7 3 6 5 2 7" xfId="27655"/>
    <cellStyle name="Normal 7 3 6 5 3" xfId="27656"/>
    <cellStyle name="Normal 7 3 6 5 3 2" xfId="27657"/>
    <cellStyle name="Normal 7 3 6 5 3 2 2" xfId="27658"/>
    <cellStyle name="Normal 7 3 6 5 3 3" xfId="27659"/>
    <cellStyle name="Normal 7 3 6 5 3 3 2" xfId="27660"/>
    <cellStyle name="Normal 7 3 6 5 3 4" xfId="27661"/>
    <cellStyle name="Normal 7 3 6 5 3 4 2" xfId="27662"/>
    <cellStyle name="Normal 7 3 6 5 3 5" xfId="27663"/>
    <cellStyle name="Normal 7 3 6 5 4" xfId="27664"/>
    <cellStyle name="Normal 7 3 6 5 4 2" xfId="27665"/>
    <cellStyle name="Normal 7 3 6 5 4 2 2" xfId="27666"/>
    <cellStyle name="Normal 7 3 6 5 4 3" xfId="27667"/>
    <cellStyle name="Normal 7 3 6 5 4 3 2" xfId="27668"/>
    <cellStyle name="Normal 7 3 6 5 4 4" xfId="27669"/>
    <cellStyle name="Normal 7 3 6 5 4 4 2" xfId="27670"/>
    <cellStyle name="Normal 7 3 6 5 4 5" xfId="27671"/>
    <cellStyle name="Normal 7 3 6 5 5" xfId="27672"/>
    <cellStyle name="Normal 7 3 6 5 5 2" xfId="27673"/>
    <cellStyle name="Normal 7 3 6 5 6" xfId="27674"/>
    <cellStyle name="Normal 7 3 6 5 6 2" xfId="27675"/>
    <cellStyle name="Normal 7 3 6 5 7" xfId="27676"/>
    <cellStyle name="Normal 7 3 6 5 7 2" xfId="27677"/>
    <cellStyle name="Normal 7 3 6 5 8" xfId="27678"/>
    <cellStyle name="Normal 7 3 6 6" xfId="27679"/>
    <cellStyle name="Normal 7 3 6 6 2" xfId="27680"/>
    <cellStyle name="Normal 7 3 6 6 2 2" xfId="27681"/>
    <cellStyle name="Normal 7 3 6 6 2 2 2" xfId="27682"/>
    <cellStyle name="Normal 7 3 6 6 2 2 2 2" xfId="27683"/>
    <cellStyle name="Normal 7 3 6 6 2 2 3" xfId="27684"/>
    <cellStyle name="Normal 7 3 6 6 2 2 3 2" xfId="27685"/>
    <cellStyle name="Normal 7 3 6 6 2 2 4" xfId="27686"/>
    <cellStyle name="Normal 7 3 6 6 2 2 4 2" xfId="27687"/>
    <cellStyle name="Normal 7 3 6 6 2 2 5" xfId="27688"/>
    <cellStyle name="Normal 7 3 6 6 2 3" xfId="27689"/>
    <cellStyle name="Normal 7 3 6 6 2 3 2" xfId="27690"/>
    <cellStyle name="Normal 7 3 6 6 2 3 2 2" xfId="27691"/>
    <cellStyle name="Normal 7 3 6 6 2 3 3" xfId="27692"/>
    <cellStyle name="Normal 7 3 6 6 2 3 3 2" xfId="27693"/>
    <cellStyle name="Normal 7 3 6 6 2 3 4" xfId="27694"/>
    <cellStyle name="Normal 7 3 6 6 2 3 4 2" xfId="27695"/>
    <cellStyle name="Normal 7 3 6 6 2 3 5" xfId="27696"/>
    <cellStyle name="Normal 7 3 6 6 2 4" xfId="27697"/>
    <cellStyle name="Normal 7 3 6 6 2 4 2" xfId="27698"/>
    <cellStyle name="Normal 7 3 6 6 2 5" xfId="27699"/>
    <cellStyle name="Normal 7 3 6 6 2 5 2" xfId="27700"/>
    <cellStyle name="Normal 7 3 6 6 2 6" xfId="27701"/>
    <cellStyle name="Normal 7 3 6 6 2 6 2" xfId="27702"/>
    <cellStyle name="Normal 7 3 6 6 2 7" xfId="27703"/>
    <cellStyle name="Normal 7 3 6 6 3" xfId="27704"/>
    <cellStyle name="Normal 7 3 6 6 3 2" xfId="27705"/>
    <cellStyle name="Normal 7 3 6 6 3 2 2" xfId="27706"/>
    <cellStyle name="Normal 7 3 6 6 3 3" xfId="27707"/>
    <cellStyle name="Normal 7 3 6 6 3 3 2" xfId="27708"/>
    <cellStyle name="Normal 7 3 6 6 3 4" xfId="27709"/>
    <cellStyle name="Normal 7 3 6 6 3 4 2" xfId="27710"/>
    <cellStyle name="Normal 7 3 6 6 3 5" xfId="27711"/>
    <cellStyle name="Normal 7 3 6 6 4" xfId="27712"/>
    <cellStyle name="Normal 7 3 6 6 4 2" xfId="27713"/>
    <cellStyle name="Normal 7 3 6 6 4 2 2" xfId="27714"/>
    <cellStyle name="Normal 7 3 6 6 4 3" xfId="27715"/>
    <cellStyle name="Normal 7 3 6 6 4 3 2" xfId="27716"/>
    <cellStyle name="Normal 7 3 6 6 4 4" xfId="27717"/>
    <cellStyle name="Normal 7 3 6 6 4 4 2" xfId="27718"/>
    <cellStyle name="Normal 7 3 6 6 4 5" xfId="27719"/>
    <cellStyle name="Normal 7 3 6 6 5" xfId="27720"/>
    <cellStyle name="Normal 7 3 6 6 5 2" xfId="27721"/>
    <cellStyle name="Normal 7 3 6 6 6" xfId="27722"/>
    <cellStyle name="Normal 7 3 6 6 6 2" xfId="27723"/>
    <cellStyle name="Normal 7 3 6 6 7" xfId="27724"/>
    <cellStyle name="Normal 7 3 6 6 7 2" xfId="27725"/>
    <cellStyle name="Normal 7 3 6 6 8" xfId="27726"/>
    <cellStyle name="Normal 7 3 6 7" xfId="27727"/>
    <cellStyle name="Normal 7 3 6 7 2" xfId="27728"/>
    <cellStyle name="Normal 7 3 6 7 2 2" xfId="27729"/>
    <cellStyle name="Normal 7 3 6 7 2 2 2" xfId="27730"/>
    <cellStyle name="Normal 7 3 6 7 2 2 2 2" xfId="27731"/>
    <cellStyle name="Normal 7 3 6 7 2 2 3" xfId="27732"/>
    <cellStyle name="Normal 7 3 6 7 2 2 3 2" xfId="27733"/>
    <cellStyle name="Normal 7 3 6 7 2 2 4" xfId="27734"/>
    <cellStyle name="Normal 7 3 6 7 2 2 4 2" xfId="27735"/>
    <cellStyle name="Normal 7 3 6 7 2 2 5" xfId="27736"/>
    <cellStyle name="Normal 7 3 6 7 2 3" xfId="27737"/>
    <cellStyle name="Normal 7 3 6 7 2 3 2" xfId="27738"/>
    <cellStyle name="Normal 7 3 6 7 2 3 2 2" xfId="27739"/>
    <cellStyle name="Normal 7 3 6 7 2 3 3" xfId="27740"/>
    <cellStyle name="Normal 7 3 6 7 2 3 3 2" xfId="27741"/>
    <cellStyle name="Normal 7 3 6 7 2 3 4" xfId="27742"/>
    <cellStyle name="Normal 7 3 6 7 2 3 4 2" xfId="27743"/>
    <cellStyle name="Normal 7 3 6 7 2 3 5" xfId="27744"/>
    <cellStyle name="Normal 7 3 6 7 2 4" xfId="27745"/>
    <cellStyle name="Normal 7 3 6 7 2 4 2" xfId="27746"/>
    <cellStyle name="Normal 7 3 6 7 2 5" xfId="27747"/>
    <cellStyle name="Normal 7 3 6 7 2 5 2" xfId="27748"/>
    <cellStyle name="Normal 7 3 6 7 2 6" xfId="27749"/>
    <cellStyle name="Normal 7 3 6 7 2 6 2" xfId="27750"/>
    <cellStyle name="Normal 7 3 6 7 2 7" xfId="27751"/>
    <cellStyle name="Normal 7 3 6 7 3" xfId="27752"/>
    <cellStyle name="Normal 7 3 6 7 3 2" xfId="27753"/>
    <cellStyle name="Normal 7 3 6 7 3 2 2" xfId="27754"/>
    <cellStyle name="Normal 7 3 6 7 3 3" xfId="27755"/>
    <cellStyle name="Normal 7 3 6 7 3 3 2" xfId="27756"/>
    <cellStyle name="Normal 7 3 6 7 3 4" xfId="27757"/>
    <cellStyle name="Normal 7 3 6 7 3 4 2" xfId="27758"/>
    <cellStyle name="Normal 7 3 6 7 3 5" xfId="27759"/>
    <cellStyle name="Normal 7 3 6 7 4" xfId="27760"/>
    <cellStyle name="Normal 7 3 6 7 4 2" xfId="27761"/>
    <cellStyle name="Normal 7 3 6 7 4 2 2" xfId="27762"/>
    <cellStyle name="Normal 7 3 6 7 4 3" xfId="27763"/>
    <cellStyle name="Normal 7 3 6 7 4 3 2" xfId="27764"/>
    <cellStyle name="Normal 7 3 6 7 4 4" xfId="27765"/>
    <cellStyle name="Normal 7 3 6 7 4 4 2" xfId="27766"/>
    <cellStyle name="Normal 7 3 6 7 4 5" xfId="27767"/>
    <cellStyle name="Normal 7 3 6 7 5" xfId="27768"/>
    <cellStyle name="Normal 7 3 6 7 5 2" xfId="27769"/>
    <cellStyle name="Normal 7 3 6 7 6" xfId="27770"/>
    <cellStyle name="Normal 7 3 6 7 6 2" xfId="27771"/>
    <cellStyle name="Normal 7 3 6 7 7" xfId="27772"/>
    <cellStyle name="Normal 7 3 6 7 7 2" xfId="27773"/>
    <cellStyle name="Normal 7 3 6 7 8" xfId="27774"/>
    <cellStyle name="Normal 7 3 6 8" xfId="27775"/>
    <cellStyle name="Normal 7 3 6 8 2" xfId="27776"/>
    <cellStyle name="Normal 7 3 6 8 2 2" xfId="27777"/>
    <cellStyle name="Normal 7 3 6 8 2 2 2" xfId="27778"/>
    <cellStyle name="Normal 7 3 6 8 2 3" xfId="27779"/>
    <cellStyle name="Normal 7 3 6 8 2 3 2" xfId="27780"/>
    <cellStyle name="Normal 7 3 6 8 2 4" xfId="27781"/>
    <cellStyle name="Normal 7 3 6 8 2 4 2" xfId="27782"/>
    <cellStyle name="Normal 7 3 6 8 2 5" xfId="27783"/>
    <cellStyle name="Normal 7 3 6 8 3" xfId="27784"/>
    <cellStyle name="Normal 7 3 6 8 3 2" xfId="27785"/>
    <cellStyle name="Normal 7 3 6 8 3 2 2" xfId="27786"/>
    <cellStyle name="Normal 7 3 6 8 3 3" xfId="27787"/>
    <cellStyle name="Normal 7 3 6 8 3 3 2" xfId="27788"/>
    <cellStyle name="Normal 7 3 6 8 3 4" xfId="27789"/>
    <cellStyle name="Normal 7 3 6 8 3 4 2" xfId="27790"/>
    <cellStyle name="Normal 7 3 6 8 3 5" xfId="27791"/>
    <cellStyle name="Normal 7 3 6 8 4" xfId="27792"/>
    <cellStyle name="Normal 7 3 6 8 4 2" xfId="27793"/>
    <cellStyle name="Normal 7 3 6 8 5" xfId="27794"/>
    <cellStyle name="Normal 7 3 6 8 5 2" xfId="27795"/>
    <cellStyle name="Normal 7 3 6 8 6" xfId="27796"/>
    <cellStyle name="Normal 7 3 6 8 6 2" xfId="27797"/>
    <cellStyle name="Normal 7 3 6 8 7" xfId="27798"/>
    <cellStyle name="Normal 7 3 6 9" xfId="27799"/>
    <cellStyle name="Normal 7 3 6 9 2" xfId="27800"/>
    <cellStyle name="Normal 7 3 6 9 2 2" xfId="27801"/>
    <cellStyle name="Normal 7 3 6 9 3" xfId="27802"/>
    <cellStyle name="Normal 7 3 6 9 3 2" xfId="27803"/>
    <cellStyle name="Normal 7 3 6 9 4" xfId="27804"/>
    <cellStyle name="Normal 7 3 6 9 4 2" xfId="27805"/>
    <cellStyle name="Normal 7 3 6 9 5" xfId="27806"/>
    <cellStyle name="Normal 7 3 7" xfId="27807"/>
    <cellStyle name="Normal 7 3 7 10" xfId="27808"/>
    <cellStyle name="Normal 7 3 7 10 2" xfId="27809"/>
    <cellStyle name="Normal 7 3 7 11" xfId="27810"/>
    <cellStyle name="Normal 7 3 7 11 2" xfId="27811"/>
    <cellStyle name="Normal 7 3 7 12" xfId="27812"/>
    <cellStyle name="Normal 7 3 7 12 2" xfId="27813"/>
    <cellStyle name="Normal 7 3 7 13" xfId="27814"/>
    <cellStyle name="Normal 7 3 7 2" xfId="27815"/>
    <cellStyle name="Normal 7 3 7 2 2" xfId="27816"/>
    <cellStyle name="Normal 7 3 7 2 2 2" xfId="27817"/>
    <cellStyle name="Normal 7 3 7 2 2 2 2" xfId="27818"/>
    <cellStyle name="Normal 7 3 7 2 2 2 2 2" xfId="27819"/>
    <cellStyle name="Normal 7 3 7 2 2 2 3" xfId="27820"/>
    <cellStyle name="Normal 7 3 7 2 2 2 3 2" xfId="27821"/>
    <cellStyle name="Normal 7 3 7 2 2 2 4" xfId="27822"/>
    <cellStyle name="Normal 7 3 7 2 2 2 4 2" xfId="27823"/>
    <cellStyle name="Normal 7 3 7 2 2 2 5" xfId="27824"/>
    <cellStyle name="Normal 7 3 7 2 2 3" xfId="27825"/>
    <cellStyle name="Normal 7 3 7 2 2 3 2" xfId="27826"/>
    <cellStyle name="Normal 7 3 7 2 2 3 2 2" xfId="27827"/>
    <cellStyle name="Normal 7 3 7 2 2 3 3" xfId="27828"/>
    <cellStyle name="Normal 7 3 7 2 2 3 3 2" xfId="27829"/>
    <cellStyle name="Normal 7 3 7 2 2 3 4" xfId="27830"/>
    <cellStyle name="Normal 7 3 7 2 2 3 4 2" xfId="27831"/>
    <cellStyle name="Normal 7 3 7 2 2 3 5" xfId="27832"/>
    <cellStyle name="Normal 7 3 7 2 2 4" xfId="27833"/>
    <cellStyle name="Normal 7 3 7 2 2 4 2" xfId="27834"/>
    <cellStyle name="Normal 7 3 7 2 2 5" xfId="27835"/>
    <cellStyle name="Normal 7 3 7 2 2 5 2" xfId="27836"/>
    <cellStyle name="Normal 7 3 7 2 2 6" xfId="27837"/>
    <cellStyle name="Normal 7 3 7 2 2 6 2" xfId="27838"/>
    <cellStyle name="Normal 7 3 7 2 2 7" xfId="27839"/>
    <cellStyle name="Normal 7 3 7 2 3" xfId="27840"/>
    <cellStyle name="Normal 7 3 7 2 3 2" xfId="27841"/>
    <cellStyle name="Normal 7 3 7 2 3 2 2" xfId="27842"/>
    <cellStyle name="Normal 7 3 7 2 3 3" xfId="27843"/>
    <cellStyle name="Normal 7 3 7 2 3 3 2" xfId="27844"/>
    <cellStyle name="Normal 7 3 7 2 3 4" xfId="27845"/>
    <cellStyle name="Normal 7 3 7 2 3 4 2" xfId="27846"/>
    <cellStyle name="Normal 7 3 7 2 3 5" xfId="27847"/>
    <cellStyle name="Normal 7 3 7 2 4" xfId="27848"/>
    <cellStyle name="Normal 7 3 7 2 4 2" xfId="27849"/>
    <cellStyle name="Normal 7 3 7 2 4 2 2" xfId="27850"/>
    <cellStyle name="Normal 7 3 7 2 4 3" xfId="27851"/>
    <cellStyle name="Normal 7 3 7 2 4 3 2" xfId="27852"/>
    <cellStyle name="Normal 7 3 7 2 4 4" xfId="27853"/>
    <cellStyle name="Normal 7 3 7 2 4 4 2" xfId="27854"/>
    <cellStyle name="Normal 7 3 7 2 4 5" xfId="27855"/>
    <cellStyle name="Normal 7 3 7 2 5" xfId="27856"/>
    <cellStyle name="Normal 7 3 7 2 5 2" xfId="27857"/>
    <cellStyle name="Normal 7 3 7 2 6" xfId="27858"/>
    <cellStyle name="Normal 7 3 7 2 6 2" xfId="27859"/>
    <cellStyle name="Normal 7 3 7 2 7" xfId="27860"/>
    <cellStyle name="Normal 7 3 7 2 7 2" xfId="27861"/>
    <cellStyle name="Normal 7 3 7 2 8" xfId="27862"/>
    <cellStyle name="Normal 7 3 7 3" xfId="27863"/>
    <cellStyle name="Normal 7 3 7 3 2" xfId="27864"/>
    <cellStyle name="Normal 7 3 7 3 2 2" xfId="27865"/>
    <cellStyle name="Normal 7 3 7 3 2 2 2" xfId="27866"/>
    <cellStyle name="Normal 7 3 7 3 2 2 2 2" xfId="27867"/>
    <cellStyle name="Normal 7 3 7 3 2 2 3" xfId="27868"/>
    <cellStyle name="Normal 7 3 7 3 2 2 3 2" xfId="27869"/>
    <cellStyle name="Normal 7 3 7 3 2 2 4" xfId="27870"/>
    <cellStyle name="Normal 7 3 7 3 2 2 4 2" xfId="27871"/>
    <cellStyle name="Normal 7 3 7 3 2 2 5" xfId="27872"/>
    <cellStyle name="Normal 7 3 7 3 2 3" xfId="27873"/>
    <cellStyle name="Normal 7 3 7 3 2 3 2" xfId="27874"/>
    <cellStyle name="Normal 7 3 7 3 2 3 2 2" xfId="27875"/>
    <cellStyle name="Normal 7 3 7 3 2 3 3" xfId="27876"/>
    <cellStyle name="Normal 7 3 7 3 2 3 3 2" xfId="27877"/>
    <cellStyle name="Normal 7 3 7 3 2 3 4" xfId="27878"/>
    <cellStyle name="Normal 7 3 7 3 2 3 4 2" xfId="27879"/>
    <cellStyle name="Normal 7 3 7 3 2 3 5" xfId="27880"/>
    <cellStyle name="Normal 7 3 7 3 2 4" xfId="27881"/>
    <cellStyle name="Normal 7 3 7 3 2 4 2" xfId="27882"/>
    <cellStyle name="Normal 7 3 7 3 2 5" xfId="27883"/>
    <cellStyle name="Normal 7 3 7 3 2 5 2" xfId="27884"/>
    <cellStyle name="Normal 7 3 7 3 2 6" xfId="27885"/>
    <cellStyle name="Normal 7 3 7 3 2 6 2" xfId="27886"/>
    <cellStyle name="Normal 7 3 7 3 2 7" xfId="27887"/>
    <cellStyle name="Normal 7 3 7 3 3" xfId="27888"/>
    <cellStyle name="Normal 7 3 7 3 3 2" xfId="27889"/>
    <cellStyle name="Normal 7 3 7 3 3 2 2" xfId="27890"/>
    <cellStyle name="Normal 7 3 7 3 3 3" xfId="27891"/>
    <cellStyle name="Normal 7 3 7 3 3 3 2" xfId="27892"/>
    <cellStyle name="Normal 7 3 7 3 3 4" xfId="27893"/>
    <cellStyle name="Normal 7 3 7 3 3 4 2" xfId="27894"/>
    <cellStyle name="Normal 7 3 7 3 3 5" xfId="27895"/>
    <cellStyle name="Normal 7 3 7 3 4" xfId="27896"/>
    <cellStyle name="Normal 7 3 7 3 4 2" xfId="27897"/>
    <cellStyle name="Normal 7 3 7 3 4 2 2" xfId="27898"/>
    <cellStyle name="Normal 7 3 7 3 4 3" xfId="27899"/>
    <cellStyle name="Normal 7 3 7 3 4 3 2" xfId="27900"/>
    <cellStyle name="Normal 7 3 7 3 4 4" xfId="27901"/>
    <cellStyle name="Normal 7 3 7 3 4 4 2" xfId="27902"/>
    <cellStyle name="Normal 7 3 7 3 4 5" xfId="27903"/>
    <cellStyle name="Normal 7 3 7 3 5" xfId="27904"/>
    <cellStyle name="Normal 7 3 7 3 5 2" xfId="27905"/>
    <cellStyle name="Normal 7 3 7 3 6" xfId="27906"/>
    <cellStyle name="Normal 7 3 7 3 6 2" xfId="27907"/>
    <cellStyle name="Normal 7 3 7 3 7" xfId="27908"/>
    <cellStyle name="Normal 7 3 7 3 7 2" xfId="27909"/>
    <cellStyle name="Normal 7 3 7 3 8" xfId="27910"/>
    <cellStyle name="Normal 7 3 7 4" xfId="27911"/>
    <cellStyle name="Normal 7 3 7 4 2" xfId="27912"/>
    <cellStyle name="Normal 7 3 7 4 2 2" xfId="27913"/>
    <cellStyle name="Normal 7 3 7 4 2 2 2" xfId="27914"/>
    <cellStyle name="Normal 7 3 7 4 2 2 2 2" xfId="27915"/>
    <cellStyle name="Normal 7 3 7 4 2 2 3" xfId="27916"/>
    <cellStyle name="Normal 7 3 7 4 2 2 3 2" xfId="27917"/>
    <cellStyle name="Normal 7 3 7 4 2 2 4" xfId="27918"/>
    <cellStyle name="Normal 7 3 7 4 2 2 4 2" xfId="27919"/>
    <cellStyle name="Normal 7 3 7 4 2 2 5" xfId="27920"/>
    <cellStyle name="Normal 7 3 7 4 2 3" xfId="27921"/>
    <cellStyle name="Normal 7 3 7 4 2 3 2" xfId="27922"/>
    <cellStyle name="Normal 7 3 7 4 2 3 2 2" xfId="27923"/>
    <cellStyle name="Normal 7 3 7 4 2 3 3" xfId="27924"/>
    <cellStyle name="Normal 7 3 7 4 2 3 3 2" xfId="27925"/>
    <cellStyle name="Normal 7 3 7 4 2 3 4" xfId="27926"/>
    <cellStyle name="Normal 7 3 7 4 2 3 4 2" xfId="27927"/>
    <cellStyle name="Normal 7 3 7 4 2 3 5" xfId="27928"/>
    <cellStyle name="Normal 7 3 7 4 2 4" xfId="27929"/>
    <cellStyle name="Normal 7 3 7 4 2 4 2" xfId="27930"/>
    <cellStyle name="Normal 7 3 7 4 2 5" xfId="27931"/>
    <cellStyle name="Normal 7 3 7 4 2 5 2" xfId="27932"/>
    <cellStyle name="Normal 7 3 7 4 2 6" xfId="27933"/>
    <cellStyle name="Normal 7 3 7 4 2 6 2" xfId="27934"/>
    <cellStyle name="Normal 7 3 7 4 2 7" xfId="27935"/>
    <cellStyle name="Normal 7 3 7 4 3" xfId="27936"/>
    <cellStyle name="Normal 7 3 7 4 3 2" xfId="27937"/>
    <cellStyle name="Normal 7 3 7 4 3 2 2" xfId="27938"/>
    <cellStyle name="Normal 7 3 7 4 3 3" xfId="27939"/>
    <cellStyle name="Normal 7 3 7 4 3 3 2" xfId="27940"/>
    <cellStyle name="Normal 7 3 7 4 3 4" xfId="27941"/>
    <cellStyle name="Normal 7 3 7 4 3 4 2" xfId="27942"/>
    <cellStyle name="Normal 7 3 7 4 3 5" xfId="27943"/>
    <cellStyle name="Normal 7 3 7 4 4" xfId="27944"/>
    <cellStyle name="Normal 7 3 7 4 4 2" xfId="27945"/>
    <cellStyle name="Normal 7 3 7 4 4 2 2" xfId="27946"/>
    <cellStyle name="Normal 7 3 7 4 4 3" xfId="27947"/>
    <cellStyle name="Normal 7 3 7 4 4 3 2" xfId="27948"/>
    <cellStyle name="Normal 7 3 7 4 4 4" xfId="27949"/>
    <cellStyle name="Normal 7 3 7 4 4 4 2" xfId="27950"/>
    <cellStyle name="Normal 7 3 7 4 4 5" xfId="27951"/>
    <cellStyle name="Normal 7 3 7 4 5" xfId="27952"/>
    <cellStyle name="Normal 7 3 7 4 5 2" xfId="27953"/>
    <cellStyle name="Normal 7 3 7 4 6" xfId="27954"/>
    <cellStyle name="Normal 7 3 7 4 6 2" xfId="27955"/>
    <cellStyle name="Normal 7 3 7 4 7" xfId="27956"/>
    <cellStyle name="Normal 7 3 7 4 7 2" xfId="27957"/>
    <cellStyle name="Normal 7 3 7 4 8" xfId="27958"/>
    <cellStyle name="Normal 7 3 7 5" xfId="27959"/>
    <cellStyle name="Normal 7 3 7 5 2" xfId="27960"/>
    <cellStyle name="Normal 7 3 7 5 2 2" xfId="27961"/>
    <cellStyle name="Normal 7 3 7 5 2 2 2" xfId="27962"/>
    <cellStyle name="Normal 7 3 7 5 2 2 2 2" xfId="27963"/>
    <cellStyle name="Normal 7 3 7 5 2 2 3" xfId="27964"/>
    <cellStyle name="Normal 7 3 7 5 2 2 3 2" xfId="27965"/>
    <cellStyle name="Normal 7 3 7 5 2 2 4" xfId="27966"/>
    <cellStyle name="Normal 7 3 7 5 2 2 4 2" xfId="27967"/>
    <cellStyle name="Normal 7 3 7 5 2 2 5" xfId="27968"/>
    <cellStyle name="Normal 7 3 7 5 2 3" xfId="27969"/>
    <cellStyle name="Normal 7 3 7 5 2 3 2" xfId="27970"/>
    <cellStyle name="Normal 7 3 7 5 2 3 2 2" xfId="27971"/>
    <cellStyle name="Normal 7 3 7 5 2 3 3" xfId="27972"/>
    <cellStyle name="Normal 7 3 7 5 2 3 3 2" xfId="27973"/>
    <cellStyle name="Normal 7 3 7 5 2 3 4" xfId="27974"/>
    <cellStyle name="Normal 7 3 7 5 2 3 4 2" xfId="27975"/>
    <cellStyle name="Normal 7 3 7 5 2 3 5" xfId="27976"/>
    <cellStyle name="Normal 7 3 7 5 2 4" xfId="27977"/>
    <cellStyle name="Normal 7 3 7 5 2 4 2" xfId="27978"/>
    <cellStyle name="Normal 7 3 7 5 2 5" xfId="27979"/>
    <cellStyle name="Normal 7 3 7 5 2 5 2" xfId="27980"/>
    <cellStyle name="Normal 7 3 7 5 2 6" xfId="27981"/>
    <cellStyle name="Normal 7 3 7 5 2 6 2" xfId="27982"/>
    <cellStyle name="Normal 7 3 7 5 2 7" xfId="27983"/>
    <cellStyle name="Normal 7 3 7 5 3" xfId="27984"/>
    <cellStyle name="Normal 7 3 7 5 3 2" xfId="27985"/>
    <cellStyle name="Normal 7 3 7 5 3 2 2" xfId="27986"/>
    <cellStyle name="Normal 7 3 7 5 3 3" xfId="27987"/>
    <cellStyle name="Normal 7 3 7 5 3 3 2" xfId="27988"/>
    <cellStyle name="Normal 7 3 7 5 3 4" xfId="27989"/>
    <cellStyle name="Normal 7 3 7 5 3 4 2" xfId="27990"/>
    <cellStyle name="Normal 7 3 7 5 3 5" xfId="27991"/>
    <cellStyle name="Normal 7 3 7 5 4" xfId="27992"/>
    <cellStyle name="Normal 7 3 7 5 4 2" xfId="27993"/>
    <cellStyle name="Normal 7 3 7 5 4 2 2" xfId="27994"/>
    <cellStyle name="Normal 7 3 7 5 4 3" xfId="27995"/>
    <cellStyle name="Normal 7 3 7 5 4 3 2" xfId="27996"/>
    <cellStyle name="Normal 7 3 7 5 4 4" xfId="27997"/>
    <cellStyle name="Normal 7 3 7 5 4 4 2" xfId="27998"/>
    <cellStyle name="Normal 7 3 7 5 4 5" xfId="27999"/>
    <cellStyle name="Normal 7 3 7 5 5" xfId="28000"/>
    <cellStyle name="Normal 7 3 7 5 5 2" xfId="28001"/>
    <cellStyle name="Normal 7 3 7 5 6" xfId="28002"/>
    <cellStyle name="Normal 7 3 7 5 6 2" xfId="28003"/>
    <cellStyle name="Normal 7 3 7 5 7" xfId="28004"/>
    <cellStyle name="Normal 7 3 7 5 7 2" xfId="28005"/>
    <cellStyle name="Normal 7 3 7 5 8" xfId="28006"/>
    <cellStyle name="Normal 7 3 7 6" xfId="28007"/>
    <cellStyle name="Normal 7 3 7 6 2" xfId="28008"/>
    <cellStyle name="Normal 7 3 7 6 2 2" xfId="28009"/>
    <cellStyle name="Normal 7 3 7 6 2 2 2" xfId="28010"/>
    <cellStyle name="Normal 7 3 7 6 2 2 2 2" xfId="28011"/>
    <cellStyle name="Normal 7 3 7 6 2 2 3" xfId="28012"/>
    <cellStyle name="Normal 7 3 7 6 2 2 3 2" xfId="28013"/>
    <cellStyle name="Normal 7 3 7 6 2 2 4" xfId="28014"/>
    <cellStyle name="Normal 7 3 7 6 2 2 4 2" xfId="28015"/>
    <cellStyle name="Normal 7 3 7 6 2 2 5" xfId="28016"/>
    <cellStyle name="Normal 7 3 7 6 2 3" xfId="28017"/>
    <cellStyle name="Normal 7 3 7 6 2 3 2" xfId="28018"/>
    <cellStyle name="Normal 7 3 7 6 2 3 2 2" xfId="28019"/>
    <cellStyle name="Normal 7 3 7 6 2 3 3" xfId="28020"/>
    <cellStyle name="Normal 7 3 7 6 2 3 3 2" xfId="28021"/>
    <cellStyle name="Normal 7 3 7 6 2 3 4" xfId="28022"/>
    <cellStyle name="Normal 7 3 7 6 2 3 4 2" xfId="28023"/>
    <cellStyle name="Normal 7 3 7 6 2 3 5" xfId="28024"/>
    <cellStyle name="Normal 7 3 7 6 2 4" xfId="28025"/>
    <cellStyle name="Normal 7 3 7 6 2 4 2" xfId="28026"/>
    <cellStyle name="Normal 7 3 7 6 2 5" xfId="28027"/>
    <cellStyle name="Normal 7 3 7 6 2 5 2" xfId="28028"/>
    <cellStyle name="Normal 7 3 7 6 2 6" xfId="28029"/>
    <cellStyle name="Normal 7 3 7 6 2 6 2" xfId="28030"/>
    <cellStyle name="Normal 7 3 7 6 2 7" xfId="28031"/>
    <cellStyle name="Normal 7 3 7 6 3" xfId="28032"/>
    <cellStyle name="Normal 7 3 7 6 3 2" xfId="28033"/>
    <cellStyle name="Normal 7 3 7 6 3 2 2" xfId="28034"/>
    <cellStyle name="Normal 7 3 7 6 3 3" xfId="28035"/>
    <cellStyle name="Normal 7 3 7 6 3 3 2" xfId="28036"/>
    <cellStyle name="Normal 7 3 7 6 3 4" xfId="28037"/>
    <cellStyle name="Normal 7 3 7 6 3 4 2" xfId="28038"/>
    <cellStyle name="Normal 7 3 7 6 3 5" xfId="28039"/>
    <cellStyle name="Normal 7 3 7 6 4" xfId="28040"/>
    <cellStyle name="Normal 7 3 7 6 4 2" xfId="28041"/>
    <cellStyle name="Normal 7 3 7 6 4 2 2" xfId="28042"/>
    <cellStyle name="Normal 7 3 7 6 4 3" xfId="28043"/>
    <cellStyle name="Normal 7 3 7 6 4 3 2" xfId="28044"/>
    <cellStyle name="Normal 7 3 7 6 4 4" xfId="28045"/>
    <cellStyle name="Normal 7 3 7 6 4 4 2" xfId="28046"/>
    <cellStyle name="Normal 7 3 7 6 4 5" xfId="28047"/>
    <cellStyle name="Normal 7 3 7 6 5" xfId="28048"/>
    <cellStyle name="Normal 7 3 7 6 5 2" xfId="28049"/>
    <cellStyle name="Normal 7 3 7 6 6" xfId="28050"/>
    <cellStyle name="Normal 7 3 7 6 6 2" xfId="28051"/>
    <cellStyle name="Normal 7 3 7 6 7" xfId="28052"/>
    <cellStyle name="Normal 7 3 7 6 7 2" xfId="28053"/>
    <cellStyle name="Normal 7 3 7 6 8" xfId="28054"/>
    <cellStyle name="Normal 7 3 7 7" xfId="28055"/>
    <cellStyle name="Normal 7 3 7 7 2" xfId="28056"/>
    <cellStyle name="Normal 7 3 7 7 2 2" xfId="28057"/>
    <cellStyle name="Normal 7 3 7 7 2 2 2" xfId="28058"/>
    <cellStyle name="Normal 7 3 7 7 2 3" xfId="28059"/>
    <cellStyle name="Normal 7 3 7 7 2 3 2" xfId="28060"/>
    <cellStyle name="Normal 7 3 7 7 2 4" xfId="28061"/>
    <cellStyle name="Normal 7 3 7 7 2 4 2" xfId="28062"/>
    <cellStyle name="Normal 7 3 7 7 2 5" xfId="28063"/>
    <cellStyle name="Normal 7 3 7 7 3" xfId="28064"/>
    <cellStyle name="Normal 7 3 7 7 3 2" xfId="28065"/>
    <cellStyle name="Normal 7 3 7 7 3 2 2" xfId="28066"/>
    <cellStyle name="Normal 7 3 7 7 3 3" xfId="28067"/>
    <cellStyle name="Normal 7 3 7 7 3 3 2" xfId="28068"/>
    <cellStyle name="Normal 7 3 7 7 3 4" xfId="28069"/>
    <cellStyle name="Normal 7 3 7 7 3 4 2" xfId="28070"/>
    <cellStyle name="Normal 7 3 7 7 3 5" xfId="28071"/>
    <cellStyle name="Normal 7 3 7 7 4" xfId="28072"/>
    <cellStyle name="Normal 7 3 7 7 4 2" xfId="28073"/>
    <cellStyle name="Normal 7 3 7 7 5" xfId="28074"/>
    <cellStyle name="Normal 7 3 7 7 5 2" xfId="28075"/>
    <cellStyle name="Normal 7 3 7 7 6" xfId="28076"/>
    <cellStyle name="Normal 7 3 7 7 6 2" xfId="28077"/>
    <cellStyle name="Normal 7 3 7 7 7" xfId="28078"/>
    <cellStyle name="Normal 7 3 7 8" xfId="28079"/>
    <cellStyle name="Normal 7 3 7 8 2" xfId="28080"/>
    <cellStyle name="Normal 7 3 7 8 2 2" xfId="28081"/>
    <cellStyle name="Normal 7 3 7 8 3" xfId="28082"/>
    <cellStyle name="Normal 7 3 7 8 3 2" xfId="28083"/>
    <cellStyle name="Normal 7 3 7 8 4" xfId="28084"/>
    <cellStyle name="Normal 7 3 7 8 4 2" xfId="28085"/>
    <cellStyle name="Normal 7 3 7 8 5" xfId="28086"/>
    <cellStyle name="Normal 7 3 7 9" xfId="28087"/>
    <cellStyle name="Normal 7 3 7 9 2" xfId="28088"/>
    <cellStyle name="Normal 7 3 7 9 2 2" xfId="28089"/>
    <cellStyle name="Normal 7 3 7 9 3" xfId="28090"/>
    <cellStyle name="Normal 7 3 7 9 3 2" xfId="28091"/>
    <cellStyle name="Normal 7 3 7 9 4" xfId="28092"/>
    <cellStyle name="Normal 7 3 7 9 4 2" xfId="28093"/>
    <cellStyle name="Normal 7 3 7 9 5" xfId="28094"/>
    <cellStyle name="Normal 7 3 8" xfId="28095"/>
    <cellStyle name="Normal 7 3 8 2" xfId="28096"/>
    <cellStyle name="Normal 7 3 8 2 2" xfId="28097"/>
    <cellStyle name="Normal 7 3 8 2 2 2" xfId="28098"/>
    <cellStyle name="Normal 7 3 8 2 2 2 2" xfId="28099"/>
    <cellStyle name="Normal 7 3 8 2 2 3" xfId="28100"/>
    <cellStyle name="Normal 7 3 8 2 2 3 2" xfId="28101"/>
    <cellStyle name="Normal 7 3 8 2 2 4" xfId="28102"/>
    <cellStyle name="Normal 7 3 8 2 2 4 2" xfId="28103"/>
    <cellStyle name="Normal 7 3 8 2 2 5" xfId="28104"/>
    <cellStyle name="Normal 7 3 8 2 3" xfId="28105"/>
    <cellStyle name="Normal 7 3 8 2 3 2" xfId="28106"/>
    <cellStyle name="Normal 7 3 8 2 3 2 2" xfId="28107"/>
    <cellStyle name="Normal 7 3 8 2 3 3" xfId="28108"/>
    <cellStyle name="Normal 7 3 8 2 3 3 2" xfId="28109"/>
    <cellStyle name="Normal 7 3 8 2 3 4" xfId="28110"/>
    <cellStyle name="Normal 7 3 8 2 3 4 2" xfId="28111"/>
    <cellStyle name="Normal 7 3 8 2 3 5" xfId="28112"/>
    <cellStyle name="Normal 7 3 8 2 4" xfId="28113"/>
    <cellStyle name="Normal 7 3 8 2 4 2" xfId="28114"/>
    <cellStyle name="Normal 7 3 8 2 5" xfId="28115"/>
    <cellStyle name="Normal 7 3 8 2 5 2" xfId="28116"/>
    <cellStyle name="Normal 7 3 8 2 6" xfId="28117"/>
    <cellStyle name="Normal 7 3 8 2 6 2" xfId="28118"/>
    <cellStyle name="Normal 7 3 8 2 7" xfId="28119"/>
    <cellStyle name="Normal 7 3 8 3" xfId="28120"/>
    <cellStyle name="Normal 7 3 8 3 2" xfId="28121"/>
    <cellStyle name="Normal 7 3 8 3 2 2" xfId="28122"/>
    <cellStyle name="Normal 7 3 8 3 3" xfId="28123"/>
    <cellStyle name="Normal 7 3 8 3 3 2" xfId="28124"/>
    <cellStyle name="Normal 7 3 8 3 4" xfId="28125"/>
    <cellStyle name="Normal 7 3 8 3 4 2" xfId="28126"/>
    <cellStyle name="Normal 7 3 8 3 5" xfId="28127"/>
    <cellStyle name="Normal 7 3 8 4" xfId="28128"/>
    <cellStyle name="Normal 7 3 8 4 2" xfId="28129"/>
    <cellStyle name="Normal 7 3 8 4 2 2" xfId="28130"/>
    <cellStyle name="Normal 7 3 8 4 3" xfId="28131"/>
    <cellStyle name="Normal 7 3 8 4 3 2" xfId="28132"/>
    <cellStyle name="Normal 7 3 8 4 4" xfId="28133"/>
    <cellStyle name="Normal 7 3 8 4 4 2" xfId="28134"/>
    <cellStyle name="Normal 7 3 8 4 5" xfId="28135"/>
    <cellStyle name="Normal 7 3 8 5" xfId="28136"/>
    <cellStyle name="Normal 7 3 8 5 2" xfId="28137"/>
    <cellStyle name="Normal 7 3 8 6" xfId="28138"/>
    <cellStyle name="Normal 7 3 8 6 2" xfId="28139"/>
    <cellStyle name="Normal 7 3 8 7" xfId="28140"/>
    <cellStyle name="Normal 7 3 8 7 2" xfId="28141"/>
    <cellStyle name="Normal 7 3 8 8" xfId="28142"/>
    <cellStyle name="Normal 7 3 9" xfId="28143"/>
    <cellStyle name="Normal 7 3 9 2" xfId="28144"/>
    <cellStyle name="Normal 7 3 9 2 2" xfId="28145"/>
    <cellStyle name="Normal 7 3 9 2 2 2" xfId="28146"/>
    <cellStyle name="Normal 7 3 9 2 2 2 2" xfId="28147"/>
    <cellStyle name="Normal 7 3 9 2 2 3" xfId="28148"/>
    <cellStyle name="Normal 7 3 9 2 2 3 2" xfId="28149"/>
    <cellStyle name="Normal 7 3 9 2 2 4" xfId="28150"/>
    <cellStyle name="Normal 7 3 9 2 2 4 2" xfId="28151"/>
    <cellStyle name="Normal 7 3 9 2 2 5" xfId="28152"/>
    <cellStyle name="Normal 7 3 9 2 3" xfId="28153"/>
    <cellStyle name="Normal 7 3 9 2 3 2" xfId="28154"/>
    <cellStyle name="Normal 7 3 9 2 3 2 2" xfId="28155"/>
    <cellStyle name="Normal 7 3 9 2 3 3" xfId="28156"/>
    <cellStyle name="Normal 7 3 9 2 3 3 2" xfId="28157"/>
    <cellStyle name="Normal 7 3 9 2 3 4" xfId="28158"/>
    <cellStyle name="Normal 7 3 9 2 3 4 2" xfId="28159"/>
    <cellStyle name="Normal 7 3 9 2 3 5" xfId="28160"/>
    <cellStyle name="Normal 7 3 9 2 4" xfId="28161"/>
    <cellStyle name="Normal 7 3 9 2 4 2" xfId="28162"/>
    <cellStyle name="Normal 7 3 9 2 5" xfId="28163"/>
    <cellStyle name="Normal 7 3 9 2 5 2" xfId="28164"/>
    <cellStyle name="Normal 7 3 9 2 6" xfId="28165"/>
    <cellStyle name="Normal 7 3 9 2 6 2" xfId="28166"/>
    <cellStyle name="Normal 7 3 9 2 7" xfId="28167"/>
    <cellStyle name="Normal 7 3 9 3" xfId="28168"/>
    <cellStyle name="Normal 7 3 9 3 2" xfId="28169"/>
    <cellStyle name="Normal 7 3 9 3 2 2" xfId="28170"/>
    <cellStyle name="Normal 7 3 9 3 3" xfId="28171"/>
    <cellStyle name="Normal 7 3 9 3 3 2" xfId="28172"/>
    <cellStyle name="Normal 7 3 9 3 4" xfId="28173"/>
    <cellStyle name="Normal 7 3 9 3 4 2" xfId="28174"/>
    <cellStyle name="Normal 7 3 9 3 5" xfId="28175"/>
    <cellStyle name="Normal 7 3 9 4" xfId="28176"/>
    <cellStyle name="Normal 7 3 9 4 2" xfId="28177"/>
    <cellStyle name="Normal 7 3 9 4 2 2" xfId="28178"/>
    <cellStyle name="Normal 7 3 9 4 3" xfId="28179"/>
    <cellStyle name="Normal 7 3 9 4 3 2" xfId="28180"/>
    <cellStyle name="Normal 7 3 9 4 4" xfId="28181"/>
    <cellStyle name="Normal 7 3 9 4 4 2" xfId="28182"/>
    <cellStyle name="Normal 7 3 9 4 5" xfId="28183"/>
    <cellStyle name="Normal 7 3 9 5" xfId="28184"/>
    <cellStyle name="Normal 7 3 9 5 2" xfId="28185"/>
    <cellStyle name="Normal 7 3 9 6" xfId="28186"/>
    <cellStyle name="Normal 7 3 9 6 2" xfId="28187"/>
    <cellStyle name="Normal 7 3 9 7" xfId="28188"/>
    <cellStyle name="Normal 7 3 9 7 2" xfId="28189"/>
    <cellStyle name="Normal 7 3 9 8" xfId="28190"/>
    <cellStyle name="Normal 7 4" xfId="28191"/>
    <cellStyle name="Normal 7 4 10" xfId="28192"/>
    <cellStyle name="Normal 7 4 10 2" xfId="28193"/>
    <cellStyle name="Normal 7 4 10 2 2" xfId="28194"/>
    <cellStyle name="Normal 7 4 10 2 2 2" xfId="28195"/>
    <cellStyle name="Normal 7 4 10 2 2 2 2" xfId="28196"/>
    <cellStyle name="Normal 7 4 10 2 2 3" xfId="28197"/>
    <cellStyle name="Normal 7 4 10 2 2 3 2" xfId="28198"/>
    <cellStyle name="Normal 7 4 10 2 2 4" xfId="28199"/>
    <cellStyle name="Normal 7 4 10 2 2 4 2" xfId="28200"/>
    <cellStyle name="Normal 7 4 10 2 2 5" xfId="28201"/>
    <cellStyle name="Normal 7 4 10 2 3" xfId="28202"/>
    <cellStyle name="Normal 7 4 10 2 3 2" xfId="28203"/>
    <cellStyle name="Normal 7 4 10 2 3 2 2" xfId="28204"/>
    <cellStyle name="Normal 7 4 10 2 3 3" xfId="28205"/>
    <cellStyle name="Normal 7 4 10 2 3 3 2" xfId="28206"/>
    <cellStyle name="Normal 7 4 10 2 3 4" xfId="28207"/>
    <cellStyle name="Normal 7 4 10 2 3 4 2" xfId="28208"/>
    <cellStyle name="Normal 7 4 10 2 3 5" xfId="28209"/>
    <cellStyle name="Normal 7 4 10 2 4" xfId="28210"/>
    <cellStyle name="Normal 7 4 10 2 4 2" xfId="28211"/>
    <cellStyle name="Normal 7 4 10 2 5" xfId="28212"/>
    <cellStyle name="Normal 7 4 10 2 5 2" xfId="28213"/>
    <cellStyle name="Normal 7 4 10 2 6" xfId="28214"/>
    <cellStyle name="Normal 7 4 10 2 6 2" xfId="28215"/>
    <cellStyle name="Normal 7 4 10 2 7" xfId="28216"/>
    <cellStyle name="Normal 7 4 10 3" xfId="28217"/>
    <cellStyle name="Normal 7 4 10 3 2" xfId="28218"/>
    <cellStyle name="Normal 7 4 10 3 2 2" xfId="28219"/>
    <cellStyle name="Normal 7 4 10 3 3" xfId="28220"/>
    <cellStyle name="Normal 7 4 10 3 3 2" xfId="28221"/>
    <cellStyle name="Normal 7 4 10 3 4" xfId="28222"/>
    <cellStyle name="Normal 7 4 10 3 4 2" xfId="28223"/>
    <cellStyle name="Normal 7 4 10 3 5" xfId="28224"/>
    <cellStyle name="Normal 7 4 10 4" xfId="28225"/>
    <cellStyle name="Normal 7 4 10 4 2" xfId="28226"/>
    <cellStyle name="Normal 7 4 10 4 2 2" xfId="28227"/>
    <cellStyle name="Normal 7 4 10 4 3" xfId="28228"/>
    <cellStyle name="Normal 7 4 10 4 3 2" xfId="28229"/>
    <cellStyle name="Normal 7 4 10 4 4" xfId="28230"/>
    <cellStyle name="Normal 7 4 10 4 4 2" xfId="28231"/>
    <cellStyle name="Normal 7 4 10 4 5" xfId="28232"/>
    <cellStyle name="Normal 7 4 10 5" xfId="28233"/>
    <cellStyle name="Normal 7 4 10 5 2" xfId="28234"/>
    <cellStyle name="Normal 7 4 10 6" xfId="28235"/>
    <cellStyle name="Normal 7 4 10 6 2" xfId="28236"/>
    <cellStyle name="Normal 7 4 10 7" xfId="28237"/>
    <cellStyle name="Normal 7 4 10 7 2" xfId="28238"/>
    <cellStyle name="Normal 7 4 10 8" xfId="28239"/>
    <cellStyle name="Normal 7 4 11" xfId="28240"/>
    <cellStyle name="Normal 7 4 11 2" xfId="28241"/>
    <cellStyle name="Normal 7 4 11 2 2" xfId="28242"/>
    <cellStyle name="Normal 7 4 11 2 2 2" xfId="28243"/>
    <cellStyle name="Normal 7 4 11 2 2 2 2" xfId="28244"/>
    <cellStyle name="Normal 7 4 11 2 2 3" xfId="28245"/>
    <cellStyle name="Normal 7 4 11 2 2 3 2" xfId="28246"/>
    <cellStyle name="Normal 7 4 11 2 2 4" xfId="28247"/>
    <cellStyle name="Normal 7 4 11 2 2 4 2" xfId="28248"/>
    <cellStyle name="Normal 7 4 11 2 2 5" xfId="28249"/>
    <cellStyle name="Normal 7 4 11 2 3" xfId="28250"/>
    <cellStyle name="Normal 7 4 11 2 3 2" xfId="28251"/>
    <cellStyle name="Normal 7 4 11 2 3 2 2" xfId="28252"/>
    <cellStyle name="Normal 7 4 11 2 3 3" xfId="28253"/>
    <cellStyle name="Normal 7 4 11 2 3 3 2" xfId="28254"/>
    <cellStyle name="Normal 7 4 11 2 3 4" xfId="28255"/>
    <cellStyle name="Normal 7 4 11 2 3 4 2" xfId="28256"/>
    <cellStyle name="Normal 7 4 11 2 3 5" xfId="28257"/>
    <cellStyle name="Normal 7 4 11 2 4" xfId="28258"/>
    <cellStyle name="Normal 7 4 11 2 4 2" xfId="28259"/>
    <cellStyle name="Normal 7 4 11 2 5" xfId="28260"/>
    <cellStyle name="Normal 7 4 11 2 5 2" xfId="28261"/>
    <cellStyle name="Normal 7 4 11 2 6" xfId="28262"/>
    <cellStyle name="Normal 7 4 11 2 6 2" xfId="28263"/>
    <cellStyle name="Normal 7 4 11 2 7" xfId="28264"/>
    <cellStyle name="Normal 7 4 11 3" xfId="28265"/>
    <cellStyle name="Normal 7 4 11 3 2" xfId="28266"/>
    <cellStyle name="Normal 7 4 11 3 2 2" xfId="28267"/>
    <cellStyle name="Normal 7 4 11 3 3" xfId="28268"/>
    <cellStyle name="Normal 7 4 11 3 3 2" xfId="28269"/>
    <cellStyle name="Normal 7 4 11 3 4" xfId="28270"/>
    <cellStyle name="Normal 7 4 11 3 4 2" xfId="28271"/>
    <cellStyle name="Normal 7 4 11 3 5" xfId="28272"/>
    <cellStyle name="Normal 7 4 11 4" xfId="28273"/>
    <cellStyle name="Normal 7 4 11 4 2" xfId="28274"/>
    <cellStyle name="Normal 7 4 11 4 2 2" xfId="28275"/>
    <cellStyle name="Normal 7 4 11 4 3" xfId="28276"/>
    <cellStyle name="Normal 7 4 11 4 3 2" xfId="28277"/>
    <cellStyle name="Normal 7 4 11 4 4" xfId="28278"/>
    <cellStyle name="Normal 7 4 11 4 4 2" xfId="28279"/>
    <cellStyle name="Normal 7 4 11 4 5" xfId="28280"/>
    <cellStyle name="Normal 7 4 11 5" xfId="28281"/>
    <cellStyle name="Normal 7 4 11 5 2" xfId="28282"/>
    <cellStyle name="Normal 7 4 11 6" xfId="28283"/>
    <cellStyle name="Normal 7 4 11 6 2" xfId="28284"/>
    <cellStyle name="Normal 7 4 11 7" xfId="28285"/>
    <cellStyle name="Normal 7 4 11 7 2" xfId="28286"/>
    <cellStyle name="Normal 7 4 11 8" xfId="28287"/>
    <cellStyle name="Normal 7 4 12" xfId="28288"/>
    <cellStyle name="Normal 7 4 12 2" xfId="28289"/>
    <cellStyle name="Normal 7 4 12 2 2" xfId="28290"/>
    <cellStyle name="Normal 7 4 12 2 2 2" xfId="28291"/>
    <cellStyle name="Normal 7 4 12 2 2 2 2" xfId="28292"/>
    <cellStyle name="Normal 7 4 12 2 2 3" xfId="28293"/>
    <cellStyle name="Normal 7 4 12 2 2 3 2" xfId="28294"/>
    <cellStyle name="Normal 7 4 12 2 2 4" xfId="28295"/>
    <cellStyle name="Normal 7 4 12 2 2 4 2" xfId="28296"/>
    <cellStyle name="Normal 7 4 12 2 2 5" xfId="28297"/>
    <cellStyle name="Normal 7 4 12 2 3" xfId="28298"/>
    <cellStyle name="Normal 7 4 12 2 3 2" xfId="28299"/>
    <cellStyle name="Normal 7 4 12 2 3 2 2" xfId="28300"/>
    <cellStyle name="Normal 7 4 12 2 3 3" xfId="28301"/>
    <cellStyle name="Normal 7 4 12 2 3 3 2" xfId="28302"/>
    <cellStyle name="Normal 7 4 12 2 3 4" xfId="28303"/>
    <cellStyle name="Normal 7 4 12 2 3 4 2" xfId="28304"/>
    <cellStyle name="Normal 7 4 12 2 3 5" xfId="28305"/>
    <cellStyle name="Normal 7 4 12 2 4" xfId="28306"/>
    <cellStyle name="Normal 7 4 12 2 4 2" xfId="28307"/>
    <cellStyle name="Normal 7 4 12 2 5" xfId="28308"/>
    <cellStyle name="Normal 7 4 12 2 5 2" xfId="28309"/>
    <cellStyle name="Normal 7 4 12 2 6" xfId="28310"/>
    <cellStyle name="Normal 7 4 12 2 6 2" xfId="28311"/>
    <cellStyle name="Normal 7 4 12 2 7" xfId="28312"/>
    <cellStyle name="Normal 7 4 12 3" xfId="28313"/>
    <cellStyle name="Normal 7 4 12 3 2" xfId="28314"/>
    <cellStyle name="Normal 7 4 12 3 2 2" xfId="28315"/>
    <cellStyle name="Normal 7 4 12 3 3" xfId="28316"/>
    <cellStyle name="Normal 7 4 12 3 3 2" xfId="28317"/>
    <cellStyle name="Normal 7 4 12 3 4" xfId="28318"/>
    <cellStyle name="Normal 7 4 12 3 4 2" xfId="28319"/>
    <cellStyle name="Normal 7 4 12 3 5" xfId="28320"/>
    <cellStyle name="Normal 7 4 12 4" xfId="28321"/>
    <cellStyle name="Normal 7 4 12 4 2" xfId="28322"/>
    <cellStyle name="Normal 7 4 12 4 2 2" xfId="28323"/>
    <cellStyle name="Normal 7 4 12 4 3" xfId="28324"/>
    <cellStyle name="Normal 7 4 12 4 3 2" xfId="28325"/>
    <cellStyle name="Normal 7 4 12 4 4" xfId="28326"/>
    <cellStyle name="Normal 7 4 12 4 4 2" xfId="28327"/>
    <cellStyle name="Normal 7 4 12 4 5" xfId="28328"/>
    <cellStyle name="Normal 7 4 12 5" xfId="28329"/>
    <cellStyle name="Normal 7 4 12 5 2" xfId="28330"/>
    <cellStyle name="Normal 7 4 12 6" xfId="28331"/>
    <cellStyle name="Normal 7 4 12 6 2" xfId="28332"/>
    <cellStyle name="Normal 7 4 12 7" xfId="28333"/>
    <cellStyle name="Normal 7 4 12 7 2" xfId="28334"/>
    <cellStyle name="Normal 7 4 12 8" xfId="28335"/>
    <cellStyle name="Normal 7 4 13" xfId="28336"/>
    <cellStyle name="Normal 7 4 13 2" xfId="28337"/>
    <cellStyle name="Normal 7 4 13 2 2" xfId="28338"/>
    <cellStyle name="Normal 7 4 13 2 2 2" xfId="28339"/>
    <cellStyle name="Normal 7 4 13 2 3" xfId="28340"/>
    <cellStyle name="Normal 7 4 13 2 3 2" xfId="28341"/>
    <cellStyle name="Normal 7 4 13 2 4" xfId="28342"/>
    <cellStyle name="Normal 7 4 13 2 4 2" xfId="28343"/>
    <cellStyle name="Normal 7 4 13 2 5" xfId="28344"/>
    <cellStyle name="Normal 7 4 13 3" xfId="28345"/>
    <cellStyle name="Normal 7 4 13 3 2" xfId="28346"/>
    <cellStyle name="Normal 7 4 13 3 2 2" xfId="28347"/>
    <cellStyle name="Normal 7 4 13 3 3" xfId="28348"/>
    <cellStyle name="Normal 7 4 13 3 3 2" xfId="28349"/>
    <cellStyle name="Normal 7 4 13 3 4" xfId="28350"/>
    <cellStyle name="Normal 7 4 13 3 4 2" xfId="28351"/>
    <cellStyle name="Normal 7 4 13 3 5" xfId="28352"/>
    <cellStyle name="Normal 7 4 13 4" xfId="28353"/>
    <cellStyle name="Normal 7 4 13 4 2" xfId="28354"/>
    <cellStyle name="Normal 7 4 13 5" xfId="28355"/>
    <cellStyle name="Normal 7 4 13 5 2" xfId="28356"/>
    <cellStyle name="Normal 7 4 13 6" xfId="28357"/>
    <cellStyle name="Normal 7 4 13 6 2" xfId="28358"/>
    <cellStyle name="Normal 7 4 13 7" xfId="28359"/>
    <cellStyle name="Normal 7 4 14" xfId="28360"/>
    <cellStyle name="Normal 7 4 14 2" xfId="28361"/>
    <cellStyle name="Normal 7 4 14 2 2" xfId="28362"/>
    <cellStyle name="Normal 7 4 14 3" xfId="28363"/>
    <cellStyle name="Normal 7 4 14 3 2" xfId="28364"/>
    <cellStyle name="Normal 7 4 14 4" xfId="28365"/>
    <cellStyle name="Normal 7 4 14 4 2" xfId="28366"/>
    <cellStyle name="Normal 7 4 14 5" xfId="28367"/>
    <cellStyle name="Normal 7 4 15" xfId="28368"/>
    <cellStyle name="Normal 7 4 15 2" xfId="28369"/>
    <cellStyle name="Normal 7 4 15 2 2" xfId="28370"/>
    <cellStyle name="Normal 7 4 15 3" xfId="28371"/>
    <cellStyle name="Normal 7 4 15 3 2" xfId="28372"/>
    <cellStyle name="Normal 7 4 15 4" xfId="28373"/>
    <cellStyle name="Normal 7 4 15 4 2" xfId="28374"/>
    <cellStyle name="Normal 7 4 15 5" xfId="28375"/>
    <cellStyle name="Normal 7 4 16" xfId="28376"/>
    <cellStyle name="Normal 7 4 16 2" xfId="28377"/>
    <cellStyle name="Normal 7 4 17" xfId="28378"/>
    <cellStyle name="Normal 7 4 17 2" xfId="28379"/>
    <cellStyle name="Normal 7 4 18" xfId="28380"/>
    <cellStyle name="Normal 7 4 18 2" xfId="28381"/>
    <cellStyle name="Normal 7 4 19" xfId="28382"/>
    <cellStyle name="Normal 7 4 2" xfId="28383"/>
    <cellStyle name="Normal 7 4 2 10" xfId="28384"/>
    <cellStyle name="Normal 7 4 2 10 2" xfId="28385"/>
    <cellStyle name="Normal 7 4 2 10 2 2" xfId="28386"/>
    <cellStyle name="Normal 7 4 2 10 2 2 2" xfId="28387"/>
    <cellStyle name="Normal 7 4 2 10 2 2 2 2" xfId="28388"/>
    <cellStyle name="Normal 7 4 2 10 2 2 3" xfId="28389"/>
    <cellStyle name="Normal 7 4 2 10 2 2 3 2" xfId="28390"/>
    <cellStyle name="Normal 7 4 2 10 2 2 4" xfId="28391"/>
    <cellStyle name="Normal 7 4 2 10 2 2 4 2" xfId="28392"/>
    <cellStyle name="Normal 7 4 2 10 2 2 5" xfId="28393"/>
    <cellStyle name="Normal 7 4 2 10 2 3" xfId="28394"/>
    <cellStyle name="Normal 7 4 2 10 2 3 2" xfId="28395"/>
    <cellStyle name="Normal 7 4 2 10 2 3 2 2" xfId="28396"/>
    <cellStyle name="Normal 7 4 2 10 2 3 3" xfId="28397"/>
    <cellStyle name="Normal 7 4 2 10 2 3 3 2" xfId="28398"/>
    <cellStyle name="Normal 7 4 2 10 2 3 4" xfId="28399"/>
    <cellStyle name="Normal 7 4 2 10 2 3 4 2" xfId="28400"/>
    <cellStyle name="Normal 7 4 2 10 2 3 5" xfId="28401"/>
    <cellStyle name="Normal 7 4 2 10 2 4" xfId="28402"/>
    <cellStyle name="Normal 7 4 2 10 2 4 2" xfId="28403"/>
    <cellStyle name="Normal 7 4 2 10 2 5" xfId="28404"/>
    <cellStyle name="Normal 7 4 2 10 2 5 2" xfId="28405"/>
    <cellStyle name="Normal 7 4 2 10 2 6" xfId="28406"/>
    <cellStyle name="Normal 7 4 2 10 2 6 2" xfId="28407"/>
    <cellStyle name="Normal 7 4 2 10 2 7" xfId="28408"/>
    <cellStyle name="Normal 7 4 2 10 3" xfId="28409"/>
    <cellStyle name="Normal 7 4 2 10 3 2" xfId="28410"/>
    <cellStyle name="Normal 7 4 2 10 3 2 2" xfId="28411"/>
    <cellStyle name="Normal 7 4 2 10 3 3" xfId="28412"/>
    <cellStyle name="Normal 7 4 2 10 3 3 2" xfId="28413"/>
    <cellStyle name="Normal 7 4 2 10 3 4" xfId="28414"/>
    <cellStyle name="Normal 7 4 2 10 3 4 2" xfId="28415"/>
    <cellStyle name="Normal 7 4 2 10 3 5" xfId="28416"/>
    <cellStyle name="Normal 7 4 2 10 4" xfId="28417"/>
    <cellStyle name="Normal 7 4 2 10 4 2" xfId="28418"/>
    <cellStyle name="Normal 7 4 2 10 4 2 2" xfId="28419"/>
    <cellStyle name="Normal 7 4 2 10 4 3" xfId="28420"/>
    <cellStyle name="Normal 7 4 2 10 4 3 2" xfId="28421"/>
    <cellStyle name="Normal 7 4 2 10 4 4" xfId="28422"/>
    <cellStyle name="Normal 7 4 2 10 4 4 2" xfId="28423"/>
    <cellStyle name="Normal 7 4 2 10 4 5" xfId="28424"/>
    <cellStyle name="Normal 7 4 2 10 5" xfId="28425"/>
    <cellStyle name="Normal 7 4 2 10 5 2" xfId="28426"/>
    <cellStyle name="Normal 7 4 2 10 6" xfId="28427"/>
    <cellStyle name="Normal 7 4 2 10 6 2" xfId="28428"/>
    <cellStyle name="Normal 7 4 2 10 7" xfId="28429"/>
    <cellStyle name="Normal 7 4 2 10 7 2" xfId="28430"/>
    <cellStyle name="Normal 7 4 2 10 8" xfId="28431"/>
    <cellStyle name="Normal 7 4 2 11" xfId="28432"/>
    <cellStyle name="Normal 7 4 2 11 2" xfId="28433"/>
    <cellStyle name="Normal 7 4 2 11 2 2" xfId="28434"/>
    <cellStyle name="Normal 7 4 2 11 2 2 2" xfId="28435"/>
    <cellStyle name="Normal 7 4 2 11 2 2 2 2" xfId="28436"/>
    <cellStyle name="Normal 7 4 2 11 2 2 3" xfId="28437"/>
    <cellStyle name="Normal 7 4 2 11 2 2 3 2" xfId="28438"/>
    <cellStyle name="Normal 7 4 2 11 2 2 4" xfId="28439"/>
    <cellStyle name="Normal 7 4 2 11 2 2 4 2" xfId="28440"/>
    <cellStyle name="Normal 7 4 2 11 2 2 5" xfId="28441"/>
    <cellStyle name="Normal 7 4 2 11 2 3" xfId="28442"/>
    <cellStyle name="Normal 7 4 2 11 2 3 2" xfId="28443"/>
    <cellStyle name="Normal 7 4 2 11 2 3 2 2" xfId="28444"/>
    <cellStyle name="Normal 7 4 2 11 2 3 3" xfId="28445"/>
    <cellStyle name="Normal 7 4 2 11 2 3 3 2" xfId="28446"/>
    <cellStyle name="Normal 7 4 2 11 2 3 4" xfId="28447"/>
    <cellStyle name="Normal 7 4 2 11 2 3 4 2" xfId="28448"/>
    <cellStyle name="Normal 7 4 2 11 2 3 5" xfId="28449"/>
    <cellStyle name="Normal 7 4 2 11 2 4" xfId="28450"/>
    <cellStyle name="Normal 7 4 2 11 2 4 2" xfId="28451"/>
    <cellStyle name="Normal 7 4 2 11 2 5" xfId="28452"/>
    <cellStyle name="Normal 7 4 2 11 2 5 2" xfId="28453"/>
    <cellStyle name="Normal 7 4 2 11 2 6" xfId="28454"/>
    <cellStyle name="Normal 7 4 2 11 2 6 2" xfId="28455"/>
    <cellStyle name="Normal 7 4 2 11 2 7" xfId="28456"/>
    <cellStyle name="Normal 7 4 2 11 3" xfId="28457"/>
    <cellStyle name="Normal 7 4 2 11 3 2" xfId="28458"/>
    <cellStyle name="Normal 7 4 2 11 3 2 2" xfId="28459"/>
    <cellStyle name="Normal 7 4 2 11 3 3" xfId="28460"/>
    <cellStyle name="Normal 7 4 2 11 3 3 2" xfId="28461"/>
    <cellStyle name="Normal 7 4 2 11 3 4" xfId="28462"/>
    <cellStyle name="Normal 7 4 2 11 3 4 2" xfId="28463"/>
    <cellStyle name="Normal 7 4 2 11 3 5" xfId="28464"/>
    <cellStyle name="Normal 7 4 2 11 4" xfId="28465"/>
    <cellStyle name="Normal 7 4 2 11 4 2" xfId="28466"/>
    <cellStyle name="Normal 7 4 2 11 4 2 2" xfId="28467"/>
    <cellStyle name="Normal 7 4 2 11 4 3" xfId="28468"/>
    <cellStyle name="Normal 7 4 2 11 4 3 2" xfId="28469"/>
    <cellStyle name="Normal 7 4 2 11 4 4" xfId="28470"/>
    <cellStyle name="Normal 7 4 2 11 4 4 2" xfId="28471"/>
    <cellStyle name="Normal 7 4 2 11 4 5" xfId="28472"/>
    <cellStyle name="Normal 7 4 2 11 5" xfId="28473"/>
    <cellStyle name="Normal 7 4 2 11 5 2" xfId="28474"/>
    <cellStyle name="Normal 7 4 2 11 6" xfId="28475"/>
    <cellStyle name="Normal 7 4 2 11 6 2" xfId="28476"/>
    <cellStyle name="Normal 7 4 2 11 7" xfId="28477"/>
    <cellStyle name="Normal 7 4 2 11 7 2" xfId="28478"/>
    <cellStyle name="Normal 7 4 2 11 8" xfId="28479"/>
    <cellStyle name="Normal 7 4 2 12" xfId="28480"/>
    <cellStyle name="Normal 7 4 2 12 2" xfId="28481"/>
    <cellStyle name="Normal 7 4 2 12 2 2" xfId="28482"/>
    <cellStyle name="Normal 7 4 2 12 2 2 2" xfId="28483"/>
    <cellStyle name="Normal 7 4 2 12 2 3" xfId="28484"/>
    <cellStyle name="Normal 7 4 2 12 2 3 2" xfId="28485"/>
    <cellStyle name="Normal 7 4 2 12 2 4" xfId="28486"/>
    <cellStyle name="Normal 7 4 2 12 2 4 2" xfId="28487"/>
    <cellStyle name="Normal 7 4 2 12 2 5" xfId="28488"/>
    <cellStyle name="Normal 7 4 2 12 3" xfId="28489"/>
    <cellStyle name="Normal 7 4 2 12 3 2" xfId="28490"/>
    <cellStyle name="Normal 7 4 2 12 3 2 2" xfId="28491"/>
    <cellStyle name="Normal 7 4 2 12 3 3" xfId="28492"/>
    <cellStyle name="Normal 7 4 2 12 3 3 2" xfId="28493"/>
    <cellStyle name="Normal 7 4 2 12 3 4" xfId="28494"/>
    <cellStyle name="Normal 7 4 2 12 3 4 2" xfId="28495"/>
    <cellStyle name="Normal 7 4 2 12 3 5" xfId="28496"/>
    <cellStyle name="Normal 7 4 2 12 4" xfId="28497"/>
    <cellStyle name="Normal 7 4 2 12 4 2" xfId="28498"/>
    <cellStyle name="Normal 7 4 2 12 5" xfId="28499"/>
    <cellStyle name="Normal 7 4 2 12 5 2" xfId="28500"/>
    <cellStyle name="Normal 7 4 2 12 6" xfId="28501"/>
    <cellStyle name="Normal 7 4 2 12 6 2" xfId="28502"/>
    <cellStyle name="Normal 7 4 2 12 7" xfId="28503"/>
    <cellStyle name="Normal 7 4 2 13" xfId="28504"/>
    <cellStyle name="Normal 7 4 2 13 2" xfId="28505"/>
    <cellStyle name="Normal 7 4 2 13 2 2" xfId="28506"/>
    <cellStyle name="Normal 7 4 2 13 3" xfId="28507"/>
    <cellStyle name="Normal 7 4 2 13 3 2" xfId="28508"/>
    <cellStyle name="Normal 7 4 2 13 4" xfId="28509"/>
    <cellStyle name="Normal 7 4 2 13 4 2" xfId="28510"/>
    <cellStyle name="Normal 7 4 2 13 5" xfId="28511"/>
    <cellStyle name="Normal 7 4 2 14" xfId="28512"/>
    <cellStyle name="Normal 7 4 2 14 2" xfId="28513"/>
    <cellStyle name="Normal 7 4 2 14 2 2" xfId="28514"/>
    <cellStyle name="Normal 7 4 2 14 3" xfId="28515"/>
    <cellStyle name="Normal 7 4 2 14 3 2" xfId="28516"/>
    <cellStyle name="Normal 7 4 2 14 4" xfId="28517"/>
    <cellStyle name="Normal 7 4 2 14 4 2" xfId="28518"/>
    <cellStyle name="Normal 7 4 2 14 5" xfId="28519"/>
    <cellStyle name="Normal 7 4 2 15" xfId="28520"/>
    <cellStyle name="Normal 7 4 2 15 2" xfId="28521"/>
    <cellStyle name="Normal 7 4 2 16" xfId="28522"/>
    <cellStyle name="Normal 7 4 2 16 2" xfId="28523"/>
    <cellStyle name="Normal 7 4 2 17" xfId="28524"/>
    <cellStyle name="Normal 7 4 2 17 2" xfId="28525"/>
    <cellStyle name="Normal 7 4 2 18" xfId="28526"/>
    <cellStyle name="Normal 7 4 2 2" xfId="28527"/>
    <cellStyle name="Normal 7 4 2 2 10" xfId="28528"/>
    <cellStyle name="Normal 7 4 2 2 10 2" xfId="28529"/>
    <cellStyle name="Normal 7 4 2 2 10 2 2" xfId="28530"/>
    <cellStyle name="Normal 7 4 2 2 10 3" xfId="28531"/>
    <cellStyle name="Normal 7 4 2 2 10 3 2" xfId="28532"/>
    <cellStyle name="Normal 7 4 2 2 10 4" xfId="28533"/>
    <cellStyle name="Normal 7 4 2 2 10 4 2" xfId="28534"/>
    <cellStyle name="Normal 7 4 2 2 10 5" xfId="28535"/>
    <cellStyle name="Normal 7 4 2 2 11" xfId="28536"/>
    <cellStyle name="Normal 7 4 2 2 11 2" xfId="28537"/>
    <cellStyle name="Normal 7 4 2 2 12" xfId="28538"/>
    <cellStyle name="Normal 7 4 2 2 12 2" xfId="28539"/>
    <cellStyle name="Normal 7 4 2 2 13" xfId="28540"/>
    <cellStyle name="Normal 7 4 2 2 13 2" xfId="28541"/>
    <cellStyle name="Normal 7 4 2 2 14" xfId="28542"/>
    <cellStyle name="Normal 7 4 2 2 2" xfId="28543"/>
    <cellStyle name="Normal 7 4 2 2 2 10" xfId="28544"/>
    <cellStyle name="Normal 7 4 2 2 2 10 2" xfId="28545"/>
    <cellStyle name="Normal 7 4 2 2 2 11" xfId="28546"/>
    <cellStyle name="Normal 7 4 2 2 2 11 2" xfId="28547"/>
    <cellStyle name="Normal 7 4 2 2 2 12" xfId="28548"/>
    <cellStyle name="Normal 7 4 2 2 2 12 2" xfId="28549"/>
    <cellStyle name="Normal 7 4 2 2 2 13" xfId="28550"/>
    <cellStyle name="Normal 7 4 2 2 2 2" xfId="28551"/>
    <cellStyle name="Normal 7 4 2 2 2 2 2" xfId="28552"/>
    <cellStyle name="Normal 7 4 2 2 2 2 2 2" xfId="28553"/>
    <cellStyle name="Normal 7 4 2 2 2 2 2 2 2" xfId="28554"/>
    <cellStyle name="Normal 7 4 2 2 2 2 2 2 2 2" xfId="28555"/>
    <cellStyle name="Normal 7 4 2 2 2 2 2 2 3" xfId="28556"/>
    <cellStyle name="Normal 7 4 2 2 2 2 2 2 3 2" xfId="28557"/>
    <cellStyle name="Normal 7 4 2 2 2 2 2 2 4" xfId="28558"/>
    <cellStyle name="Normal 7 4 2 2 2 2 2 2 4 2" xfId="28559"/>
    <cellStyle name="Normal 7 4 2 2 2 2 2 2 5" xfId="28560"/>
    <cellStyle name="Normal 7 4 2 2 2 2 2 3" xfId="28561"/>
    <cellStyle name="Normal 7 4 2 2 2 2 2 3 2" xfId="28562"/>
    <cellStyle name="Normal 7 4 2 2 2 2 2 3 2 2" xfId="28563"/>
    <cellStyle name="Normal 7 4 2 2 2 2 2 3 3" xfId="28564"/>
    <cellStyle name="Normal 7 4 2 2 2 2 2 3 3 2" xfId="28565"/>
    <cellStyle name="Normal 7 4 2 2 2 2 2 3 4" xfId="28566"/>
    <cellStyle name="Normal 7 4 2 2 2 2 2 3 4 2" xfId="28567"/>
    <cellStyle name="Normal 7 4 2 2 2 2 2 3 5" xfId="28568"/>
    <cellStyle name="Normal 7 4 2 2 2 2 2 4" xfId="28569"/>
    <cellStyle name="Normal 7 4 2 2 2 2 2 4 2" xfId="28570"/>
    <cellStyle name="Normal 7 4 2 2 2 2 2 5" xfId="28571"/>
    <cellStyle name="Normal 7 4 2 2 2 2 2 5 2" xfId="28572"/>
    <cellStyle name="Normal 7 4 2 2 2 2 2 6" xfId="28573"/>
    <cellStyle name="Normal 7 4 2 2 2 2 2 6 2" xfId="28574"/>
    <cellStyle name="Normal 7 4 2 2 2 2 2 7" xfId="28575"/>
    <cellStyle name="Normal 7 4 2 2 2 2 3" xfId="28576"/>
    <cellStyle name="Normal 7 4 2 2 2 2 3 2" xfId="28577"/>
    <cellStyle name="Normal 7 4 2 2 2 2 3 2 2" xfId="28578"/>
    <cellStyle name="Normal 7 4 2 2 2 2 3 3" xfId="28579"/>
    <cellStyle name="Normal 7 4 2 2 2 2 3 3 2" xfId="28580"/>
    <cellStyle name="Normal 7 4 2 2 2 2 3 4" xfId="28581"/>
    <cellStyle name="Normal 7 4 2 2 2 2 3 4 2" xfId="28582"/>
    <cellStyle name="Normal 7 4 2 2 2 2 3 5" xfId="28583"/>
    <cellStyle name="Normal 7 4 2 2 2 2 4" xfId="28584"/>
    <cellStyle name="Normal 7 4 2 2 2 2 4 2" xfId="28585"/>
    <cellStyle name="Normal 7 4 2 2 2 2 4 2 2" xfId="28586"/>
    <cellStyle name="Normal 7 4 2 2 2 2 4 3" xfId="28587"/>
    <cellStyle name="Normal 7 4 2 2 2 2 4 3 2" xfId="28588"/>
    <cellStyle name="Normal 7 4 2 2 2 2 4 4" xfId="28589"/>
    <cellStyle name="Normal 7 4 2 2 2 2 4 4 2" xfId="28590"/>
    <cellStyle name="Normal 7 4 2 2 2 2 4 5" xfId="28591"/>
    <cellStyle name="Normal 7 4 2 2 2 2 5" xfId="28592"/>
    <cellStyle name="Normal 7 4 2 2 2 2 5 2" xfId="28593"/>
    <cellStyle name="Normal 7 4 2 2 2 2 6" xfId="28594"/>
    <cellStyle name="Normal 7 4 2 2 2 2 6 2" xfId="28595"/>
    <cellStyle name="Normal 7 4 2 2 2 2 7" xfId="28596"/>
    <cellStyle name="Normal 7 4 2 2 2 2 7 2" xfId="28597"/>
    <cellStyle name="Normal 7 4 2 2 2 2 8" xfId="28598"/>
    <cellStyle name="Normal 7 4 2 2 2 3" xfId="28599"/>
    <cellStyle name="Normal 7 4 2 2 2 3 2" xfId="28600"/>
    <cellStyle name="Normal 7 4 2 2 2 3 2 2" xfId="28601"/>
    <cellStyle name="Normal 7 4 2 2 2 3 2 2 2" xfId="28602"/>
    <cellStyle name="Normal 7 4 2 2 2 3 2 2 2 2" xfId="28603"/>
    <cellStyle name="Normal 7 4 2 2 2 3 2 2 3" xfId="28604"/>
    <cellStyle name="Normal 7 4 2 2 2 3 2 2 3 2" xfId="28605"/>
    <cellStyle name="Normal 7 4 2 2 2 3 2 2 4" xfId="28606"/>
    <cellStyle name="Normal 7 4 2 2 2 3 2 2 4 2" xfId="28607"/>
    <cellStyle name="Normal 7 4 2 2 2 3 2 2 5" xfId="28608"/>
    <cellStyle name="Normal 7 4 2 2 2 3 2 3" xfId="28609"/>
    <cellStyle name="Normal 7 4 2 2 2 3 2 3 2" xfId="28610"/>
    <cellStyle name="Normal 7 4 2 2 2 3 2 3 2 2" xfId="28611"/>
    <cellStyle name="Normal 7 4 2 2 2 3 2 3 3" xfId="28612"/>
    <cellStyle name="Normal 7 4 2 2 2 3 2 3 3 2" xfId="28613"/>
    <cellStyle name="Normal 7 4 2 2 2 3 2 3 4" xfId="28614"/>
    <cellStyle name="Normal 7 4 2 2 2 3 2 3 4 2" xfId="28615"/>
    <cellStyle name="Normal 7 4 2 2 2 3 2 3 5" xfId="28616"/>
    <cellStyle name="Normal 7 4 2 2 2 3 2 4" xfId="28617"/>
    <cellStyle name="Normal 7 4 2 2 2 3 2 4 2" xfId="28618"/>
    <cellStyle name="Normal 7 4 2 2 2 3 2 5" xfId="28619"/>
    <cellStyle name="Normal 7 4 2 2 2 3 2 5 2" xfId="28620"/>
    <cellStyle name="Normal 7 4 2 2 2 3 2 6" xfId="28621"/>
    <cellStyle name="Normal 7 4 2 2 2 3 2 6 2" xfId="28622"/>
    <cellStyle name="Normal 7 4 2 2 2 3 2 7" xfId="28623"/>
    <cellStyle name="Normal 7 4 2 2 2 3 3" xfId="28624"/>
    <cellStyle name="Normal 7 4 2 2 2 3 3 2" xfId="28625"/>
    <cellStyle name="Normal 7 4 2 2 2 3 3 2 2" xfId="28626"/>
    <cellStyle name="Normal 7 4 2 2 2 3 3 3" xfId="28627"/>
    <cellStyle name="Normal 7 4 2 2 2 3 3 3 2" xfId="28628"/>
    <cellStyle name="Normal 7 4 2 2 2 3 3 4" xfId="28629"/>
    <cellStyle name="Normal 7 4 2 2 2 3 3 4 2" xfId="28630"/>
    <cellStyle name="Normal 7 4 2 2 2 3 3 5" xfId="28631"/>
    <cellStyle name="Normal 7 4 2 2 2 3 4" xfId="28632"/>
    <cellStyle name="Normal 7 4 2 2 2 3 4 2" xfId="28633"/>
    <cellStyle name="Normal 7 4 2 2 2 3 4 2 2" xfId="28634"/>
    <cellStyle name="Normal 7 4 2 2 2 3 4 3" xfId="28635"/>
    <cellStyle name="Normal 7 4 2 2 2 3 4 3 2" xfId="28636"/>
    <cellStyle name="Normal 7 4 2 2 2 3 4 4" xfId="28637"/>
    <cellStyle name="Normal 7 4 2 2 2 3 4 4 2" xfId="28638"/>
    <cellStyle name="Normal 7 4 2 2 2 3 4 5" xfId="28639"/>
    <cellStyle name="Normal 7 4 2 2 2 3 5" xfId="28640"/>
    <cellStyle name="Normal 7 4 2 2 2 3 5 2" xfId="28641"/>
    <cellStyle name="Normal 7 4 2 2 2 3 6" xfId="28642"/>
    <cellStyle name="Normal 7 4 2 2 2 3 6 2" xfId="28643"/>
    <cellStyle name="Normal 7 4 2 2 2 3 7" xfId="28644"/>
    <cellStyle name="Normal 7 4 2 2 2 3 7 2" xfId="28645"/>
    <cellStyle name="Normal 7 4 2 2 2 3 8" xfId="28646"/>
    <cellStyle name="Normal 7 4 2 2 2 4" xfId="28647"/>
    <cellStyle name="Normal 7 4 2 2 2 4 2" xfId="28648"/>
    <cellStyle name="Normal 7 4 2 2 2 4 2 2" xfId="28649"/>
    <cellStyle name="Normal 7 4 2 2 2 4 2 2 2" xfId="28650"/>
    <cellStyle name="Normal 7 4 2 2 2 4 2 2 2 2" xfId="28651"/>
    <cellStyle name="Normal 7 4 2 2 2 4 2 2 3" xfId="28652"/>
    <cellStyle name="Normal 7 4 2 2 2 4 2 2 3 2" xfId="28653"/>
    <cellStyle name="Normal 7 4 2 2 2 4 2 2 4" xfId="28654"/>
    <cellStyle name="Normal 7 4 2 2 2 4 2 2 4 2" xfId="28655"/>
    <cellStyle name="Normal 7 4 2 2 2 4 2 2 5" xfId="28656"/>
    <cellStyle name="Normal 7 4 2 2 2 4 2 3" xfId="28657"/>
    <cellStyle name="Normal 7 4 2 2 2 4 2 3 2" xfId="28658"/>
    <cellStyle name="Normal 7 4 2 2 2 4 2 3 2 2" xfId="28659"/>
    <cellStyle name="Normal 7 4 2 2 2 4 2 3 3" xfId="28660"/>
    <cellStyle name="Normal 7 4 2 2 2 4 2 3 3 2" xfId="28661"/>
    <cellStyle name="Normal 7 4 2 2 2 4 2 3 4" xfId="28662"/>
    <cellStyle name="Normal 7 4 2 2 2 4 2 3 4 2" xfId="28663"/>
    <cellStyle name="Normal 7 4 2 2 2 4 2 3 5" xfId="28664"/>
    <cellStyle name="Normal 7 4 2 2 2 4 2 4" xfId="28665"/>
    <cellStyle name="Normal 7 4 2 2 2 4 2 4 2" xfId="28666"/>
    <cellStyle name="Normal 7 4 2 2 2 4 2 5" xfId="28667"/>
    <cellStyle name="Normal 7 4 2 2 2 4 2 5 2" xfId="28668"/>
    <cellStyle name="Normal 7 4 2 2 2 4 2 6" xfId="28669"/>
    <cellStyle name="Normal 7 4 2 2 2 4 2 6 2" xfId="28670"/>
    <cellStyle name="Normal 7 4 2 2 2 4 2 7" xfId="28671"/>
    <cellStyle name="Normal 7 4 2 2 2 4 3" xfId="28672"/>
    <cellStyle name="Normal 7 4 2 2 2 4 3 2" xfId="28673"/>
    <cellStyle name="Normal 7 4 2 2 2 4 3 2 2" xfId="28674"/>
    <cellStyle name="Normal 7 4 2 2 2 4 3 3" xfId="28675"/>
    <cellStyle name="Normal 7 4 2 2 2 4 3 3 2" xfId="28676"/>
    <cellStyle name="Normal 7 4 2 2 2 4 3 4" xfId="28677"/>
    <cellStyle name="Normal 7 4 2 2 2 4 3 4 2" xfId="28678"/>
    <cellStyle name="Normal 7 4 2 2 2 4 3 5" xfId="28679"/>
    <cellStyle name="Normal 7 4 2 2 2 4 4" xfId="28680"/>
    <cellStyle name="Normal 7 4 2 2 2 4 4 2" xfId="28681"/>
    <cellStyle name="Normal 7 4 2 2 2 4 4 2 2" xfId="28682"/>
    <cellStyle name="Normal 7 4 2 2 2 4 4 3" xfId="28683"/>
    <cellStyle name="Normal 7 4 2 2 2 4 4 3 2" xfId="28684"/>
    <cellStyle name="Normal 7 4 2 2 2 4 4 4" xfId="28685"/>
    <cellStyle name="Normal 7 4 2 2 2 4 4 4 2" xfId="28686"/>
    <cellStyle name="Normal 7 4 2 2 2 4 4 5" xfId="28687"/>
    <cellStyle name="Normal 7 4 2 2 2 4 5" xfId="28688"/>
    <cellStyle name="Normal 7 4 2 2 2 4 5 2" xfId="28689"/>
    <cellStyle name="Normal 7 4 2 2 2 4 6" xfId="28690"/>
    <cellStyle name="Normal 7 4 2 2 2 4 6 2" xfId="28691"/>
    <cellStyle name="Normal 7 4 2 2 2 4 7" xfId="28692"/>
    <cellStyle name="Normal 7 4 2 2 2 4 7 2" xfId="28693"/>
    <cellStyle name="Normal 7 4 2 2 2 4 8" xfId="28694"/>
    <cellStyle name="Normal 7 4 2 2 2 5" xfId="28695"/>
    <cellStyle name="Normal 7 4 2 2 2 5 2" xfId="28696"/>
    <cellStyle name="Normal 7 4 2 2 2 5 2 2" xfId="28697"/>
    <cellStyle name="Normal 7 4 2 2 2 5 2 2 2" xfId="28698"/>
    <cellStyle name="Normal 7 4 2 2 2 5 2 2 2 2" xfId="28699"/>
    <cellStyle name="Normal 7 4 2 2 2 5 2 2 3" xfId="28700"/>
    <cellStyle name="Normal 7 4 2 2 2 5 2 2 3 2" xfId="28701"/>
    <cellStyle name="Normal 7 4 2 2 2 5 2 2 4" xfId="28702"/>
    <cellStyle name="Normal 7 4 2 2 2 5 2 2 4 2" xfId="28703"/>
    <cellStyle name="Normal 7 4 2 2 2 5 2 2 5" xfId="28704"/>
    <cellStyle name="Normal 7 4 2 2 2 5 2 3" xfId="28705"/>
    <cellStyle name="Normal 7 4 2 2 2 5 2 3 2" xfId="28706"/>
    <cellStyle name="Normal 7 4 2 2 2 5 2 3 2 2" xfId="28707"/>
    <cellStyle name="Normal 7 4 2 2 2 5 2 3 3" xfId="28708"/>
    <cellStyle name="Normal 7 4 2 2 2 5 2 3 3 2" xfId="28709"/>
    <cellStyle name="Normal 7 4 2 2 2 5 2 3 4" xfId="28710"/>
    <cellStyle name="Normal 7 4 2 2 2 5 2 3 4 2" xfId="28711"/>
    <cellStyle name="Normal 7 4 2 2 2 5 2 3 5" xfId="28712"/>
    <cellStyle name="Normal 7 4 2 2 2 5 2 4" xfId="28713"/>
    <cellStyle name="Normal 7 4 2 2 2 5 2 4 2" xfId="28714"/>
    <cellStyle name="Normal 7 4 2 2 2 5 2 5" xfId="28715"/>
    <cellStyle name="Normal 7 4 2 2 2 5 2 5 2" xfId="28716"/>
    <cellStyle name="Normal 7 4 2 2 2 5 2 6" xfId="28717"/>
    <cellStyle name="Normal 7 4 2 2 2 5 2 6 2" xfId="28718"/>
    <cellStyle name="Normal 7 4 2 2 2 5 2 7" xfId="28719"/>
    <cellStyle name="Normal 7 4 2 2 2 5 3" xfId="28720"/>
    <cellStyle name="Normal 7 4 2 2 2 5 3 2" xfId="28721"/>
    <cellStyle name="Normal 7 4 2 2 2 5 3 2 2" xfId="28722"/>
    <cellStyle name="Normal 7 4 2 2 2 5 3 3" xfId="28723"/>
    <cellStyle name="Normal 7 4 2 2 2 5 3 3 2" xfId="28724"/>
    <cellStyle name="Normal 7 4 2 2 2 5 3 4" xfId="28725"/>
    <cellStyle name="Normal 7 4 2 2 2 5 3 4 2" xfId="28726"/>
    <cellStyle name="Normal 7 4 2 2 2 5 3 5" xfId="28727"/>
    <cellStyle name="Normal 7 4 2 2 2 5 4" xfId="28728"/>
    <cellStyle name="Normal 7 4 2 2 2 5 4 2" xfId="28729"/>
    <cellStyle name="Normal 7 4 2 2 2 5 4 2 2" xfId="28730"/>
    <cellStyle name="Normal 7 4 2 2 2 5 4 3" xfId="28731"/>
    <cellStyle name="Normal 7 4 2 2 2 5 4 3 2" xfId="28732"/>
    <cellStyle name="Normal 7 4 2 2 2 5 4 4" xfId="28733"/>
    <cellStyle name="Normal 7 4 2 2 2 5 4 4 2" xfId="28734"/>
    <cellStyle name="Normal 7 4 2 2 2 5 4 5" xfId="28735"/>
    <cellStyle name="Normal 7 4 2 2 2 5 5" xfId="28736"/>
    <cellStyle name="Normal 7 4 2 2 2 5 5 2" xfId="28737"/>
    <cellStyle name="Normal 7 4 2 2 2 5 6" xfId="28738"/>
    <cellStyle name="Normal 7 4 2 2 2 5 6 2" xfId="28739"/>
    <cellStyle name="Normal 7 4 2 2 2 5 7" xfId="28740"/>
    <cellStyle name="Normal 7 4 2 2 2 5 7 2" xfId="28741"/>
    <cellStyle name="Normal 7 4 2 2 2 5 8" xfId="28742"/>
    <cellStyle name="Normal 7 4 2 2 2 6" xfId="28743"/>
    <cellStyle name="Normal 7 4 2 2 2 6 2" xfId="28744"/>
    <cellStyle name="Normal 7 4 2 2 2 6 2 2" xfId="28745"/>
    <cellStyle name="Normal 7 4 2 2 2 6 2 2 2" xfId="28746"/>
    <cellStyle name="Normal 7 4 2 2 2 6 2 2 2 2" xfId="28747"/>
    <cellStyle name="Normal 7 4 2 2 2 6 2 2 3" xfId="28748"/>
    <cellStyle name="Normal 7 4 2 2 2 6 2 2 3 2" xfId="28749"/>
    <cellStyle name="Normal 7 4 2 2 2 6 2 2 4" xfId="28750"/>
    <cellStyle name="Normal 7 4 2 2 2 6 2 2 4 2" xfId="28751"/>
    <cellStyle name="Normal 7 4 2 2 2 6 2 2 5" xfId="28752"/>
    <cellStyle name="Normal 7 4 2 2 2 6 2 3" xfId="28753"/>
    <cellStyle name="Normal 7 4 2 2 2 6 2 3 2" xfId="28754"/>
    <cellStyle name="Normal 7 4 2 2 2 6 2 3 2 2" xfId="28755"/>
    <cellStyle name="Normal 7 4 2 2 2 6 2 3 3" xfId="28756"/>
    <cellStyle name="Normal 7 4 2 2 2 6 2 3 3 2" xfId="28757"/>
    <cellStyle name="Normal 7 4 2 2 2 6 2 3 4" xfId="28758"/>
    <cellStyle name="Normal 7 4 2 2 2 6 2 3 4 2" xfId="28759"/>
    <cellStyle name="Normal 7 4 2 2 2 6 2 3 5" xfId="28760"/>
    <cellStyle name="Normal 7 4 2 2 2 6 2 4" xfId="28761"/>
    <cellStyle name="Normal 7 4 2 2 2 6 2 4 2" xfId="28762"/>
    <cellStyle name="Normal 7 4 2 2 2 6 2 5" xfId="28763"/>
    <cellStyle name="Normal 7 4 2 2 2 6 2 5 2" xfId="28764"/>
    <cellStyle name="Normal 7 4 2 2 2 6 2 6" xfId="28765"/>
    <cellStyle name="Normal 7 4 2 2 2 6 2 6 2" xfId="28766"/>
    <cellStyle name="Normal 7 4 2 2 2 6 2 7" xfId="28767"/>
    <cellStyle name="Normal 7 4 2 2 2 6 3" xfId="28768"/>
    <cellStyle name="Normal 7 4 2 2 2 6 3 2" xfId="28769"/>
    <cellStyle name="Normal 7 4 2 2 2 6 3 2 2" xfId="28770"/>
    <cellStyle name="Normal 7 4 2 2 2 6 3 3" xfId="28771"/>
    <cellStyle name="Normal 7 4 2 2 2 6 3 3 2" xfId="28772"/>
    <cellStyle name="Normal 7 4 2 2 2 6 3 4" xfId="28773"/>
    <cellStyle name="Normal 7 4 2 2 2 6 3 4 2" xfId="28774"/>
    <cellStyle name="Normal 7 4 2 2 2 6 3 5" xfId="28775"/>
    <cellStyle name="Normal 7 4 2 2 2 6 4" xfId="28776"/>
    <cellStyle name="Normal 7 4 2 2 2 6 4 2" xfId="28777"/>
    <cellStyle name="Normal 7 4 2 2 2 6 4 2 2" xfId="28778"/>
    <cellStyle name="Normal 7 4 2 2 2 6 4 3" xfId="28779"/>
    <cellStyle name="Normal 7 4 2 2 2 6 4 3 2" xfId="28780"/>
    <cellStyle name="Normal 7 4 2 2 2 6 4 4" xfId="28781"/>
    <cellStyle name="Normal 7 4 2 2 2 6 4 4 2" xfId="28782"/>
    <cellStyle name="Normal 7 4 2 2 2 6 4 5" xfId="28783"/>
    <cellStyle name="Normal 7 4 2 2 2 6 5" xfId="28784"/>
    <cellStyle name="Normal 7 4 2 2 2 6 5 2" xfId="28785"/>
    <cellStyle name="Normal 7 4 2 2 2 6 6" xfId="28786"/>
    <cellStyle name="Normal 7 4 2 2 2 6 6 2" xfId="28787"/>
    <cellStyle name="Normal 7 4 2 2 2 6 7" xfId="28788"/>
    <cellStyle name="Normal 7 4 2 2 2 6 7 2" xfId="28789"/>
    <cellStyle name="Normal 7 4 2 2 2 6 8" xfId="28790"/>
    <cellStyle name="Normal 7 4 2 2 2 7" xfId="28791"/>
    <cellStyle name="Normal 7 4 2 2 2 7 2" xfId="28792"/>
    <cellStyle name="Normal 7 4 2 2 2 7 2 2" xfId="28793"/>
    <cellStyle name="Normal 7 4 2 2 2 7 2 2 2" xfId="28794"/>
    <cellStyle name="Normal 7 4 2 2 2 7 2 3" xfId="28795"/>
    <cellStyle name="Normal 7 4 2 2 2 7 2 3 2" xfId="28796"/>
    <cellStyle name="Normal 7 4 2 2 2 7 2 4" xfId="28797"/>
    <cellStyle name="Normal 7 4 2 2 2 7 2 4 2" xfId="28798"/>
    <cellStyle name="Normal 7 4 2 2 2 7 2 5" xfId="28799"/>
    <cellStyle name="Normal 7 4 2 2 2 7 3" xfId="28800"/>
    <cellStyle name="Normal 7 4 2 2 2 7 3 2" xfId="28801"/>
    <cellStyle name="Normal 7 4 2 2 2 7 3 2 2" xfId="28802"/>
    <cellStyle name="Normal 7 4 2 2 2 7 3 3" xfId="28803"/>
    <cellStyle name="Normal 7 4 2 2 2 7 3 3 2" xfId="28804"/>
    <cellStyle name="Normal 7 4 2 2 2 7 3 4" xfId="28805"/>
    <cellStyle name="Normal 7 4 2 2 2 7 3 4 2" xfId="28806"/>
    <cellStyle name="Normal 7 4 2 2 2 7 3 5" xfId="28807"/>
    <cellStyle name="Normal 7 4 2 2 2 7 4" xfId="28808"/>
    <cellStyle name="Normal 7 4 2 2 2 7 4 2" xfId="28809"/>
    <cellStyle name="Normal 7 4 2 2 2 7 5" xfId="28810"/>
    <cellStyle name="Normal 7 4 2 2 2 7 5 2" xfId="28811"/>
    <cellStyle name="Normal 7 4 2 2 2 7 6" xfId="28812"/>
    <cellStyle name="Normal 7 4 2 2 2 7 6 2" xfId="28813"/>
    <cellStyle name="Normal 7 4 2 2 2 7 7" xfId="28814"/>
    <cellStyle name="Normal 7 4 2 2 2 8" xfId="28815"/>
    <cellStyle name="Normal 7 4 2 2 2 8 2" xfId="28816"/>
    <cellStyle name="Normal 7 4 2 2 2 8 2 2" xfId="28817"/>
    <cellStyle name="Normal 7 4 2 2 2 8 3" xfId="28818"/>
    <cellStyle name="Normal 7 4 2 2 2 8 3 2" xfId="28819"/>
    <cellStyle name="Normal 7 4 2 2 2 8 4" xfId="28820"/>
    <cellStyle name="Normal 7 4 2 2 2 8 4 2" xfId="28821"/>
    <cellStyle name="Normal 7 4 2 2 2 8 5" xfId="28822"/>
    <cellStyle name="Normal 7 4 2 2 2 9" xfId="28823"/>
    <cellStyle name="Normal 7 4 2 2 2 9 2" xfId="28824"/>
    <cellStyle name="Normal 7 4 2 2 2 9 2 2" xfId="28825"/>
    <cellStyle name="Normal 7 4 2 2 2 9 3" xfId="28826"/>
    <cellStyle name="Normal 7 4 2 2 2 9 3 2" xfId="28827"/>
    <cellStyle name="Normal 7 4 2 2 2 9 4" xfId="28828"/>
    <cellStyle name="Normal 7 4 2 2 2 9 4 2" xfId="28829"/>
    <cellStyle name="Normal 7 4 2 2 2 9 5" xfId="28830"/>
    <cellStyle name="Normal 7 4 2 2 3" xfId="28831"/>
    <cellStyle name="Normal 7 4 2 2 3 2" xfId="28832"/>
    <cellStyle name="Normal 7 4 2 2 3 2 2" xfId="28833"/>
    <cellStyle name="Normal 7 4 2 2 3 2 2 2" xfId="28834"/>
    <cellStyle name="Normal 7 4 2 2 3 2 2 2 2" xfId="28835"/>
    <cellStyle name="Normal 7 4 2 2 3 2 2 3" xfId="28836"/>
    <cellStyle name="Normal 7 4 2 2 3 2 2 3 2" xfId="28837"/>
    <cellStyle name="Normal 7 4 2 2 3 2 2 4" xfId="28838"/>
    <cellStyle name="Normal 7 4 2 2 3 2 2 4 2" xfId="28839"/>
    <cellStyle name="Normal 7 4 2 2 3 2 2 5" xfId="28840"/>
    <cellStyle name="Normal 7 4 2 2 3 2 3" xfId="28841"/>
    <cellStyle name="Normal 7 4 2 2 3 2 3 2" xfId="28842"/>
    <cellStyle name="Normal 7 4 2 2 3 2 3 2 2" xfId="28843"/>
    <cellStyle name="Normal 7 4 2 2 3 2 3 3" xfId="28844"/>
    <cellStyle name="Normal 7 4 2 2 3 2 3 3 2" xfId="28845"/>
    <cellStyle name="Normal 7 4 2 2 3 2 3 4" xfId="28846"/>
    <cellStyle name="Normal 7 4 2 2 3 2 3 4 2" xfId="28847"/>
    <cellStyle name="Normal 7 4 2 2 3 2 3 5" xfId="28848"/>
    <cellStyle name="Normal 7 4 2 2 3 2 4" xfId="28849"/>
    <cellStyle name="Normal 7 4 2 2 3 2 4 2" xfId="28850"/>
    <cellStyle name="Normal 7 4 2 2 3 2 5" xfId="28851"/>
    <cellStyle name="Normal 7 4 2 2 3 2 5 2" xfId="28852"/>
    <cellStyle name="Normal 7 4 2 2 3 2 6" xfId="28853"/>
    <cellStyle name="Normal 7 4 2 2 3 2 6 2" xfId="28854"/>
    <cellStyle name="Normal 7 4 2 2 3 2 7" xfId="28855"/>
    <cellStyle name="Normal 7 4 2 2 3 3" xfId="28856"/>
    <cellStyle name="Normal 7 4 2 2 3 3 2" xfId="28857"/>
    <cellStyle name="Normal 7 4 2 2 3 3 2 2" xfId="28858"/>
    <cellStyle name="Normal 7 4 2 2 3 3 3" xfId="28859"/>
    <cellStyle name="Normal 7 4 2 2 3 3 3 2" xfId="28860"/>
    <cellStyle name="Normal 7 4 2 2 3 3 4" xfId="28861"/>
    <cellStyle name="Normal 7 4 2 2 3 3 4 2" xfId="28862"/>
    <cellStyle name="Normal 7 4 2 2 3 3 5" xfId="28863"/>
    <cellStyle name="Normal 7 4 2 2 3 4" xfId="28864"/>
    <cellStyle name="Normal 7 4 2 2 3 4 2" xfId="28865"/>
    <cellStyle name="Normal 7 4 2 2 3 4 2 2" xfId="28866"/>
    <cellStyle name="Normal 7 4 2 2 3 4 3" xfId="28867"/>
    <cellStyle name="Normal 7 4 2 2 3 4 3 2" xfId="28868"/>
    <cellStyle name="Normal 7 4 2 2 3 4 4" xfId="28869"/>
    <cellStyle name="Normal 7 4 2 2 3 4 4 2" xfId="28870"/>
    <cellStyle name="Normal 7 4 2 2 3 4 5" xfId="28871"/>
    <cellStyle name="Normal 7 4 2 2 3 5" xfId="28872"/>
    <cellStyle name="Normal 7 4 2 2 3 5 2" xfId="28873"/>
    <cellStyle name="Normal 7 4 2 2 3 6" xfId="28874"/>
    <cellStyle name="Normal 7 4 2 2 3 6 2" xfId="28875"/>
    <cellStyle name="Normal 7 4 2 2 3 7" xfId="28876"/>
    <cellStyle name="Normal 7 4 2 2 3 7 2" xfId="28877"/>
    <cellStyle name="Normal 7 4 2 2 3 8" xfId="28878"/>
    <cellStyle name="Normal 7 4 2 2 4" xfId="28879"/>
    <cellStyle name="Normal 7 4 2 2 4 2" xfId="28880"/>
    <cellStyle name="Normal 7 4 2 2 4 2 2" xfId="28881"/>
    <cellStyle name="Normal 7 4 2 2 4 2 2 2" xfId="28882"/>
    <cellStyle name="Normal 7 4 2 2 4 2 2 2 2" xfId="28883"/>
    <cellStyle name="Normal 7 4 2 2 4 2 2 3" xfId="28884"/>
    <cellStyle name="Normal 7 4 2 2 4 2 2 3 2" xfId="28885"/>
    <cellStyle name="Normal 7 4 2 2 4 2 2 4" xfId="28886"/>
    <cellStyle name="Normal 7 4 2 2 4 2 2 4 2" xfId="28887"/>
    <cellStyle name="Normal 7 4 2 2 4 2 2 5" xfId="28888"/>
    <cellStyle name="Normal 7 4 2 2 4 2 3" xfId="28889"/>
    <cellStyle name="Normal 7 4 2 2 4 2 3 2" xfId="28890"/>
    <cellStyle name="Normal 7 4 2 2 4 2 3 2 2" xfId="28891"/>
    <cellStyle name="Normal 7 4 2 2 4 2 3 3" xfId="28892"/>
    <cellStyle name="Normal 7 4 2 2 4 2 3 3 2" xfId="28893"/>
    <cellStyle name="Normal 7 4 2 2 4 2 3 4" xfId="28894"/>
    <cellStyle name="Normal 7 4 2 2 4 2 3 4 2" xfId="28895"/>
    <cellStyle name="Normal 7 4 2 2 4 2 3 5" xfId="28896"/>
    <cellStyle name="Normal 7 4 2 2 4 2 4" xfId="28897"/>
    <cellStyle name="Normal 7 4 2 2 4 2 4 2" xfId="28898"/>
    <cellStyle name="Normal 7 4 2 2 4 2 5" xfId="28899"/>
    <cellStyle name="Normal 7 4 2 2 4 2 5 2" xfId="28900"/>
    <cellStyle name="Normal 7 4 2 2 4 2 6" xfId="28901"/>
    <cellStyle name="Normal 7 4 2 2 4 2 6 2" xfId="28902"/>
    <cellStyle name="Normal 7 4 2 2 4 2 7" xfId="28903"/>
    <cellStyle name="Normal 7 4 2 2 4 3" xfId="28904"/>
    <cellStyle name="Normal 7 4 2 2 4 3 2" xfId="28905"/>
    <cellStyle name="Normal 7 4 2 2 4 3 2 2" xfId="28906"/>
    <cellStyle name="Normal 7 4 2 2 4 3 3" xfId="28907"/>
    <cellStyle name="Normal 7 4 2 2 4 3 3 2" xfId="28908"/>
    <cellStyle name="Normal 7 4 2 2 4 3 4" xfId="28909"/>
    <cellStyle name="Normal 7 4 2 2 4 3 4 2" xfId="28910"/>
    <cellStyle name="Normal 7 4 2 2 4 3 5" xfId="28911"/>
    <cellStyle name="Normal 7 4 2 2 4 4" xfId="28912"/>
    <cellStyle name="Normal 7 4 2 2 4 4 2" xfId="28913"/>
    <cellStyle name="Normal 7 4 2 2 4 4 2 2" xfId="28914"/>
    <cellStyle name="Normal 7 4 2 2 4 4 3" xfId="28915"/>
    <cellStyle name="Normal 7 4 2 2 4 4 3 2" xfId="28916"/>
    <cellStyle name="Normal 7 4 2 2 4 4 4" xfId="28917"/>
    <cellStyle name="Normal 7 4 2 2 4 4 4 2" xfId="28918"/>
    <cellStyle name="Normal 7 4 2 2 4 4 5" xfId="28919"/>
    <cellStyle name="Normal 7 4 2 2 4 5" xfId="28920"/>
    <cellStyle name="Normal 7 4 2 2 4 5 2" xfId="28921"/>
    <cellStyle name="Normal 7 4 2 2 4 6" xfId="28922"/>
    <cellStyle name="Normal 7 4 2 2 4 6 2" xfId="28923"/>
    <cellStyle name="Normal 7 4 2 2 4 7" xfId="28924"/>
    <cellStyle name="Normal 7 4 2 2 4 7 2" xfId="28925"/>
    <cellStyle name="Normal 7 4 2 2 4 8" xfId="28926"/>
    <cellStyle name="Normal 7 4 2 2 5" xfId="28927"/>
    <cellStyle name="Normal 7 4 2 2 5 2" xfId="28928"/>
    <cellStyle name="Normal 7 4 2 2 5 2 2" xfId="28929"/>
    <cellStyle name="Normal 7 4 2 2 5 2 2 2" xfId="28930"/>
    <cellStyle name="Normal 7 4 2 2 5 2 2 2 2" xfId="28931"/>
    <cellStyle name="Normal 7 4 2 2 5 2 2 3" xfId="28932"/>
    <cellStyle name="Normal 7 4 2 2 5 2 2 3 2" xfId="28933"/>
    <cellStyle name="Normal 7 4 2 2 5 2 2 4" xfId="28934"/>
    <cellStyle name="Normal 7 4 2 2 5 2 2 4 2" xfId="28935"/>
    <cellStyle name="Normal 7 4 2 2 5 2 2 5" xfId="28936"/>
    <cellStyle name="Normal 7 4 2 2 5 2 3" xfId="28937"/>
    <cellStyle name="Normal 7 4 2 2 5 2 3 2" xfId="28938"/>
    <cellStyle name="Normal 7 4 2 2 5 2 3 2 2" xfId="28939"/>
    <cellStyle name="Normal 7 4 2 2 5 2 3 3" xfId="28940"/>
    <cellStyle name="Normal 7 4 2 2 5 2 3 3 2" xfId="28941"/>
    <cellStyle name="Normal 7 4 2 2 5 2 3 4" xfId="28942"/>
    <cellStyle name="Normal 7 4 2 2 5 2 3 4 2" xfId="28943"/>
    <cellStyle name="Normal 7 4 2 2 5 2 3 5" xfId="28944"/>
    <cellStyle name="Normal 7 4 2 2 5 2 4" xfId="28945"/>
    <cellStyle name="Normal 7 4 2 2 5 2 4 2" xfId="28946"/>
    <cellStyle name="Normal 7 4 2 2 5 2 5" xfId="28947"/>
    <cellStyle name="Normal 7 4 2 2 5 2 5 2" xfId="28948"/>
    <cellStyle name="Normal 7 4 2 2 5 2 6" xfId="28949"/>
    <cellStyle name="Normal 7 4 2 2 5 2 6 2" xfId="28950"/>
    <cellStyle name="Normal 7 4 2 2 5 2 7" xfId="28951"/>
    <cellStyle name="Normal 7 4 2 2 5 3" xfId="28952"/>
    <cellStyle name="Normal 7 4 2 2 5 3 2" xfId="28953"/>
    <cellStyle name="Normal 7 4 2 2 5 3 2 2" xfId="28954"/>
    <cellStyle name="Normal 7 4 2 2 5 3 3" xfId="28955"/>
    <cellStyle name="Normal 7 4 2 2 5 3 3 2" xfId="28956"/>
    <cellStyle name="Normal 7 4 2 2 5 3 4" xfId="28957"/>
    <cellStyle name="Normal 7 4 2 2 5 3 4 2" xfId="28958"/>
    <cellStyle name="Normal 7 4 2 2 5 3 5" xfId="28959"/>
    <cellStyle name="Normal 7 4 2 2 5 4" xfId="28960"/>
    <cellStyle name="Normal 7 4 2 2 5 4 2" xfId="28961"/>
    <cellStyle name="Normal 7 4 2 2 5 4 2 2" xfId="28962"/>
    <cellStyle name="Normal 7 4 2 2 5 4 3" xfId="28963"/>
    <cellStyle name="Normal 7 4 2 2 5 4 3 2" xfId="28964"/>
    <cellStyle name="Normal 7 4 2 2 5 4 4" xfId="28965"/>
    <cellStyle name="Normal 7 4 2 2 5 4 4 2" xfId="28966"/>
    <cellStyle name="Normal 7 4 2 2 5 4 5" xfId="28967"/>
    <cellStyle name="Normal 7 4 2 2 5 5" xfId="28968"/>
    <cellStyle name="Normal 7 4 2 2 5 5 2" xfId="28969"/>
    <cellStyle name="Normal 7 4 2 2 5 6" xfId="28970"/>
    <cellStyle name="Normal 7 4 2 2 5 6 2" xfId="28971"/>
    <cellStyle name="Normal 7 4 2 2 5 7" xfId="28972"/>
    <cellStyle name="Normal 7 4 2 2 5 7 2" xfId="28973"/>
    <cellStyle name="Normal 7 4 2 2 5 8" xfId="28974"/>
    <cellStyle name="Normal 7 4 2 2 6" xfId="28975"/>
    <cellStyle name="Normal 7 4 2 2 6 2" xfId="28976"/>
    <cellStyle name="Normal 7 4 2 2 6 2 2" xfId="28977"/>
    <cellStyle name="Normal 7 4 2 2 6 2 2 2" xfId="28978"/>
    <cellStyle name="Normal 7 4 2 2 6 2 2 2 2" xfId="28979"/>
    <cellStyle name="Normal 7 4 2 2 6 2 2 3" xfId="28980"/>
    <cellStyle name="Normal 7 4 2 2 6 2 2 3 2" xfId="28981"/>
    <cellStyle name="Normal 7 4 2 2 6 2 2 4" xfId="28982"/>
    <cellStyle name="Normal 7 4 2 2 6 2 2 4 2" xfId="28983"/>
    <cellStyle name="Normal 7 4 2 2 6 2 2 5" xfId="28984"/>
    <cellStyle name="Normal 7 4 2 2 6 2 3" xfId="28985"/>
    <cellStyle name="Normal 7 4 2 2 6 2 3 2" xfId="28986"/>
    <cellStyle name="Normal 7 4 2 2 6 2 3 2 2" xfId="28987"/>
    <cellStyle name="Normal 7 4 2 2 6 2 3 3" xfId="28988"/>
    <cellStyle name="Normal 7 4 2 2 6 2 3 3 2" xfId="28989"/>
    <cellStyle name="Normal 7 4 2 2 6 2 3 4" xfId="28990"/>
    <cellStyle name="Normal 7 4 2 2 6 2 3 4 2" xfId="28991"/>
    <cellStyle name="Normal 7 4 2 2 6 2 3 5" xfId="28992"/>
    <cellStyle name="Normal 7 4 2 2 6 2 4" xfId="28993"/>
    <cellStyle name="Normal 7 4 2 2 6 2 4 2" xfId="28994"/>
    <cellStyle name="Normal 7 4 2 2 6 2 5" xfId="28995"/>
    <cellStyle name="Normal 7 4 2 2 6 2 5 2" xfId="28996"/>
    <cellStyle name="Normal 7 4 2 2 6 2 6" xfId="28997"/>
    <cellStyle name="Normal 7 4 2 2 6 2 6 2" xfId="28998"/>
    <cellStyle name="Normal 7 4 2 2 6 2 7" xfId="28999"/>
    <cellStyle name="Normal 7 4 2 2 6 3" xfId="29000"/>
    <cellStyle name="Normal 7 4 2 2 6 3 2" xfId="29001"/>
    <cellStyle name="Normal 7 4 2 2 6 3 2 2" xfId="29002"/>
    <cellStyle name="Normal 7 4 2 2 6 3 3" xfId="29003"/>
    <cellStyle name="Normal 7 4 2 2 6 3 3 2" xfId="29004"/>
    <cellStyle name="Normal 7 4 2 2 6 3 4" xfId="29005"/>
    <cellStyle name="Normal 7 4 2 2 6 3 4 2" xfId="29006"/>
    <cellStyle name="Normal 7 4 2 2 6 3 5" xfId="29007"/>
    <cellStyle name="Normal 7 4 2 2 6 4" xfId="29008"/>
    <cellStyle name="Normal 7 4 2 2 6 4 2" xfId="29009"/>
    <cellStyle name="Normal 7 4 2 2 6 4 2 2" xfId="29010"/>
    <cellStyle name="Normal 7 4 2 2 6 4 3" xfId="29011"/>
    <cellStyle name="Normal 7 4 2 2 6 4 3 2" xfId="29012"/>
    <cellStyle name="Normal 7 4 2 2 6 4 4" xfId="29013"/>
    <cellStyle name="Normal 7 4 2 2 6 4 4 2" xfId="29014"/>
    <cellStyle name="Normal 7 4 2 2 6 4 5" xfId="29015"/>
    <cellStyle name="Normal 7 4 2 2 6 5" xfId="29016"/>
    <cellStyle name="Normal 7 4 2 2 6 5 2" xfId="29017"/>
    <cellStyle name="Normal 7 4 2 2 6 6" xfId="29018"/>
    <cellStyle name="Normal 7 4 2 2 6 6 2" xfId="29019"/>
    <cellStyle name="Normal 7 4 2 2 6 7" xfId="29020"/>
    <cellStyle name="Normal 7 4 2 2 6 7 2" xfId="29021"/>
    <cellStyle name="Normal 7 4 2 2 6 8" xfId="29022"/>
    <cellStyle name="Normal 7 4 2 2 7" xfId="29023"/>
    <cellStyle name="Normal 7 4 2 2 7 2" xfId="29024"/>
    <cellStyle name="Normal 7 4 2 2 7 2 2" xfId="29025"/>
    <cellStyle name="Normal 7 4 2 2 7 2 2 2" xfId="29026"/>
    <cellStyle name="Normal 7 4 2 2 7 2 2 2 2" xfId="29027"/>
    <cellStyle name="Normal 7 4 2 2 7 2 2 3" xfId="29028"/>
    <cellStyle name="Normal 7 4 2 2 7 2 2 3 2" xfId="29029"/>
    <cellStyle name="Normal 7 4 2 2 7 2 2 4" xfId="29030"/>
    <cellStyle name="Normal 7 4 2 2 7 2 2 4 2" xfId="29031"/>
    <cellStyle name="Normal 7 4 2 2 7 2 2 5" xfId="29032"/>
    <cellStyle name="Normal 7 4 2 2 7 2 3" xfId="29033"/>
    <cellStyle name="Normal 7 4 2 2 7 2 3 2" xfId="29034"/>
    <cellStyle name="Normal 7 4 2 2 7 2 3 2 2" xfId="29035"/>
    <cellStyle name="Normal 7 4 2 2 7 2 3 3" xfId="29036"/>
    <cellStyle name="Normal 7 4 2 2 7 2 3 3 2" xfId="29037"/>
    <cellStyle name="Normal 7 4 2 2 7 2 3 4" xfId="29038"/>
    <cellStyle name="Normal 7 4 2 2 7 2 3 4 2" xfId="29039"/>
    <cellStyle name="Normal 7 4 2 2 7 2 3 5" xfId="29040"/>
    <cellStyle name="Normal 7 4 2 2 7 2 4" xfId="29041"/>
    <cellStyle name="Normal 7 4 2 2 7 2 4 2" xfId="29042"/>
    <cellStyle name="Normal 7 4 2 2 7 2 5" xfId="29043"/>
    <cellStyle name="Normal 7 4 2 2 7 2 5 2" xfId="29044"/>
    <cellStyle name="Normal 7 4 2 2 7 2 6" xfId="29045"/>
    <cellStyle name="Normal 7 4 2 2 7 2 6 2" xfId="29046"/>
    <cellStyle name="Normal 7 4 2 2 7 2 7" xfId="29047"/>
    <cellStyle name="Normal 7 4 2 2 7 3" xfId="29048"/>
    <cellStyle name="Normal 7 4 2 2 7 3 2" xfId="29049"/>
    <cellStyle name="Normal 7 4 2 2 7 3 2 2" xfId="29050"/>
    <cellStyle name="Normal 7 4 2 2 7 3 3" xfId="29051"/>
    <cellStyle name="Normal 7 4 2 2 7 3 3 2" xfId="29052"/>
    <cellStyle name="Normal 7 4 2 2 7 3 4" xfId="29053"/>
    <cellStyle name="Normal 7 4 2 2 7 3 4 2" xfId="29054"/>
    <cellStyle name="Normal 7 4 2 2 7 3 5" xfId="29055"/>
    <cellStyle name="Normal 7 4 2 2 7 4" xfId="29056"/>
    <cellStyle name="Normal 7 4 2 2 7 4 2" xfId="29057"/>
    <cellStyle name="Normal 7 4 2 2 7 4 2 2" xfId="29058"/>
    <cellStyle name="Normal 7 4 2 2 7 4 3" xfId="29059"/>
    <cellStyle name="Normal 7 4 2 2 7 4 3 2" xfId="29060"/>
    <cellStyle name="Normal 7 4 2 2 7 4 4" xfId="29061"/>
    <cellStyle name="Normal 7 4 2 2 7 4 4 2" xfId="29062"/>
    <cellStyle name="Normal 7 4 2 2 7 4 5" xfId="29063"/>
    <cellStyle name="Normal 7 4 2 2 7 5" xfId="29064"/>
    <cellStyle name="Normal 7 4 2 2 7 5 2" xfId="29065"/>
    <cellStyle name="Normal 7 4 2 2 7 6" xfId="29066"/>
    <cellStyle name="Normal 7 4 2 2 7 6 2" xfId="29067"/>
    <cellStyle name="Normal 7 4 2 2 7 7" xfId="29068"/>
    <cellStyle name="Normal 7 4 2 2 7 7 2" xfId="29069"/>
    <cellStyle name="Normal 7 4 2 2 7 8" xfId="29070"/>
    <cellStyle name="Normal 7 4 2 2 8" xfId="29071"/>
    <cellStyle name="Normal 7 4 2 2 8 2" xfId="29072"/>
    <cellStyle name="Normal 7 4 2 2 8 2 2" xfId="29073"/>
    <cellStyle name="Normal 7 4 2 2 8 2 2 2" xfId="29074"/>
    <cellStyle name="Normal 7 4 2 2 8 2 3" xfId="29075"/>
    <cellStyle name="Normal 7 4 2 2 8 2 3 2" xfId="29076"/>
    <cellStyle name="Normal 7 4 2 2 8 2 4" xfId="29077"/>
    <cellStyle name="Normal 7 4 2 2 8 2 4 2" xfId="29078"/>
    <cellStyle name="Normal 7 4 2 2 8 2 5" xfId="29079"/>
    <cellStyle name="Normal 7 4 2 2 8 3" xfId="29080"/>
    <cellStyle name="Normal 7 4 2 2 8 3 2" xfId="29081"/>
    <cellStyle name="Normal 7 4 2 2 8 3 2 2" xfId="29082"/>
    <cellStyle name="Normal 7 4 2 2 8 3 3" xfId="29083"/>
    <cellStyle name="Normal 7 4 2 2 8 3 3 2" xfId="29084"/>
    <cellStyle name="Normal 7 4 2 2 8 3 4" xfId="29085"/>
    <cellStyle name="Normal 7 4 2 2 8 3 4 2" xfId="29086"/>
    <cellStyle name="Normal 7 4 2 2 8 3 5" xfId="29087"/>
    <cellStyle name="Normal 7 4 2 2 8 4" xfId="29088"/>
    <cellStyle name="Normal 7 4 2 2 8 4 2" xfId="29089"/>
    <cellStyle name="Normal 7 4 2 2 8 5" xfId="29090"/>
    <cellStyle name="Normal 7 4 2 2 8 5 2" xfId="29091"/>
    <cellStyle name="Normal 7 4 2 2 8 6" xfId="29092"/>
    <cellStyle name="Normal 7 4 2 2 8 6 2" xfId="29093"/>
    <cellStyle name="Normal 7 4 2 2 8 7" xfId="29094"/>
    <cellStyle name="Normal 7 4 2 2 9" xfId="29095"/>
    <cellStyle name="Normal 7 4 2 2 9 2" xfId="29096"/>
    <cellStyle name="Normal 7 4 2 2 9 2 2" xfId="29097"/>
    <cellStyle name="Normal 7 4 2 2 9 3" xfId="29098"/>
    <cellStyle name="Normal 7 4 2 2 9 3 2" xfId="29099"/>
    <cellStyle name="Normal 7 4 2 2 9 4" xfId="29100"/>
    <cellStyle name="Normal 7 4 2 2 9 4 2" xfId="29101"/>
    <cellStyle name="Normal 7 4 2 2 9 5" xfId="29102"/>
    <cellStyle name="Normal 7 4 2 3" xfId="29103"/>
    <cellStyle name="Normal 7 4 2 3 10" xfId="29104"/>
    <cellStyle name="Normal 7 4 2 3 10 2" xfId="29105"/>
    <cellStyle name="Normal 7 4 2 3 10 2 2" xfId="29106"/>
    <cellStyle name="Normal 7 4 2 3 10 3" xfId="29107"/>
    <cellStyle name="Normal 7 4 2 3 10 3 2" xfId="29108"/>
    <cellStyle name="Normal 7 4 2 3 10 4" xfId="29109"/>
    <cellStyle name="Normal 7 4 2 3 10 4 2" xfId="29110"/>
    <cellStyle name="Normal 7 4 2 3 10 5" xfId="29111"/>
    <cellStyle name="Normal 7 4 2 3 11" xfId="29112"/>
    <cellStyle name="Normal 7 4 2 3 11 2" xfId="29113"/>
    <cellStyle name="Normal 7 4 2 3 12" xfId="29114"/>
    <cellStyle name="Normal 7 4 2 3 12 2" xfId="29115"/>
    <cellStyle name="Normal 7 4 2 3 13" xfId="29116"/>
    <cellStyle name="Normal 7 4 2 3 13 2" xfId="29117"/>
    <cellStyle name="Normal 7 4 2 3 14" xfId="29118"/>
    <cellStyle name="Normal 7 4 2 3 2" xfId="29119"/>
    <cellStyle name="Normal 7 4 2 3 2 10" xfId="29120"/>
    <cellStyle name="Normal 7 4 2 3 2 10 2" xfId="29121"/>
    <cellStyle name="Normal 7 4 2 3 2 11" xfId="29122"/>
    <cellStyle name="Normal 7 4 2 3 2 11 2" xfId="29123"/>
    <cellStyle name="Normal 7 4 2 3 2 12" xfId="29124"/>
    <cellStyle name="Normal 7 4 2 3 2 12 2" xfId="29125"/>
    <cellStyle name="Normal 7 4 2 3 2 13" xfId="29126"/>
    <cellStyle name="Normal 7 4 2 3 2 2" xfId="29127"/>
    <cellStyle name="Normal 7 4 2 3 2 2 2" xfId="29128"/>
    <cellStyle name="Normal 7 4 2 3 2 2 2 2" xfId="29129"/>
    <cellStyle name="Normal 7 4 2 3 2 2 2 2 2" xfId="29130"/>
    <cellStyle name="Normal 7 4 2 3 2 2 2 2 2 2" xfId="29131"/>
    <cellStyle name="Normal 7 4 2 3 2 2 2 2 3" xfId="29132"/>
    <cellStyle name="Normal 7 4 2 3 2 2 2 2 3 2" xfId="29133"/>
    <cellStyle name="Normal 7 4 2 3 2 2 2 2 4" xfId="29134"/>
    <cellStyle name="Normal 7 4 2 3 2 2 2 2 4 2" xfId="29135"/>
    <cellStyle name="Normal 7 4 2 3 2 2 2 2 5" xfId="29136"/>
    <cellStyle name="Normal 7 4 2 3 2 2 2 3" xfId="29137"/>
    <cellStyle name="Normal 7 4 2 3 2 2 2 3 2" xfId="29138"/>
    <cellStyle name="Normal 7 4 2 3 2 2 2 3 2 2" xfId="29139"/>
    <cellStyle name="Normal 7 4 2 3 2 2 2 3 3" xfId="29140"/>
    <cellStyle name="Normal 7 4 2 3 2 2 2 3 3 2" xfId="29141"/>
    <cellStyle name="Normal 7 4 2 3 2 2 2 3 4" xfId="29142"/>
    <cellStyle name="Normal 7 4 2 3 2 2 2 3 4 2" xfId="29143"/>
    <cellStyle name="Normal 7 4 2 3 2 2 2 3 5" xfId="29144"/>
    <cellStyle name="Normal 7 4 2 3 2 2 2 4" xfId="29145"/>
    <cellStyle name="Normal 7 4 2 3 2 2 2 4 2" xfId="29146"/>
    <cellStyle name="Normal 7 4 2 3 2 2 2 5" xfId="29147"/>
    <cellStyle name="Normal 7 4 2 3 2 2 2 5 2" xfId="29148"/>
    <cellStyle name="Normal 7 4 2 3 2 2 2 6" xfId="29149"/>
    <cellStyle name="Normal 7 4 2 3 2 2 2 6 2" xfId="29150"/>
    <cellStyle name="Normal 7 4 2 3 2 2 2 7" xfId="29151"/>
    <cellStyle name="Normal 7 4 2 3 2 2 3" xfId="29152"/>
    <cellStyle name="Normal 7 4 2 3 2 2 3 2" xfId="29153"/>
    <cellStyle name="Normal 7 4 2 3 2 2 3 2 2" xfId="29154"/>
    <cellStyle name="Normal 7 4 2 3 2 2 3 3" xfId="29155"/>
    <cellStyle name="Normal 7 4 2 3 2 2 3 3 2" xfId="29156"/>
    <cellStyle name="Normal 7 4 2 3 2 2 3 4" xfId="29157"/>
    <cellStyle name="Normal 7 4 2 3 2 2 3 4 2" xfId="29158"/>
    <cellStyle name="Normal 7 4 2 3 2 2 3 5" xfId="29159"/>
    <cellStyle name="Normal 7 4 2 3 2 2 4" xfId="29160"/>
    <cellStyle name="Normal 7 4 2 3 2 2 4 2" xfId="29161"/>
    <cellStyle name="Normal 7 4 2 3 2 2 4 2 2" xfId="29162"/>
    <cellStyle name="Normal 7 4 2 3 2 2 4 3" xfId="29163"/>
    <cellStyle name="Normal 7 4 2 3 2 2 4 3 2" xfId="29164"/>
    <cellStyle name="Normal 7 4 2 3 2 2 4 4" xfId="29165"/>
    <cellStyle name="Normal 7 4 2 3 2 2 4 4 2" xfId="29166"/>
    <cellStyle name="Normal 7 4 2 3 2 2 4 5" xfId="29167"/>
    <cellStyle name="Normal 7 4 2 3 2 2 5" xfId="29168"/>
    <cellStyle name="Normal 7 4 2 3 2 2 5 2" xfId="29169"/>
    <cellStyle name="Normal 7 4 2 3 2 2 6" xfId="29170"/>
    <cellStyle name="Normal 7 4 2 3 2 2 6 2" xfId="29171"/>
    <cellStyle name="Normal 7 4 2 3 2 2 7" xfId="29172"/>
    <cellStyle name="Normal 7 4 2 3 2 2 7 2" xfId="29173"/>
    <cellStyle name="Normal 7 4 2 3 2 2 8" xfId="29174"/>
    <cellStyle name="Normal 7 4 2 3 2 3" xfId="29175"/>
    <cellStyle name="Normal 7 4 2 3 2 3 2" xfId="29176"/>
    <cellStyle name="Normal 7 4 2 3 2 3 2 2" xfId="29177"/>
    <cellStyle name="Normal 7 4 2 3 2 3 2 2 2" xfId="29178"/>
    <cellStyle name="Normal 7 4 2 3 2 3 2 2 2 2" xfId="29179"/>
    <cellStyle name="Normal 7 4 2 3 2 3 2 2 3" xfId="29180"/>
    <cellStyle name="Normal 7 4 2 3 2 3 2 2 3 2" xfId="29181"/>
    <cellStyle name="Normal 7 4 2 3 2 3 2 2 4" xfId="29182"/>
    <cellStyle name="Normal 7 4 2 3 2 3 2 2 4 2" xfId="29183"/>
    <cellStyle name="Normal 7 4 2 3 2 3 2 2 5" xfId="29184"/>
    <cellStyle name="Normal 7 4 2 3 2 3 2 3" xfId="29185"/>
    <cellStyle name="Normal 7 4 2 3 2 3 2 3 2" xfId="29186"/>
    <cellStyle name="Normal 7 4 2 3 2 3 2 3 2 2" xfId="29187"/>
    <cellStyle name="Normal 7 4 2 3 2 3 2 3 3" xfId="29188"/>
    <cellStyle name="Normal 7 4 2 3 2 3 2 3 3 2" xfId="29189"/>
    <cellStyle name="Normal 7 4 2 3 2 3 2 3 4" xfId="29190"/>
    <cellStyle name="Normal 7 4 2 3 2 3 2 3 4 2" xfId="29191"/>
    <cellStyle name="Normal 7 4 2 3 2 3 2 3 5" xfId="29192"/>
    <cellStyle name="Normal 7 4 2 3 2 3 2 4" xfId="29193"/>
    <cellStyle name="Normal 7 4 2 3 2 3 2 4 2" xfId="29194"/>
    <cellStyle name="Normal 7 4 2 3 2 3 2 5" xfId="29195"/>
    <cellStyle name="Normal 7 4 2 3 2 3 2 5 2" xfId="29196"/>
    <cellStyle name="Normal 7 4 2 3 2 3 2 6" xfId="29197"/>
    <cellStyle name="Normal 7 4 2 3 2 3 2 6 2" xfId="29198"/>
    <cellStyle name="Normal 7 4 2 3 2 3 2 7" xfId="29199"/>
    <cellStyle name="Normal 7 4 2 3 2 3 3" xfId="29200"/>
    <cellStyle name="Normal 7 4 2 3 2 3 3 2" xfId="29201"/>
    <cellStyle name="Normal 7 4 2 3 2 3 3 2 2" xfId="29202"/>
    <cellStyle name="Normal 7 4 2 3 2 3 3 3" xfId="29203"/>
    <cellStyle name="Normal 7 4 2 3 2 3 3 3 2" xfId="29204"/>
    <cellStyle name="Normal 7 4 2 3 2 3 3 4" xfId="29205"/>
    <cellStyle name="Normal 7 4 2 3 2 3 3 4 2" xfId="29206"/>
    <cellStyle name="Normal 7 4 2 3 2 3 3 5" xfId="29207"/>
    <cellStyle name="Normal 7 4 2 3 2 3 4" xfId="29208"/>
    <cellStyle name="Normal 7 4 2 3 2 3 4 2" xfId="29209"/>
    <cellStyle name="Normal 7 4 2 3 2 3 4 2 2" xfId="29210"/>
    <cellStyle name="Normal 7 4 2 3 2 3 4 3" xfId="29211"/>
    <cellStyle name="Normal 7 4 2 3 2 3 4 3 2" xfId="29212"/>
    <cellStyle name="Normal 7 4 2 3 2 3 4 4" xfId="29213"/>
    <cellStyle name="Normal 7 4 2 3 2 3 4 4 2" xfId="29214"/>
    <cellStyle name="Normal 7 4 2 3 2 3 4 5" xfId="29215"/>
    <cellStyle name="Normal 7 4 2 3 2 3 5" xfId="29216"/>
    <cellStyle name="Normal 7 4 2 3 2 3 5 2" xfId="29217"/>
    <cellStyle name="Normal 7 4 2 3 2 3 6" xfId="29218"/>
    <cellStyle name="Normal 7 4 2 3 2 3 6 2" xfId="29219"/>
    <cellStyle name="Normal 7 4 2 3 2 3 7" xfId="29220"/>
    <cellStyle name="Normal 7 4 2 3 2 3 7 2" xfId="29221"/>
    <cellStyle name="Normal 7 4 2 3 2 3 8" xfId="29222"/>
    <cellStyle name="Normal 7 4 2 3 2 4" xfId="29223"/>
    <cellStyle name="Normal 7 4 2 3 2 4 2" xfId="29224"/>
    <cellStyle name="Normal 7 4 2 3 2 4 2 2" xfId="29225"/>
    <cellStyle name="Normal 7 4 2 3 2 4 2 2 2" xfId="29226"/>
    <cellStyle name="Normal 7 4 2 3 2 4 2 2 2 2" xfId="29227"/>
    <cellStyle name="Normal 7 4 2 3 2 4 2 2 3" xfId="29228"/>
    <cellStyle name="Normal 7 4 2 3 2 4 2 2 3 2" xfId="29229"/>
    <cellStyle name="Normal 7 4 2 3 2 4 2 2 4" xfId="29230"/>
    <cellStyle name="Normal 7 4 2 3 2 4 2 2 4 2" xfId="29231"/>
    <cellStyle name="Normal 7 4 2 3 2 4 2 2 5" xfId="29232"/>
    <cellStyle name="Normal 7 4 2 3 2 4 2 3" xfId="29233"/>
    <cellStyle name="Normal 7 4 2 3 2 4 2 3 2" xfId="29234"/>
    <cellStyle name="Normal 7 4 2 3 2 4 2 3 2 2" xfId="29235"/>
    <cellStyle name="Normal 7 4 2 3 2 4 2 3 3" xfId="29236"/>
    <cellStyle name="Normal 7 4 2 3 2 4 2 3 3 2" xfId="29237"/>
    <cellStyle name="Normal 7 4 2 3 2 4 2 3 4" xfId="29238"/>
    <cellStyle name="Normal 7 4 2 3 2 4 2 3 4 2" xfId="29239"/>
    <cellStyle name="Normal 7 4 2 3 2 4 2 3 5" xfId="29240"/>
    <cellStyle name="Normal 7 4 2 3 2 4 2 4" xfId="29241"/>
    <cellStyle name="Normal 7 4 2 3 2 4 2 4 2" xfId="29242"/>
    <cellStyle name="Normal 7 4 2 3 2 4 2 5" xfId="29243"/>
    <cellStyle name="Normal 7 4 2 3 2 4 2 5 2" xfId="29244"/>
    <cellStyle name="Normal 7 4 2 3 2 4 2 6" xfId="29245"/>
    <cellStyle name="Normal 7 4 2 3 2 4 2 6 2" xfId="29246"/>
    <cellStyle name="Normal 7 4 2 3 2 4 2 7" xfId="29247"/>
    <cellStyle name="Normal 7 4 2 3 2 4 3" xfId="29248"/>
    <cellStyle name="Normal 7 4 2 3 2 4 3 2" xfId="29249"/>
    <cellStyle name="Normal 7 4 2 3 2 4 3 2 2" xfId="29250"/>
    <cellStyle name="Normal 7 4 2 3 2 4 3 3" xfId="29251"/>
    <cellStyle name="Normal 7 4 2 3 2 4 3 3 2" xfId="29252"/>
    <cellStyle name="Normal 7 4 2 3 2 4 3 4" xfId="29253"/>
    <cellStyle name="Normal 7 4 2 3 2 4 3 4 2" xfId="29254"/>
    <cellStyle name="Normal 7 4 2 3 2 4 3 5" xfId="29255"/>
    <cellStyle name="Normal 7 4 2 3 2 4 4" xfId="29256"/>
    <cellStyle name="Normal 7 4 2 3 2 4 4 2" xfId="29257"/>
    <cellStyle name="Normal 7 4 2 3 2 4 4 2 2" xfId="29258"/>
    <cellStyle name="Normal 7 4 2 3 2 4 4 3" xfId="29259"/>
    <cellStyle name="Normal 7 4 2 3 2 4 4 3 2" xfId="29260"/>
    <cellStyle name="Normal 7 4 2 3 2 4 4 4" xfId="29261"/>
    <cellStyle name="Normal 7 4 2 3 2 4 4 4 2" xfId="29262"/>
    <cellStyle name="Normal 7 4 2 3 2 4 4 5" xfId="29263"/>
    <cellStyle name="Normal 7 4 2 3 2 4 5" xfId="29264"/>
    <cellStyle name="Normal 7 4 2 3 2 4 5 2" xfId="29265"/>
    <cellStyle name="Normal 7 4 2 3 2 4 6" xfId="29266"/>
    <cellStyle name="Normal 7 4 2 3 2 4 6 2" xfId="29267"/>
    <cellStyle name="Normal 7 4 2 3 2 4 7" xfId="29268"/>
    <cellStyle name="Normal 7 4 2 3 2 4 7 2" xfId="29269"/>
    <cellStyle name="Normal 7 4 2 3 2 4 8" xfId="29270"/>
    <cellStyle name="Normal 7 4 2 3 2 5" xfId="29271"/>
    <cellStyle name="Normal 7 4 2 3 2 5 2" xfId="29272"/>
    <cellStyle name="Normal 7 4 2 3 2 5 2 2" xfId="29273"/>
    <cellStyle name="Normal 7 4 2 3 2 5 2 2 2" xfId="29274"/>
    <cellStyle name="Normal 7 4 2 3 2 5 2 2 2 2" xfId="29275"/>
    <cellStyle name="Normal 7 4 2 3 2 5 2 2 3" xfId="29276"/>
    <cellStyle name="Normal 7 4 2 3 2 5 2 2 3 2" xfId="29277"/>
    <cellStyle name="Normal 7 4 2 3 2 5 2 2 4" xfId="29278"/>
    <cellStyle name="Normal 7 4 2 3 2 5 2 2 4 2" xfId="29279"/>
    <cellStyle name="Normal 7 4 2 3 2 5 2 2 5" xfId="29280"/>
    <cellStyle name="Normal 7 4 2 3 2 5 2 3" xfId="29281"/>
    <cellStyle name="Normal 7 4 2 3 2 5 2 3 2" xfId="29282"/>
    <cellStyle name="Normal 7 4 2 3 2 5 2 3 2 2" xfId="29283"/>
    <cellStyle name="Normal 7 4 2 3 2 5 2 3 3" xfId="29284"/>
    <cellStyle name="Normal 7 4 2 3 2 5 2 3 3 2" xfId="29285"/>
    <cellStyle name="Normal 7 4 2 3 2 5 2 3 4" xfId="29286"/>
    <cellStyle name="Normal 7 4 2 3 2 5 2 3 4 2" xfId="29287"/>
    <cellStyle name="Normal 7 4 2 3 2 5 2 3 5" xfId="29288"/>
    <cellStyle name="Normal 7 4 2 3 2 5 2 4" xfId="29289"/>
    <cellStyle name="Normal 7 4 2 3 2 5 2 4 2" xfId="29290"/>
    <cellStyle name="Normal 7 4 2 3 2 5 2 5" xfId="29291"/>
    <cellStyle name="Normal 7 4 2 3 2 5 2 5 2" xfId="29292"/>
    <cellStyle name="Normal 7 4 2 3 2 5 2 6" xfId="29293"/>
    <cellStyle name="Normal 7 4 2 3 2 5 2 6 2" xfId="29294"/>
    <cellStyle name="Normal 7 4 2 3 2 5 2 7" xfId="29295"/>
    <cellStyle name="Normal 7 4 2 3 2 5 3" xfId="29296"/>
    <cellStyle name="Normal 7 4 2 3 2 5 3 2" xfId="29297"/>
    <cellStyle name="Normal 7 4 2 3 2 5 3 2 2" xfId="29298"/>
    <cellStyle name="Normal 7 4 2 3 2 5 3 3" xfId="29299"/>
    <cellStyle name="Normal 7 4 2 3 2 5 3 3 2" xfId="29300"/>
    <cellStyle name="Normal 7 4 2 3 2 5 3 4" xfId="29301"/>
    <cellStyle name="Normal 7 4 2 3 2 5 3 4 2" xfId="29302"/>
    <cellStyle name="Normal 7 4 2 3 2 5 3 5" xfId="29303"/>
    <cellStyle name="Normal 7 4 2 3 2 5 4" xfId="29304"/>
    <cellStyle name="Normal 7 4 2 3 2 5 4 2" xfId="29305"/>
    <cellStyle name="Normal 7 4 2 3 2 5 4 2 2" xfId="29306"/>
    <cellStyle name="Normal 7 4 2 3 2 5 4 3" xfId="29307"/>
    <cellStyle name="Normal 7 4 2 3 2 5 4 3 2" xfId="29308"/>
    <cellStyle name="Normal 7 4 2 3 2 5 4 4" xfId="29309"/>
    <cellStyle name="Normal 7 4 2 3 2 5 4 4 2" xfId="29310"/>
    <cellStyle name="Normal 7 4 2 3 2 5 4 5" xfId="29311"/>
    <cellStyle name="Normal 7 4 2 3 2 5 5" xfId="29312"/>
    <cellStyle name="Normal 7 4 2 3 2 5 5 2" xfId="29313"/>
    <cellStyle name="Normal 7 4 2 3 2 5 6" xfId="29314"/>
    <cellStyle name="Normal 7 4 2 3 2 5 6 2" xfId="29315"/>
    <cellStyle name="Normal 7 4 2 3 2 5 7" xfId="29316"/>
    <cellStyle name="Normal 7 4 2 3 2 5 7 2" xfId="29317"/>
    <cellStyle name="Normal 7 4 2 3 2 5 8" xfId="29318"/>
    <cellStyle name="Normal 7 4 2 3 2 6" xfId="29319"/>
    <cellStyle name="Normal 7 4 2 3 2 6 2" xfId="29320"/>
    <cellStyle name="Normal 7 4 2 3 2 6 2 2" xfId="29321"/>
    <cellStyle name="Normal 7 4 2 3 2 6 2 2 2" xfId="29322"/>
    <cellStyle name="Normal 7 4 2 3 2 6 2 2 2 2" xfId="29323"/>
    <cellStyle name="Normal 7 4 2 3 2 6 2 2 3" xfId="29324"/>
    <cellStyle name="Normal 7 4 2 3 2 6 2 2 3 2" xfId="29325"/>
    <cellStyle name="Normal 7 4 2 3 2 6 2 2 4" xfId="29326"/>
    <cellStyle name="Normal 7 4 2 3 2 6 2 2 4 2" xfId="29327"/>
    <cellStyle name="Normal 7 4 2 3 2 6 2 2 5" xfId="29328"/>
    <cellStyle name="Normal 7 4 2 3 2 6 2 3" xfId="29329"/>
    <cellStyle name="Normal 7 4 2 3 2 6 2 3 2" xfId="29330"/>
    <cellStyle name="Normal 7 4 2 3 2 6 2 3 2 2" xfId="29331"/>
    <cellStyle name="Normal 7 4 2 3 2 6 2 3 3" xfId="29332"/>
    <cellStyle name="Normal 7 4 2 3 2 6 2 3 3 2" xfId="29333"/>
    <cellStyle name="Normal 7 4 2 3 2 6 2 3 4" xfId="29334"/>
    <cellStyle name="Normal 7 4 2 3 2 6 2 3 4 2" xfId="29335"/>
    <cellStyle name="Normal 7 4 2 3 2 6 2 3 5" xfId="29336"/>
    <cellStyle name="Normal 7 4 2 3 2 6 2 4" xfId="29337"/>
    <cellStyle name="Normal 7 4 2 3 2 6 2 4 2" xfId="29338"/>
    <cellStyle name="Normal 7 4 2 3 2 6 2 5" xfId="29339"/>
    <cellStyle name="Normal 7 4 2 3 2 6 2 5 2" xfId="29340"/>
    <cellStyle name="Normal 7 4 2 3 2 6 2 6" xfId="29341"/>
    <cellStyle name="Normal 7 4 2 3 2 6 2 6 2" xfId="29342"/>
    <cellStyle name="Normal 7 4 2 3 2 6 2 7" xfId="29343"/>
    <cellStyle name="Normal 7 4 2 3 2 6 3" xfId="29344"/>
    <cellStyle name="Normal 7 4 2 3 2 6 3 2" xfId="29345"/>
    <cellStyle name="Normal 7 4 2 3 2 6 3 2 2" xfId="29346"/>
    <cellStyle name="Normal 7 4 2 3 2 6 3 3" xfId="29347"/>
    <cellStyle name="Normal 7 4 2 3 2 6 3 3 2" xfId="29348"/>
    <cellStyle name="Normal 7 4 2 3 2 6 3 4" xfId="29349"/>
    <cellStyle name="Normal 7 4 2 3 2 6 3 4 2" xfId="29350"/>
    <cellStyle name="Normal 7 4 2 3 2 6 3 5" xfId="29351"/>
    <cellStyle name="Normal 7 4 2 3 2 6 4" xfId="29352"/>
    <cellStyle name="Normal 7 4 2 3 2 6 4 2" xfId="29353"/>
    <cellStyle name="Normal 7 4 2 3 2 6 4 2 2" xfId="29354"/>
    <cellStyle name="Normal 7 4 2 3 2 6 4 3" xfId="29355"/>
    <cellStyle name="Normal 7 4 2 3 2 6 4 3 2" xfId="29356"/>
    <cellStyle name="Normal 7 4 2 3 2 6 4 4" xfId="29357"/>
    <cellStyle name="Normal 7 4 2 3 2 6 4 4 2" xfId="29358"/>
    <cellStyle name="Normal 7 4 2 3 2 6 4 5" xfId="29359"/>
    <cellStyle name="Normal 7 4 2 3 2 6 5" xfId="29360"/>
    <cellStyle name="Normal 7 4 2 3 2 6 5 2" xfId="29361"/>
    <cellStyle name="Normal 7 4 2 3 2 6 6" xfId="29362"/>
    <cellStyle name="Normal 7 4 2 3 2 6 6 2" xfId="29363"/>
    <cellStyle name="Normal 7 4 2 3 2 6 7" xfId="29364"/>
    <cellStyle name="Normal 7 4 2 3 2 6 7 2" xfId="29365"/>
    <cellStyle name="Normal 7 4 2 3 2 6 8" xfId="29366"/>
    <cellStyle name="Normal 7 4 2 3 2 7" xfId="29367"/>
    <cellStyle name="Normal 7 4 2 3 2 7 2" xfId="29368"/>
    <cellStyle name="Normal 7 4 2 3 2 7 2 2" xfId="29369"/>
    <cellStyle name="Normal 7 4 2 3 2 7 2 2 2" xfId="29370"/>
    <cellStyle name="Normal 7 4 2 3 2 7 2 3" xfId="29371"/>
    <cellStyle name="Normal 7 4 2 3 2 7 2 3 2" xfId="29372"/>
    <cellStyle name="Normal 7 4 2 3 2 7 2 4" xfId="29373"/>
    <cellStyle name="Normal 7 4 2 3 2 7 2 4 2" xfId="29374"/>
    <cellStyle name="Normal 7 4 2 3 2 7 2 5" xfId="29375"/>
    <cellStyle name="Normal 7 4 2 3 2 7 3" xfId="29376"/>
    <cellStyle name="Normal 7 4 2 3 2 7 3 2" xfId="29377"/>
    <cellStyle name="Normal 7 4 2 3 2 7 3 2 2" xfId="29378"/>
    <cellStyle name="Normal 7 4 2 3 2 7 3 3" xfId="29379"/>
    <cellStyle name="Normal 7 4 2 3 2 7 3 3 2" xfId="29380"/>
    <cellStyle name="Normal 7 4 2 3 2 7 3 4" xfId="29381"/>
    <cellStyle name="Normal 7 4 2 3 2 7 3 4 2" xfId="29382"/>
    <cellStyle name="Normal 7 4 2 3 2 7 3 5" xfId="29383"/>
    <cellStyle name="Normal 7 4 2 3 2 7 4" xfId="29384"/>
    <cellStyle name="Normal 7 4 2 3 2 7 4 2" xfId="29385"/>
    <cellStyle name="Normal 7 4 2 3 2 7 5" xfId="29386"/>
    <cellStyle name="Normal 7 4 2 3 2 7 5 2" xfId="29387"/>
    <cellStyle name="Normal 7 4 2 3 2 7 6" xfId="29388"/>
    <cellStyle name="Normal 7 4 2 3 2 7 6 2" xfId="29389"/>
    <cellStyle name="Normal 7 4 2 3 2 7 7" xfId="29390"/>
    <cellStyle name="Normal 7 4 2 3 2 8" xfId="29391"/>
    <cellStyle name="Normal 7 4 2 3 2 8 2" xfId="29392"/>
    <cellStyle name="Normal 7 4 2 3 2 8 2 2" xfId="29393"/>
    <cellStyle name="Normal 7 4 2 3 2 8 3" xfId="29394"/>
    <cellStyle name="Normal 7 4 2 3 2 8 3 2" xfId="29395"/>
    <cellStyle name="Normal 7 4 2 3 2 8 4" xfId="29396"/>
    <cellStyle name="Normal 7 4 2 3 2 8 4 2" xfId="29397"/>
    <cellStyle name="Normal 7 4 2 3 2 8 5" xfId="29398"/>
    <cellStyle name="Normal 7 4 2 3 2 9" xfId="29399"/>
    <cellStyle name="Normal 7 4 2 3 2 9 2" xfId="29400"/>
    <cellStyle name="Normal 7 4 2 3 2 9 2 2" xfId="29401"/>
    <cellStyle name="Normal 7 4 2 3 2 9 3" xfId="29402"/>
    <cellStyle name="Normal 7 4 2 3 2 9 3 2" xfId="29403"/>
    <cellStyle name="Normal 7 4 2 3 2 9 4" xfId="29404"/>
    <cellStyle name="Normal 7 4 2 3 2 9 4 2" xfId="29405"/>
    <cellStyle name="Normal 7 4 2 3 2 9 5" xfId="29406"/>
    <cellStyle name="Normal 7 4 2 3 3" xfId="29407"/>
    <cellStyle name="Normal 7 4 2 3 3 2" xfId="29408"/>
    <cellStyle name="Normal 7 4 2 3 3 2 2" xfId="29409"/>
    <cellStyle name="Normal 7 4 2 3 3 2 2 2" xfId="29410"/>
    <cellStyle name="Normal 7 4 2 3 3 2 2 2 2" xfId="29411"/>
    <cellStyle name="Normal 7 4 2 3 3 2 2 3" xfId="29412"/>
    <cellStyle name="Normal 7 4 2 3 3 2 2 3 2" xfId="29413"/>
    <cellStyle name="Normal 7 4 2 3 3 2 2 4" xfId="29414"/>
    <cellStyle name="Normal 7 4 2 3 3 2 2 4 2" xfId="29415"/>
    <cellStyle name="Normal 7 4 2 3 3 2 2 5" xfId="29416"/>
    <cellStyle name="Normal 7 4 2 3 3 2 3" xfId="29417"/>
    <cellStyle name="Normal 7 4 2 3 3 2 3 2" xfId="29418"/>
    <cellStyle name="Normal 7 4 2 3 3 2 3 2 2" xfId="29419"/>
    <cellStyle name="Normal 7 4 2 3 3 2 3 3" xfId="29420"/>
    <cellStyle name="Normal 7 4 2 3 3 2 3 3 2" xfId="29421"/>
    <cellStyle name="Normal 7 4 2 3 3 2 3 4" xfId="29422"/>
    <cellStyle name="Normal 7 4 2 3 3 2 3 4 2" xfId="29423"/>
    <cellStyle name="Normal 7 4 2 3 3 2 3 5" xfId="29424"/>
    <cellStyle name="Normal 7 4 2 3 3 2 4" xfId="29425"/>
    <cellStyle name="Normal 7 4 2 3 3 2 4 2" xfId="29426"/>
    <cellStyle name="Normal 7 4 2 3 3 2 5" xfId="29427"/>
    <cellStyle name="Normal 7 4 2 3 3 2 5 2" xfId="29428"/>
    <cellStyle name="Normal 7 4 2 3 3 2 6" xfId="29429"/>
    <cellStyle name="Normal 7 4 2 3 3 2 6 2" xfId="29430"/>
    <cellStyle name="Normal 7 4 2 3 3 2 7" xfId="29431"/>
    <cellStyle name="Normal 7 4 2 3 3 3" xfId="29432"/>
    <cellStyle name="Normal 7 4 2 3 3 3 2" xfId="29433"/>
    <cellStyle name="Normal 7 4 2 3 3 3 2 2" xfId="29434"/>
    <cellStyle name="Normal 7 4 2 3 3 3 3" xfId="29435"/>
    <cellStyle name="Normal 7 4 2 3 3 3 3 2" xfId="29436"/>
    <cellStyle name="Normal 7 4 2 3 3 3 4" xfId="29437"/>
    <cellStyle name="Normal 7 4 2 3 3 3 4 2" xfId="29438"/>
    <cellStyle name="Normal 7 4 2 3 3 3 5" xfId="29439"/>
    <cellStyle name="Normal 7 4 2 3 3 4" xfId="29440"/>
    <cellStyle name="Normal 7 4 2 3 3 4 2" xfId="29441"/>
    <cellStyle name="Normal 7 4 2 3 3 4 2 2" xfId="29442"/>
    <cellStyle name="Normal 7 4 2 3 3 4 3" xfId="29443"/>
    <cellStyle name="Normal 7 4 2 3 3 4 3 2" xfId="29444"/>
    <cellStyle name="Normal 7 4 2 3 3 4 4" xfId="29445"/>
    <cellStyle name="Normal 7 4 2 3 3 4 4 2" xfId="29446"/>
    <cellStyle name="Normal 7 4 2 3 3 4 5" xfId="29447"/>
    <cellStyle name="Normal 7 4 2 3 3 5" xfId="29448"/>
    <cellStyle name="Normal 7 4 2 3 3 5 2" xfId="29449"/>
    <cellStyle name="Normal 7 4 2 3 3 6" xfId="29450"/>
    <cellStyle name="Normal 7 4 2 3 3 6 2" xfId="29451"/>
    <cellStyle name="Normal 7 4 2 3 3 7" xfId="29452"/>
    <cellStyle name="Normal 7 4 2 3 3 7 2" xfId="29453"/>
    <cellStyle name="Normal 7 4 2 3 3 8" xfId="29454"/>
    <cellStyle name="Normal 7 4 2 3 4" xfId="29455"/>
    <cellStyle name="Normal 7 4 2 3 4 2" xfId="29456"/>
    <cellStyle name="Normal 7 4 2 3 4 2 2" xfId="29457"/>
    <cellStyle name="Normal 7 4 2 3 4 2 2 2" xfId="29458"/>
    <cellStyle name="Normal 7 4 2 3 4 2 2 2 2" xfId="29459"/>
    <cellStyle name="Normal 7 4 2 3 4 2 2 3" xfId="29460"/>
    <cellStyle name="Normal 7 4 2 3 4 2 2 3 2" xfId="29461"/>
    <cellStyle name="Normal 7 4 2 3 4 2 2 4" xfId="29462"/>
    <cellStyle name="Normal 7 4 2 3 4 2 2 4 2" xfId="29463"/>
    <cellStyle name="Normal 7 4 2 3 4 2 2 5" xfId="29464"/>
    <cellStyle name="Normal 7 4 2 3 4 2 3" xfId="29465"/>
    <cellStyle name="Normal 7 4 2 3 4 2 3 2" xfId="29466"/>
    <cellStyle name="Normal 7 4 2 3 4 2 3 2 2" xfId="29467"/>
    <cellStyle name="Normal 7 4 2 3 4 2 3 3" xfId="29468"/>
    <cellStyle name="Normal 7 4 2 3 4 2 3 3 2" xfId="29469"/>
    <cellStyle name="Normal 7 4 2 3 4 2 3 4" xfId="29470"/>
    <cellStyle name="Normal 7 4 2 3 4 2 3 4 2" xfId="29471"/>
    <cellStyle name="Normal 7 4 2 3 4 2 3 5" xfId="29472"/>
    <cellStyle name="Normal 7 4 2 3 4 2 4" xfId="29473"/>
    <cellStyle name="Normal 7 4 2 3 4 2 4 2" xfId="29474"/>
    <cellStyle name="Normal 7 4 2 3 4 2 5" xfId="29475"/>
    <cellStyle name="Normal 7 4 2 3 4 2 5 2" xfId="29476"/>
    <cellStyle name="Normal 7 4 2 3 4 2 6" xfId="29477"/>
    <cellStyle name="Normal 7 4 2 3 4 2 6 2" xfId="29478"/>
    <cellStyle name="Normal 7 4 2 3 4 2 7" xfId="29479"/>
    <cellStyle name="Normal 7 4 2 3 4 3" xfId="29480"/>
    <cellStyle name="Normal 7 4 2 3 4 3 2" xfId="29481"/>
    <cellStyle name="Normal 7 4 2 3 4 3 2 2" xfId="29482"/>
    <cellStyle name="Normal 7 4 2 3 4 3 3" xfId="29483"/>
    <cellStyle name="Normal 7 4 2 3 4 3 3 2" xfId="29484"/>
    <cellStyle name="Normal 7 4 2 3 4 3 4" xfId="29485"/>
    <cellStyle name="Normal 7 4 2 3 4 3 4 2" xfId="29486"/>
    <cellStyle name="Normal 7 4 2 3 4 3 5" xfId="29487"/>
    <cellStyle name="Normal 7 4 2 3 4 4" xfId="29488"/>
    <cellStyle name="Normal 7 4 2 3 4 4 2" xfId="29489"/>
    <cellStyle name="Normal 7 4 2 3 4 4 2 2" xfId="29490"/>
    <cellStyle name="Normal 7 4 2 3 4 4 3" xfId="29491"/>
    <cellStyle name="Normal 7 4 2 3 4 4 3 2" xfId="29492"/>
    <cellStyle name="Normal 7 4 2 3 4 4 4" xfId="29493"/>
    <cellStyle name="Normal 7 4 2 3 4 4 4 2" xfId="29494"/>
    <cellStyle name="Normal 7 4 2 3 4 4 5" xfId="29495"/>
    <cellStyle name="Normal 7 4 2 3 4 5" xfId="29496"/>
    <cellStyle name="Normal 7 4 2 3 4 5 2" xfId="29497"/>
    <cellStyle name="Normal 7 4 2 3 4 6" xfId="29498"/>
    <cellStyle name="Normal 7 4 2 3 4 6 2" xfId="29499"/>
    <cellStyle name="Normal 7 4 2 3 4 7" xfId="29500"/>
    <cellStyle name="Normal 7 4 2 3 4 7 2" xfId="29501"/>
    <cellStyle name="Normal 7 4 2 3 4 8" xfId="29502"/>
    <cellStyle name="Normal 7 4 2 3 5" xfId="29503"/>
    <cellStyle name="Normal 7 4 2 3 5 2" xfId="29504"/>
    <cellStyle name="Normal 7 4 2 3 5 2 2" xfId="29505"/>
    <cellStyle name="Normal 7 4 2 3 5 2 2 2" xfId="29506"/>
    <cellStyle name="Normal 7 4 2 3 5 2 2 2 2" xfId="29507"/>
    <cellStyle name="Normal 7 4 2 3 5 2 2 3" xfId="29508"/>
    <cellStyle name="Normal 7 4 2 3 5 2 2 3 2" xfId="29509"/>
    <cellStyle name="Normal 7 4 2 3 5 2 2 4" xfId="29510"/>
    <cellStyle name="Normal 7 4 2 3 5 2 2 4 2" xfId="29511"/>
    <cellStyle name="Normal 7 4 2 3 5 2 2 5" xfId="29512"/>
    <cellStyle name="Normal 7 4 2 3 5 2 3" xfId="29513"/>
    <cellStyle name="Normal 7 4 2 3 5 2 3 2" xfId="29514"/>
    <cellStyle name="Normal 7 4 2 3 5 2 3 2 2" xfId="29515"/>
    <cellStyle name="Normal 7 4 2 3 5 2 3 3" xfId="29516"/>
    <cellStyle name="Normal 7 4 2 3 5 2 3 3 2" xfId="29517"/>
    <cellStyle name="Normal 7 4 2 3 5 2 3 4" xfId="29518"/>
    <cellStyle name="Normal 7 4 2 3 5 2 3 4 2" xfId="29519"/>
    <cellStyle name="Normal 7 4 2 3 5 2 3 5" xfId="29520"/>
    <cellStyle name="Normal 7 4 2 3 5 2 4" xfId="29521"/>
    <cellStyle name="Normal 7 4 2 3 5 2 4 2" xfId="29522"/>
    <cellStyle name="Normal 7 4 2 3 5 2 5" xfId="29523"/>
    <cellStyle name="Normal 7 4 2 3 5 2 5 2" xfId="29524"/>
    <cellStyle name="Normal 7 4 2 3 5 2 6" xfId="29525"/>
    <cellStyle name="Normal 7 4 2 3 5 2 6 2" xfId="29526"/>
    <cellStyle name="Normal 7 4 2 3 5 2 7" xfId="29527"/>
    <cellStyle name="Normal 7 4 2 3 5 3" xfId="29528"/>
    <cellStyle name="Normal 7 4 2 3 5 3 2" xfId="29529"/>
    <cellStyle name="Normal 7 4 2 3 5 3 2 2" xfId="29530"/>
    <cellStyle name="Normal 7 4 2 3 5 3 3" xfId="29531"/>
    <cellStyle name="Normal 7 4 2 3 5 3 3 2" xfId="29532"/>
    <cellStyle name="Normal 7 4 2 3 5 3 4" xfId="29533"/>
    <cellStyle name="Normal 7 4 2 3 5 3 4 2" xfId="29534"/>
    <cellStyle name="Normal 7 4 2 3 5 3 5" xfId="29535"/>
    <cellStyle name="Normal 7 4 2 3 5 4" xfId="29536"/>
    <cellStyle name="Normal 7 4 2 3 5 4 2" xfId="29537"/>
    <cellStyle name="Normal 7 4 2 3 5 4 2 2" xfId="29538"/>
    <cellStyle name="Normal 7 4 2 3 5 4 3" xfId="29539"/>
    <cellStyle name="Normal 7 4 2 3 5 4 3 2" xfId="29540"/>
    <cellStyle name="Normal 7 4 2 3 5 4 4" xfId="29541"/>
    <cellStyle name="Normal 7 4 2 3 5 4 4 2" xfId="29542"/>
    <cellStyle name="Normal 7 4 2 3 5 4 5" xfId="29543"/>
    <cellStyle name="Normal 7 4 2 3 5 5" xfId="29544"/>
    <cellStyle name="Normal 7 4 2 3 5 5 2" xfId="29545"/>
    <cellStyle name="Normal 7 4 2 3 5 6" xfId="29546"/>
    <cellStyle name="Normal 7 4 2 3 5 6 2" xfId="29547"/>
    <cellStyle name="Normal 7 4 2 3 5 7" xfId="29548"/>
    <cellStyle name="Normal 7 4 2 3 5 7 2" xfId="29549"/>
    <cellStyle name="Normal 7 4 2 3 5 8" xfId="29550"/>
    <cellStyle name="Normal 7 4 2 3 6" xfId="29551"/>
    <cellStyle name="Normal 7 4 2 3 6 2" xfId="29552"/>
    <cellStyle name="Normal 7 4 2 3 6 2 2" xfId="29553"/>
    <cellStyle name="Normal 7 4 2 3 6 2 2 2" xfId="29554"/>
    <cellStyle name="Normal 7 4 2 3 6 2 2 2 2" xfId="29555"/>
    <cellStyle name="Normal 7 4 2 3 6 2 2 3" xfId="29556"/>
    <cellStyle name="Normal 7 4 2 3 6 2 2 3 2" xfId="29557"/>
    <cellStyle name="Normal 7 4 2 3 6 2 2 4" xfId="29558"/>
    <cellStyle name="Normal 7 4 2 3 6 2 2 4 2" xfId="29559"/>
    <cellStyle name="Normal 7 4 2 3 6 2 2 5" xfId="29560"/>
    <cellStyle name="Normal 7 4 2 3 6 2 3" xfId="29561"/>
    <cellStyle name="Normal 7 4 2 3 6 2 3 2" xfId="29562"/>
    <cellStyle name="Normal 7 4 2 3 6 2 3 2 2" xfId="29563"/>
    <cellStyle name="Normal 7 4 2 3 6 2 3 3" xfId="29564"/>
    <cellStyle name="Normal 7 4 2 3 6 2 3 3 2" xfId="29565"/>
    <cellStyle name="Normal 7 4 2 3 6 2 3 4" xfId="29566"/>
    <cellStyle name="Normal 7 4 2 3 6 2 3 4 2" xfId="29567"/>
    <cellStyle name="Normal 7 4 2 3 6 2 3 5" xfId="29568"/>
    <cellStyle name="Normal 7 4 2 3 6 2 4" xfId="29569"/>
    <cellStyle name="Normal 7 4 2 3 6 2 4 2" xfId="29570"/>
    <cellStyle name="Normal 7 4 2 3 6 2 5" xfId="29571"/>
    <cellStyle name="Normal 7 4 2 3 6 2 5 2" xfId="29572"/>
    <cellStyle name="Normal 7 4 2 3 6 2 6" xfId="29573"/>
    <cellStyle name="Normal 7 4 2 3 6 2 6 2" xfId="29574"/>
    <cellStyle name="Normal 7 4 2 3 6 2 7" xfId="29575"/>
    <cellStyle name="Normal 7 4 2 3 6 3" xfId="29576"/>
    <cellStyle name="Normal 7 4 2 3 6 3 2" xfId="29577"/>
    <cellStyle name="Normal 7 4 2 3 6 3 2 2" xfId="29578"/>
    <cellStyle name="Normal 7 4 2 3 6 3 3" xfId="29579"/>
    <cellStyle name="Normal 7 4 2 3 6 3 3 2" xfId="29580"/>
    <cellStyle name="Normal 7 4 2 3 6 3 4" xfId="29581"/>
    <cellStyle name="Normal 7 4 2 3 6 3 4 2" xfId="29582"/>
    <cellStyle name="Normal 7 4 2 3 6 3 5" xfId="29583"/>
    <cellStyle name="Normal 7 4 2 3 6 4" xfId="29584"/>
    <cellStyle name="Normal 7 4 2 3 6 4 2" xfId="29585"/>
    <cellStyle name="Normal 7 4 2 3 6 4 2 2" xfId="29586"/>
    <cellStyle name="Normal 7 4 2 3 6 4 3" xfId="29587"/>
    <cellStyle name="Normal 7 4 2 3 6 4 3 2" xfId="29588"/>
    <cellStyle name="Normal 7 4 2 3 6 4 4" xfId="29589"/>
    <cellStyle name="Normal 7 4 2 3 6 4 4 2" xfId="29590"/>
    <cellStyle name="Normal 7 4 2 3 6 4 5" xfId="29591"/>
    <cellStyle name="Normal 7 4 2 3 6 5" xfId="29592"/>
    <cellStyle name="Normal 7 4 2 3 6 5 2" xfId="29593"/>
    <cellStyle name="Normal 7 4 2 3 6 6" xfId="29594"/>
    <cellStyle name="Normal 7 4 2 3 6 6 2" xfId="29595"/>
    <cellStyle name="Normal 7 4 2 3 6 7" xfId="29596"/>
    <cellStyle name="Normal 7 4 2 3 6 7 2" xfId="29597"/>
    <cellStyle name="Normal 7 4 2 3 6 8" xfId="29598"/>
    <cellStyle name="Normal 7 4 2 3 7" xfId="29599"/>
    <cellStyle name="Normal 7 4 2 3 7 2" xfId="29600"/>
    <cellStyle name="Normal 7 4 2 3 7 2 2" xfId="29601"/>
    <cellStyle name="Normal 7 4 2 3 7 2 2 2" xfId="29602"/>
    <cellStyle name="Normal 7 4 2 3 7 2 2 2 2" xfId="29603"/>
    <cellStyle name="Normal 7 4 2 3 7 2 2 3" xfId="29604"/>
    <cellStyle name="Normal 7 4 2 3 7 2 2 3 2" xfId="29605"/>
    <cellStyle name="Normal 7 4 2 3 7 2 2 4" xfId="29606"/>
    <cellStyle name="Normal 7 4 2 3 7 2 2 4 2" xfId="29607"/>
    <cellStyle name="Normal 7 4 2 3 7 2 2 5" xfId="29608"/>
    <cellStyle name="Normal 7 4 2 3 7 2 3" xfId="29609"/>
    <cellStyle name="Normal 7 4 2 3 7 2 3 2" xfId="29610"/>
    <cellStyle name="Normal 7 4 2 3 7 2 3 2 2" xfId="29611"/>
    <cellStyle name="Normal 7 4 2 3 7 2 3 3" xfId="29612"/>
    <cellStyle name="Normal 7 4 2 3 7 2 3 3 2" xfId="29613"/>
    <cellStyle name="Normal 7 4 2 3 7 2 3 4" xfId="29614"/>
    <cellStyle name="Normal 7 4 2 3 7 2 3 4 2" xfId="29615"/>
    <cellStyle name="Normal 7 4 2 3 7 2 3 5" xfId="29616"/>
    <cellStyle name="Normal 7 4 2 3 7 2 4" xfId="29617"/>
    <cellStyle name="Normal 7 4 2 3 7 2 4 2" xfId="29618"/>
    <cellStyle name="Normal 7 4 2 3 7 2 5" xfId="29619"/>
    <cellStyle name="Normal 7 4 2 3 7 2 5 2" xfId="29620"/>
    <cellStyle name="Normal 7 4 2 3 7 2 6" xfId="29621"/>
    <cellStyle name="Normal 7 4 2 3 7 2 6 2" xfId="29622"/>
    <cellStyle name="Normal 7 4 2 3 7 2 7" xfId="29623"/>
    <cellStyle name="Normal 7 4 2 3 7 3" xfId="29624"/>
    <cellStyle name="Normal 7 4 2 3 7 3 2" xfId="29625"/>
    <cellStyle name="Normal 7 4 2 3 7 3 2 2" xfId="29626"/>
    <cellStyle name="Normal 7 4 2 3 7 3 3" xfId="29627"/>
    <cellStyle name="Normal 7 4 2 3 7 3 3 2" xfId="29628"/>
    <cellStyle name="Normal 7 4 2 3 7 3 4" xfId="29629"/>
    <cellStyle name="Normal 7 4 2 3 7 3 4 2" xfId="29630"/>
    <cellStyle name="Normal 7 4 2 3 7 3 5" xfId="29631"/>
    <cellStyle name="Normal 7 4 2 3 7 4" xfId="29632"/>
    <cellStyle name="Normal 7 4 2 3 7 4 2" xfId="29633"/>
    <cellStyle name="Normal 7 4 2 3 7 4 2 2" xfId="29634"/>
    <cellStyle name="Normal 7 4 2 3 7 4 3" xfId="29635"/>
    <cellStyle name="Normal 7 4 2 3 7 4 3 2" xfId="29636"/>
    <cellStyle name="Normal 7 4 2 3 7 4 4" xfId="29637"/>
    <cellStyle name="Normal 7 4 2 3 7 4 4 2" xfId="29638"/>
    <cellStyle name="Normal 7 4 2 3 7 4 5" xfId="29639"/>
    <cellStyle name="Normal 7 4 2 3 7 5" xfId="29640"/>
    <cellStyle name="Normal 7 4 2 3 7 5 2" xfId="29641"/>
    <cellStyle name="Normal 7 4 2 3 7 6" xfId="29642"/>
    <cellStyle name="Normal 7 4 2 3 7 6 2" xfId="29643"/>
    <cellStyle name="Normal 7 4 2 3 7 7" xfId="29644"/>
    <cellStyle name="Normal 7 4 2 3 7 7 2" xfId="29645"/>
    <cellStyle name="Normal 7 4 2 3 7 8" xfId="29646"/>
    <cellStyle name="Normal 7 4 2 3 8" xfId="29647"/>
    <cellStyle name="Normal 7 4 2 3 8 2" xfId="29648"/>
    <cellStyle name="Normal 7 4 2 3 8 2 2" xfId="29649"/>
    <cellStyle name="Normal 7 4 2 3 8 2 2 2" xfId="29650"/>
    <cellStyle name="Normal 7 4 2 3 8 2 3" xfId="29651"/>
    <cellStyle name="Normal 7 4 2 3 8 2 3 2" xfId="29652"/>
    <cellStyle name="Normal 7 4 2 3 8 2 4" xfId="29653"/>
    <cellStyle name="Normal 7 4 2 3 8 2 4 2" xfId="29654"/>
    <cellStyle name="Normal 7 4 2 3 8 2 5" xfId="29655"/>
    <cellStyle name="Normal 7 4 2 3 8 3" xfId="29656"/>
    <cellStyle name="Normal 7 4 2 3 8 3 2" xfId="29657"/>
    <cellStyle name="Normal 7 4 2 3 8 3 2 2" xfId="29658"/>
    <cellStyle name="Normal 7 4 2 3 8 3 3" xfId="29659"/>
    <cellStyle name="Normal 7 4 2 3 8 3 3 2" xfId="29660"/>
    <cellStyle name="Normal 7 4 2 3 8 3 4" xfId="29661"/>
    <cellStyle name="Normal 7 4 2 3 8 3 4 2" xfId="29662"/>
    <cellStyle name="Normal 7 4 2 3 8 3 5" xfId="29663"/>
    <cellStyle name="Normal 7 4 2 3 8 4" xfId="29664"/>
    <cellStyle name="Normal 7 4 2 3 8 4 2" xfId="29665"/>
    <cellStyle name="Normal 7 4 2 3 8 5" xfId="29666"/>
    <cellStyle name="Normal 7 4 2 3 8 5 2" xfId="29667"/>
    <cellStyle name="Normal 7 4 2 3 8 6" xfId="29668"/>
    <cellStyle name="Normal 7 4 2 3 8 6 2" xfId="29669"/>
    <cellStyle name="Normal 7 4 2 3 8 7" xfId="29670"/>
    <cellStyle name="Normal 7 4 2 3 9" xfId="29671"/>
    <cellStyle name="Normal 7 4 2 3 9 2" xfId="29672"/>
    <cellStyle name="Normal 7 4 2 3 9 2 2" xfId="29673"/>
    <cellStyle name="Normal 7 4 2 3 9 3" xfId="29674"/>
    <cellStyle name="Normal 7 4 2 3 9 3 2" xfId="29675"/>
    <cellStyle name="Normal 7 4 2 3 9 4" xfId="29676"/>
    <cellStyle name="Normal 7 4 2 3 9 4 2" xfId="29677"/>
    <cellStyle name="Normal 7 4 2 3 9 5" xfId="29678"/>
    <cellStyle name="Normal 7 4 2 4" xfId="29679"/>
    <cellStyle name="Normal 7 4 2 4 10" xfId="29680"/>
    <cellStyle name="Normal 7 4 2 4 10 2" xfId="29681"/>
    <cellStyle name="Normal 7 4 2 4 10 2 2" xfId="29682"/>
    <cellStyle name="Normal 7 4 2 4 10 3" xfId="29683"/>
    <cellStyle name="Normal 7 4 2 4 10 3 2" xfId="29684"/>
    <cellStyle name="Normal 7 4 2 4 10 4" xfId="29685"/>
    <cellStyle name="Normal 7 4 2 4 10 4 2" xfId="29686"/>
    <cellStyle name="Normal 7 4 2 4 10 5" xfId="29687"/>
    <cellStyle name="Normal 7 4 2 4 11" xfId="29688"/>
    <cellStyle name="Normal 7 4 2 4 11 2" xfId="29689"/>
    <cellStyle name="Normal 7 4 2 4 12" xfId="29690"/>
    <cellStyle name="Normal 7 4 2 4 12 2" xfId="29691"/>
    <cellStyle name="Normal 7 4 2 4 13" xfId="29692"/>
    <cellStyle name="Normal 7 4 2 4 13 2" xfId="29693"/>
    <cellStyle name="Normal 7 4 2 4 14" xfId="29694"/>
    <cellStyle name="Normal 7 4 2 4 2" xfId="29695"/>
    <cellStyle name="Normal 7 4 2 4 2 10" xfId="29696"/>
    <cellStyle name="Normal 7 4 2 4 2 10 2" xfId="29697"/>
    <cellStyle name="Normal 7 4 2 4 2 11" xfId="29698"/>
    <cellStyle name="Normal 7 4 2 4 2 11 2" xfId="29699"/>
    <cellStyle name="Normal 7 4 2 4 2 12" xfId="29700"/>
    <cellStyle name="Normal 7 4 2 4 2 12 2" xfId="29701"/>
    <cellStyle name="Normal 7 4 2 4 2 13" xfId="29702"/>
    <cellStyle name="Normal 7 4 2 4 2 2" xfId="29703"/>
    <cellStyle name="Normal 7 4 2 4 2 2 2" xfId="29704"/>
    <cellStyle name="Normal 7 4 2 4 2 2 2 2" xfId="29705"/>
    <cellStyle name="Normal 7 4 2 4 2 2 2 2 2" xfId="29706"/>
    <cellStyle name="Normal 7 4 2 4 2 2 2 2 2 2" xfId="29707"/>
    <cellStyle name="Normal 7 4 2 4 2 2 2 2 3" xfId="29708"/>
    <cellStyle name="Normal 7 4 2 4 2 2 2 2 3 2" xfId="29709"/>
    <cellStyle name="Normal 7 4 2 4 2 2 2 2 4" xfId="29710"/>
    <cellStyle name="Normal 7 4 2 4 2 2 2 2 4 2" xfId="29711"/>
    <cellStyle name="Normal 7 4 2 4 2 2 2 2 5" xfId="29712"/>
    <cellStyle name="Normal 7 4 2 4 2 2 2 3" xfId="29713"/>
    <cellStyle name="Normal 7 4 2 4 2 2 2 3 2" xfId="29714"/>
    <cellStyle name="Normal 7 4 2 4 2 2 2 3 2 2" xfId="29715"/>
    <cellStyle name="Normal 7 4 2 4 2 2 2 3 3" xfId="29716"/>
    <cellStyle name="Normal 7 4 2 4 2 2 2 3 3 2" xfId="29717"/>
    <cellStyle name="Normal 7 4 2 4 2 2 2 3 4" xfId="29718"/>
    <cellStyle name="Normal 7 4 2 4 2 2 2 3 4 2" xfId="29719"/>
    <cellStyle name="Normal 7 4 2 4 2 2 2 3 5" xfId="29720"/>
    <cellStyle name="Normal 7 4 2 4 2 2 2 4" xfId="29721"/>
    <cellStyle name="Normal 7 4 2 4 2 2 2 4 2" xfId="29722"/>
    <cellStyle name="Normal 7 4 2 4 2 2 2 5" xfId="29723"/>
    <cellStyle name="Normal 7 4 2 4 2 2 2 5 2" xfId="29724"/>
    <cellStyle name="Normal 7 4 2 4 2 2 2 6" xfId="29725"/>
    <cellStyle name="Normal 7 4 2 4 2 2 2 6 2" xfId="29726"/>
    <cellStyle name="Normal 7 4 2 4 2 2 2 7" xfId="29727"/>
    <cellStyle name="Normal 7 4 2 4 2 2 3" xfId="29728"/>
    <cellStyle name="Normal 7 4 2 4 2 2 3 2" xfId="29729"/>
    <cellStyle name="Normal 7 4 2 4 2 2 3 2 2" xfId="29730"/>
    <cellStyle name="Normal 7 4 2 4 2 2 3 3" xfId="29731"/>
    <cellStyle name="Normal 7 4 2 4 2 2 3 3 2" xfId="29732"/>
    <cellStyle name="Normal 7 4 2 4 2 2 3 4" xfId="29733"/>
    <cellStyle name="Normal 7 4 2 4 2 2 3 4 2" xfId="29734"/>
    <cellStyle name="Normal 7 4 2 4 2 2 3 5" xfId="29735"/>
    <cellStyle name="Normal 7 4 2 4 2 2 4" xfId="29736"/>
    <cellStyle name="Normal 7 4 2 4 2 2 4 2" xfId="29737"/>
    <cellStyle name="Normal 7 4 2 4 2 2 4 2 2" xfId="29738"/>
    <cellStyle name="Normal 7 4 2 4 2 2 4 3" xfId="29739"/>
    <cellStyle name="Normal 7 4 2 4 2 2 4 3 2" xfId="29740"/>
    <cellStyle name="Normal 7 4 2 4 2 2 4 4" xfId="29741"/>
    <cellStyle name="Normal 7 4 2 4 2 2 4 4 2" xfId="29742"/>
    <cellStyle name="Normal 7 4 2 4 2 2 4 5" xfId="29743"/>
    <cellStyle name="Normal 7 4 2 4 2 2 5" xfId="29744"/>
    <cellStyle name="Normal 7 4 2 4 2 2 5 2" xfId="29745"/>
    <cellStyle name="Normal 7 4 2 4 2 2 6" xfId="29746"/>
    <cellStyle name="Normal 7 4 2 4 2 2 6 2" xfId="29747"/>
    <cellStyle name="Normal 7 4 2 4 2 2 7" xfId="29748"/>
    <cellStyle name="Normal 7 4 2 4 2 2 7 2" xfId="29749"/>
    <cellStyle name="Normal 7 4 2 4 2 2 8" xfId="29750"/>
    <cellStyle name="Normal 7 4 2 4 2 3" xfId="29751"/>
    <cellStyle name="Normal 7 4 2 4 2 3 2" xfId="29752"/>
    <cellStyle name="Normal 7 4 2 4 2 3 2 2" xfId="29753"/>
    <cellStyle name="Normal 7 4 2 4 2 3 2 2 2" xfId="29754"/>
    <cellStyle name="Normal 7 4 2 4 2 3 2 2 2 2" xfId="29755"/>
    <cellStyle name="Normal 7 4 2 4 2 3 2 2 3" xfId="29756"/>
    <cellStyle name="Normal 7 4 2 4 2 3 2 2 3 2" xfId="29757"/>
    <cellStyle name="Normal 7 4 2 4 2 3 2 2 4" xfId="29758"/>
    <cellStyle name="Normal 7 4 2 4 2 3 2 2 4 2" xfId="29759"/>
    <cellStyle name="Normal 7 4 2 4 2 3 2 2 5" xfId="29760"/>
    <cellStyle name="Normal 7 4 2 4 2 3 2 3" xfId="29761"/>
    <cellStyle name="Normal 7 4 2 4 2 3 2 3 2" xfId="29762"/>
    <cellStyle name="Normal 7 4 2 4 2 3 2 3 2 2" xfId="29763"/>
    <cellStyle name="Normal 7 4 2 4 2 3 2 3 3" xfId="29764"/>
    <cellStyle name="Normal 7 4 2 4 2 3 2 3 3 2" xfId="29765"/>
    <cellStyle name="Normal 7 4 2 4 2 3 2 3 4" xfId="29766"/>
    <cellStyle name="Normal 7 4 2 4 2 3 2 3 4 2" xfId="29767"/>
    <cellStyle name="Normal 7 4 2 4 2 3 2 3 5" xfId="29768"/>
    <cellStyle name="Normal 7 4 2 4 2 3 2 4" xfId="29769"/>
    <cellStyle name="Normal 7 4 2 4 2 3 2 4 2" xfId="29770"/>
    <cellStyle name="Normal 7 4 2 4 2 3 2 5" xfId="29771"/>
    <cellStyle name="Normal 7 4 2 4 2 3 2 5 2" xfId="29772"/>
    <cellStyle name="Normal 7 4 2 4 2 3 2 6" xfId="29773"/>
    <cellStyle name="Normal 7 4 2 4 2 3 2 6 2" xfId="29774"/>
    <cellStyle name="Normal 7 4 2 4 2 3 2 7" xfId="29775"/>
    <cellStyle name="Normal 7 4 2 4 2 3 3" xfId="29776"/>
    <cellStyle name="Normal 7 4 2 4 2 3 3 2" xfId="29777"/>
    <cellStyle name="Normal 7 4 2 4 2 3 3 2 2" xfId="29778"/>
    <cellStyle name="Normal 7 4 2 4 2 3 3 3" xfId="29779"/>
    <cellStyle name="Normal 7 4 2 4 2 3 3 3 2" xfId="29780"/>
    <cellStyle name="Normal 7 4 2 4 2 3 3 4" xfId="29781"/>
    <cellStyle name="Normal 7 4 2 4 2 3 3 4 2" xfId="29782"/>
    <cellStyle name="Normal 7 4 2 4 2 3 3 5" xfId="29783"/>
    <cellStyle name="Normal 7 4 2 4 2 3 4" xfId="29784"/>
    <cellStyle name="Normal 7 4 2 4 2 3 4 2" xfId="29785"/>
    <cellStyle name="Normal 7 4 2 4 2 3 4 2 2" xfId="29786"/>
    <cellStyle name="Normal 7 4 2 4 2 3 4 3" xfId="29787"/>
    <cellStyle name="Normal 7 4 2 4 2 3 4 3 2" xfId="29788"/>
    <cellStyle name="Normal 7 4 2 4 2 3 4 4" xfId="29789"/>
    <cellStyle name="Normal 7 4 2 4 2 3 4 4 2" xfId="29790"/>
    <cellStyle name="Normal 7 4 2 4 2 3 4 5" xfId="29791"/>
    <cellStyle name="Normal 7 4 2 4 2 3 5" xfId="29792"/>
    <cellStyle name="Normal 7 4 2 4 2 3 5 2" xfId="29793"/>
    <cellStyle name="Normal 7 4 2 4 2 3 6" xfId="29794"/>
    <cellStyle name="Normal 7 4 2 4 2 3 6 2" xfId="29795"/>
    <cellStyle name="Normal 7 4 2 4 2 3 7" xfId="29796"/>
    <cellStyle name="Normal 7 4 2 4 2 3 7 2" xfId="29797"/>
    <cellStyle name="Normal 7 4 2 4 2 3 8" xfId="29798"/>
    <cellStyle name="Normal 7 4 2 4 2 4" xfId="29799"/>
    <cellStyle name="Normal 7 4 2 4 2 4 2" xfId="29800"/>
    <cellStyle name="Normal 7 4 2 4 2 4 2 2" xfId="29801"/>
    <cellStyle name="Normal 7 4 2 4 2 4 2 2 2" xfId="29802"/>
    <cellStyle name="Normal 7 4 2 4 2 4 2 2 2 2" xfId="29803"/>
    <cellStyle name="Normal 7 4 2 4 2 4 2 2 3" xfId="29804"/>
    <cellStyle name="Normal 7 4 2 4 2 4 2 2 3 2" xfId="29805"/>
    <cellStyle name="Normal 7 4 2 4 2 4 2 2 4" xfId="29806"/>
    <cellStyle name="Normal 7 4 2 4 2 4 2 2 4 2" xfId="29807"/>
    <cellStyle name="Normal 7 4 2 4 2 4 2 2 5" xfId="29808"/>
    <cellStyle name="Normal 7 4 2 4 2 4 2 3" xfId="29809"/>
    <cellStyle name="Normal 7 4 2 4 2 4 2 3 2" xfId="29810"/>
    <cellStyle name="Normal 7 4 2 4 2 4 2 3 2 2" xfId="29811"/>
    <cellStyle name="Normal 7 4 2 4 2 4 2 3 3" xfId="29812"/>
    <cellStyle name="Normal 7 4 2 4 2 4 2 3 3 2" xfId="29813"/>
    <cellStyle name="Normal 7 4 2 4 2 4 2 3 4" xfId="29814"/>
    <cellStyle name="Normal 7 4 2 4 2 4 2 3 4 2" xfId="29815"/>
    <cellStyle name="Normal 7 4 2 4 2 4 2 3 5" xfId="29816"/>
    <cellStyle name="Normal 7 4 2 4 2 4 2 4" xfId="29817"/>
    <cellStyle name="Normal 7 4 2 4 2 4 2 4 2" xfId="29818"/>
    <cellStyle name="Normal 7 4 2 4 2 4 2 5" xfId="29819"/>
    <cellStyle name="Normal 7 4 2 4 2 4 2 5 2" xfId="29820"/>
    <cellStyle name="Normal 7 4 2 4 2 4 2 6" xfId="29821"/>
    <cellStyle name="Normal 7 4 2 4 2 4 2 6 2" xfId="29822"/>
    <cellStyle name="Normal 7 4 2 4 2 4 2 7" xfId="29823"/>
    <cellStyle name="Normal 7 4 2 4 2 4 3" xfId="29824"/>
    <cellStyle name="Normal 7 4 2 4 2 4 3 2" xfId="29825"/>
    <cellStyle name="Normal 7 4 2 4 2 4 3 2 2" xfId="29826"/>
    <cellStyle name="Normal 7 4 2 4 2 4 3 3" xfId="29827"/>
    <cellStyle name="Normal 7 4 2 4 2 4 3 3 2" xfId="29828"/>
    <cellStyle name="Normal 7 4 2 4 2 4 3 4" xfId="29829"/>
    <cellStyle name="Normal 7 4 2 4 2 4 3 4 2" xfId="29830"/>
    <cellStyle name="Normal 7 4 2 4 2 4 3 5" xfId="29831"/>
    <cellStyle name="Normal 7 4 2 4 2 4 4" xfId="29832"/>
    <cellStyle name="Normal 7 4 2 4 2 4 4 2" xfId="29833"/>
    <cellStyle name="Normal 7 4 2 4 2 4 4 2 2" xfId="29834"/>
    <cellStyle name="Normal 7 4 2 4 2 4 4 3" xfId="29835"/>
    <cellStyle name="Normal 7 4 2 4 2 4 4 3 2" xfId="29836"/>
    <cellStyle name="Normal 7 4 2 4 2 4 4 4" xfId="29837"/>
    <cellStyle name="Normal 7 4 2 4 2 4 4 4 2" xfId="29838"/>
    <cellStyle name="Normal 7 4 2 4 2 4 4 5" xfId="29839"/>
    <cellStyle name="Normal 7 4 2 4 2 4 5" xfId="29840"/>
    <cellStyle name="Normal 7 4 2 4 2 4 5 2" xfId="29841"/>
    <cellStyle name="Normal 7 4 2 4 2 4 6" xfId="29842"/>
    <cellStyle name="Normal 7 4 2 4 2 4 6 2" xfId="29843"/>
    <cellStyle name="Normal 7 4 2 4 2 4 7" xfId="29844"/>
    <cellStyle name="Normal 7 4 2 4 2 4 7 2" xfId="29845"/>
    <cellStyle name="Normal 7 4 2 4 2 4 8" xfId="29846"/>
    <cellStyle name="Normal 7 4 2 4 2 5" xfId="29847"/>
    <cellStyle name="Normal 7 4 2 4 2 5 2" xfId="29848"/>
    <cellStyle name="Normal 7 4 2 4 2 5 2 2" xfId="29849"/>
    <cellStyle name="Normal 7 4 2 4 2 5 2 2 2" xfId="29850"/>
    <cellStyle name="Normal 7 4 2 4 2 5 2 2 2 2" xfId="29851"/>
    <cellStyle name="Normal 7 4 2 4 2 5 2 2 3" xfId="29852"/>
    <cellStyle name="Normal 7 4 2 4 2 5 2 2 3 2" xfId="29853"/>
    <cellStyle name="Normal 7 4 2 4 2 5 2 2 4" xfId="29854"/>
    <cellStyle name="Normal 7 4 2 4 2 5 2 2 4 2" xfId="29855"/>
    <cellStyle name="Normal 7 4 2 4 2 5 2 2 5" xfId="29856"/>
    <cellStyle name="Normal 7 4 2 4 2 5 2 3" xfId="29857"/>
    <cellStyle name="Normal 7 4 2 4 2 5 2 3 2" xfId="29858"/>
    <cellStyle name="Normal 7 4 2 4 2 5 2 3 2 2" xfId="29859"/>
    <cellStyle name="Normal 7 4 2 4 2 5 2 3 3" xfId="29860"/>
    <cellStyle name="Normal 7 4 2 4 2 5 2 3 3 2" xfId="29861"/>
    <cellStyle name="Normal 7 4 2 4 2 5 2 3 4" xfId="29862"/>
    <cellStyle name="Normal 7 4 2 4 2 5 2 3 4 2" xfId="29863"/>
    <cellStyle name="Normal 7 4 2 4 2 5 2 3 5" xfId="29864"/>
    <cellStyle name="Normal 7 4 2 4 2 5 2 4" xfId="29865"/>
    <cellStyle name="Normal 7 4 2 4 2 5 2 4 2" xfId="29866"/>
    <cellStyle name="Normal 7 4 2 4 2 5 2 5" xfId="29867"/>
    <cellStyle name="Normal 7 4 2 4 2 5 2 5 2" xfId="29868"/>
    <cellStyle name="Normal 7 4 2 4 2 5 2 6" xfId="29869"/>
    <cellStyle name="Normal 7 4 2 4 2 5 2 6 2" xfId="29870"/>
    <cellStyle name="Normal 7 4 2 4 2 5 2 7" xfId="29871"/>
    <cellStyle name="Normal 7 4 2 4 2 5 3" xfId="29872"/>
    <cellStyle name="Normal 7 4 2 4 2 5 3 2" xfId="29873"/>
    <cellStyle name="Normal 7 4 2 4 2 5 3 2 2" xfId="29874"/>
    <cellStyle name="Normal 7 4 2 4 2 5 3 3" xfId="29875"/>
    <cellStyle name="Normal 7 4 2 4 2 5 3 3 2" xfId="29876"/>
    <cellStyle name="Normal 7 4 2 4 2 5 3 4" xfId="29877"/>
    <cellStyle name="Normal 7 4 2 4 2 5 3 4 2" xfId="29878"/>
    <cellStyle name="Normal 7 4 2 4 2 5 3 5" xfId="29879"/>
    <cellStyle name="Normal 7 4 2 4 2 5 4" xfId="29880"/>
    <cellStyle name="Normal 7 4 2 4 2 5 4 2" xfId="29881"/>
    <cellStyle name="Normal 7 4 2 4 2 5 4 2 2" xfId="29882"/>
    <cellStyle name="Normal 7 4 2 4 2 5 4 3" xfId="29883"/>
    <cellStyle name="Normal 7 4 2 4 2 5 4 3 2" xfId="29884"/>
    <cellStyle name="Normal 7 4 2 4 2 5 4 4" xfId="29885"/>
    <cellStyle name="Normal 7 4 2 4 2 5 4 4 2" xfId="29886"/>
    <cellStyle name="Normal 7 4 2 4 2 5 4 5" xfId="29887"/>
    <cellStyle name="Normal 7 4 2 4 2 5 5" xfId="29888"/>
    <cellStyle name="Normal 7 4 2 4 2 5 5 2" xfId="29889"/>
    <cellStyle name="Normal 7 4 2 4 2 5 6" xfId="29890"/>
    <cellStyle name="Normal 7 4 2 4 2 5 6 2" xfId="29891"/>
    <cellStyle name="Normal 7 4 2 4 2 5 7" xfId="29892"/>
    <cellStyle name="Normal 7 4 2 4 2 5 7 2" xfId="29893"/>
    <cellStyle name="Normal 7 4 2 4 2 5 8" xfId="29894"/>
    <cellStyle name="Normal 7 4 2 4 2 6" xfId="29895"/>
    <cellStyle name="Normal 7 4 2 4 2 6 2" xfId="29896"/>
    <cellStyle name="Normal 7 4 2 4 2 6 2 2" xfId="29897"/>
    <cellStyle name="Normal 7 4 2 4 2 6 2 2 2" xfId="29898"/>
    <cellStyle name="Normal 7 4 2 4 2 6 2 2 2 2" xfId="29899"/>
    <cellStyle name="Normal 7 4 2 4 2 6 2 2 3" xfId="29900"/>
    <cellStyle name="Normal 7 4 2 4 2 6 2 2 3 2" xfId="29901"/>
    <cellStyle name="Normal 7 4 2 4 2 6 2 2 4" xfId="29902"/>
    <cellStyle name="Normal 7 4 2 4 2 6 2 2 4 2" xfId="29903"/>
    <cellStyle name="Normal 7 4 2 4 2 6 2 2 5" xfId="29904"/>
    <cellStyle name="Normal 7 4 2 4 2 6 2 3" xfId="29905"/>
    <cellStyle name="Normal 7 4 2 4 2 6 2 3 2" xfId="29906"/>
    <cellStyle name="Normal 7 4 2 4 2 6 2 3 2 2" xfId="29907"/>
    <cellStyle name="Normal 7 4 2 4 2 6 2 3 3" xfId="29908"/>
    <cellStyle name="Normal 7 4 2 4 2 6 2 3 3 2" xfId="29909"/>
    <cellStyle name="Normal 7 4 2 4 2 6 2 3 4" xfId="29910"/>
    <cellStyle name="Normal 7 4 2 4 2 6 2 3 4 2" xfId="29911"/>
    <cellStyle name="Normal 7 4 2 4 2 6 2 3 5" xfId="29912"/>
    <cellStyle name="Normal 7 4 2 4 2 6 2 4" xfId="29913"/>
    <cellStyle name="Normal 7 4 2 4 2 6 2 4 2" xfId="29914"/>
    <cellStyle name="Normal 7 4 2 4 2 6 2 5" xfId="29915"/>
    <cellStyle name="Normal 7 4 2 4 2 6 2 5 2" xfId="29916"/>
    <cellStyle name="Normal 7 4 2 4 2 6 2 6" xfId="29917"/>
    <cellStyle name="Normal 7 4 2 4 2 6 2 6 2" xfId="29918"/>
    <cellStyle name="Normal 7 4 2 4 2 6 2 7" xfId="29919"/>
    <cellStyle name="Normal 7 4 2 4 2 6 3" xfId="29920"/>
    <cellStyle name="Normal 7 4 2 4 2 6 3 2" xfId="29921"/>
    <cellStyle name="Normal 7 4 2 4 2 6 3 2 2" xfId="29922"/>
    <cellStyle name="Normal 7 4 2 4 2 6 3 3" xfId="29923"/>
    <cellStyle name="Normal 7 4 2 4 2 6 3 3 2" xfId="29924"/>
    <cellStyle name="Normal 7 4 2 4 2 6 3 4" xfId="29925"/>
    <cellStyle name="Normal 7 4 2 4 2 6 3 4 2" xfId="29926"/>
    <cellStyle name="Normal 7 4 2 4 2 6 3 5" xfId="29927"/>
    <cellStyle name="Normal 7 4 2 4 2 6 4" xfId="29928"/>
    <cellStyle name="Normal 7 4 2 4 2 6 4 2" xfId="29929"/>
    <cellStyle name="Normal 7 4 2 4 2 6 4 2 2" xfId="29930"/>
    <cellStyle name="Normal 7 4 2 4 2 6 4 3" xfId="29931"/>
    <cellStyle name="Normal 7 4 2 4 2 6 4 3 2" xfId="29932"/>
    <cellStyle name="Normal 7 4 2 4 2 6 4 4" xfId="29933"/>
    <cellStyle name="Normal 7 4 2 4 2 6 4 4 2" xfId="29934"/>
    <cellStyle name="Normal 7 4 2 4 2 6 4 5" xfId="29935"/>
    <cellStyle name="Normal 7 4 2 4 2 6 5" xfId="29936"/>
    <cellStyle name="Normal 7 4 2 4 2 6 5 2" xfId="29937"/>
    <cellStyle name="Normal 7 4 2 4 2 6 6" xfId="29938"/>
    <cellStyle name="Normal 7 4 2 4 2 6 6 2" xfId="29939"/>
    <cellStyle name="Normal 7 4 2 4 2 6 7" xfId="29940"/>
    <cellStyle name="Normal 7 4 2 4 2 6 7 2" xfId="29941"/>
    <cellStyle name="Normal 7 4 2 4 2 6 8" xfId="29942"/>
    <cellStyle name="Normal 7 4 2 4 2 7" xfId="29943"/>
    <cellStyle name="Normal 7 4 2 4 2 7 2" xfId="29944"/>
    <cellStyle name="Normal 7 4 2 4 2 7 2 2" xfId="29945"/>
    <cellStyle name="Normal 7 4 2 4 2 7 2 2 2" xfId="29946"/>
    <cellStyle name="Normal 7 4 2 4 2 7 2 3" xfId="29947"/>
    <cellStyle name="Normal 7 4 2 4 2 7 2 3 2" xfId="29948"/>
    <cellStyle name="Normal 7 4 2 4 2 7 2 4" xfId="29949"/>
    <cellStyle name="Normal 7 4 2 4 2 7 2 4 2" xfId="29950"/>
    <cellStyle name="Normal 7 4 2 4 2 7 2 5" xfId="29951"/>
    <cellStyle name="Normal 7 4 2 4 2 7 3" xfId="29952"/>
    <cellStyle name="Normal 7 4 2 4 2 7 3 2" xfId="29953"/>
    <cellStyle name="Normal 7 4 2 4 2 7 3 2 2" xfId="29954"/>
    <cellStyle name="Normal 7 4 2 4 2 7 3 3" xfId="29955"/>
    <cellStyle name="Normal 7 4 2 4 2 7 3 3 2" xfId="29956"/>
    <cellStyle name="Normal 7 4 2 4 2 7 3 4" xfId="29957"/>
    <cellStyle name="Normal 7 4 2 4 2 7 3 4 2" xfId="29958"/>
    <cellStyle name="Normal 7 4 2 4 2 7 3 5" xfId="29959"/>
    <cellStyle name="Normal 7 4 2 4 2 7 4" xfId="29960"/>
    <cellStyle name="Normal 7 4 2 4 2 7 4 2" xfId="29961"/>
    <cellStyle name="Normal 7 4 2 4 2 7 5" xfId="29962"/>
    <cellStyle name="Normal 7 4 2 4 2 7 5 2" xfId="29963"/>
    <cellStyle name="Normal 7 4 2 4 2 7 6" xfId="29964"/>
    <cellStyle name="Normal 7 4 2 4 2 7 6 2" xfId="29965"/>
    <cellStyle name="Normal 7 4 2 4 2 7 7" xfId="29966"/>
    <cellStyle name="Normal 7 4 2 4 2 8" xfId="29967"/>
    <cellStyle name="Normal 7 4 2 4 2 8 2" xfId="29968"/>
    <cellStyle name="Normal 7 4 2 4 2 8 2 2" xfId="29969"/>
    <cellStyle name="Normal 7 4 2 4 2 8 3" xfId="29970"/>
    <cellStyle name="Normal 7 4 2 4 2 8 3 2" xfId="29971"/>
    <cellStyle name="Normal 7 4 2 4 2 8 4" xfId="29972"/>
    <cellStyle name="Normal 7 4 2 4 2 8 4 2" xfId="29973"/>
    <cellStyle name="Normal 7 4 2 4 2 8 5" xfId="29974"/>
    <cellStyle name="Normal 7 4 2 4 2 9" xfId="29975"/>
    <cellStyle name="Normal 7 4 2 4 2 9 2" xfId="29976"/>
    <cellStyle name="Normal 7 4 2 4 2 9 2 2" xfId="29977"/>
    <cellStyle name="Normal 7 4 2 4 2 9 3" xfId="29978"/>
    <cellStyle name="Normal 7 4 2 4 2 9 3 2" xfId="29979"/>
    <cellStyle name="Normal 7 4 2 4 2 9 4" xfId="29980"/>
    <cellStyle name="Normal 7 4 2 4 2 9 4 2" xfId="29981"/>
    <cellStyle name="Normal 7 4 2 4 2 9 5" xfId="29982"/>
    <cellStyle name="Normal 7 4 2 4 3" xfId="29983"/>
    <cellStyle name="Normal 7 4 2 4 3 2" xfId="29984"/>
    <cellStyle name="Normal 7 4 2 4 3 2 2" xfId="29985"/>
    <cellStyle name="Normal 7 4 2 4 3 2 2 2" xfId="29986"/>
    <cellStyle name="Normal 7 4 2 4 3 2 2 2 2" xfId="29987"/>
    <cellStyle name="Normal 7 4 2 4 3 2 2 3" xfId="29988"/>
    <cellStyle name="Normal 7 4 2 4 3 2 2 3 2" xfId="29989"/>
    <cellStyle name="Normal 7 4 2 4 3 2 2 4" xfId="29990"/>
    <cellStyle name="Normal 7 4 2 4 3 2 2 4 2" xfId="29991"/>
    <cellStyle name="Normal 7 4 2 4 3 2 2 5" xfId="29992"/>
    <cellStyle name="Normal 7 4 2 4 3 2 3" xfId="29993"/>
    <cellStyle name="Normal 7 4 2 4 3 2 3 2" xfId="29994"/>
    <cellStyle name="Normal 7 4 2 4 3 2 3 2 2" xfId="29995"/>
    <cellStyle name="Normal 7 4 2 4 3 2 3 3" xfId="29996"/>
    <cellStyle name="Normal 7 4 2 4 3 2 3 3 2" xfId="29997"/>
    <cellStyle name="Normal 7 4 2 4 3 2 3 4" xfId="29998"/>
    <cellStyle name="Normal 7 4 2 4 3 2 3 4 2" xfId="29999"/>
    <cellStyle name="Normal 7 4 2 4 3 2 3 5" xfId="30000"/>
    <cellStyle name="Normal 7 4 2 4 3 2 4" xfId="30001"/>
    <cellStyle name="Normal 7 4 2 4 3 2 4 2" xfId="30002"/>
    <cellStyle name="Normal 7 4 2 4 3 2 5" xfId="30003"/>
    <cellStyle name="Normal 7 4 2 4 3 2 5 2" xfId="30004"/>
    <cellStyle name="Normal 7 4 2 4 3 2 6" xfId="30005"/>
    <cellStyle name="Normal 7 4 2 4 3 2 6 2" xfId="30006"/>
    <cellStyle name="Normal 7 4 2 4 3 2 7" xfId="30007"/>
    <cellStyle name="Normal 7 4 2 4 3 3" xfId="30008"/>
    <cellStyle name="Normal 7 4 2 4 3 3 2" xfId="30009"/>
    <cellStyle name="Normal 7 4 2 4 3 3 2 2" xfId="30010"/>
    <cellStyle name="Normal 7 4 2 4 3 3 3" xfId="30011"/>
    <cellStyle name="Normal 7 4 2 4 3 3 3 2" xfId="30012"/>
    <cellStyle name="Normal 7 4 2 4 3 3 4" xfId="30013"/>
    <cellStyle name="Normal 7 4 2 4 3 3 4 2" xfId="30014"/>
    <cellStyle name="Normal 7 4 2 4 3 3 5" xfId="30015"/>
    <cellStyle name="Normal 7 4 2 4 3 4" xfId="30016"/>
    <cellStyle name="Normal 7 4 2 4 3 4 2" xfId="30017"/>
    <cellStyle name="Normal 7 4 2 4 3 4 2 2" xfId="30018"/>
    <cellStyle name="Normal 7 4 2 4 3 4 3" xfId="30019"/>
    <cellStyle name="Normal 7 4 2 4 3 4 3 2" xfId="30020"/>
    <cellStyle name="Normal 7 4 2 4 3 4 4" xfId="30021"/>
    <cellStyle name="Normal 7 4 2 4 3 4 4 2" xfId="30022"/>
    <cellStyle name="Normal 7 4 2 4 3 4 5" xfId="30023"/>
    <cellStyle name="Normal 7 4 2 4 3 5" xfId="30024"/>
    <cellStyle name="Normal 7 4 2 4 3 5 2" xfId="30025"/>
    <cellStyle name="Normal 7 4 2 4 3 6" xfId="30026"/>
    <cellStyle name="Normal 7 4 2 4 3 6 2" xfId="30027"/>
    <cellStyle name="Normal 7 4 2 4 3 7" xfId="30028"/>
    <cellStyle name="Normal 7 4 2 4 3 7 2" xfId="30029"/>
    <cellStyle name="Normal 7 4 2 4 3 8" xfId="30030"/>
    <cellStyle name="Normal 7 4 2 4 4" xfId="30031"/>
    <cellStyle name="Normal 7 4 2 4 4 2" xfId="30032"/>
    <cellStyle name="Normal 7 4 2 4 4 2 2" xfId="30033"/>
    <cellStyle name="Normal 7 4 2 4 4 2 2 2" xfId="30034"/>
    <cellStyle name="Normal 7 4 2 4 4 2 2 2 2" xfId="30035"/>
    <cellStyle name="Normal 7 4 2 4 4 2 2 3" xfId="30036"/>
    <cellStyle name="Normal 7 4 2 4 4 2 2 3 2" xfId="30037"/>
    <cellStyle name="Normal 7 4 2 4 4 2 2 4" xfId="30038"/>
    <cellStyle name="Normal 7 4 2 4 4 2 2 4 2" xfId="30039"/>
    <cellStyle name="Normal 7 4 2 4 4 2 2 5" xfId="30040"/>
    <cellStyle name="Normal 7 4 2 4 4 2 3" xfId="30041"/>
    <cellStyle name="Normal 7 4 2 4 4 2 3 2" xfId="30042"/>
    <cellStyle name="Normal 7 4 2 4 4 2 3 2 2" xfId="30043"/>
    <cellStyle name="Normal 7 4 2 4 4 2 3 3" xfId="30044"/>
    <cellStyle name="Normal 7 4 2 4 4 2 3 3 2" xfId="30045"/>
    <cellStyle name="Normal 7 4 2 4 4 2 3 4" xfId="30046"/>
    <cellStyle name="Normal 7 4 2 4 4 2 3 4 2" xfId="30047"/>
    <cellStyle name="Normal 7 4 2 4 4 2 3 5" xfId="30048"/>
    <cellStyle name="Normal 7 4 2 4 4 2 4" xfId="30049"/>
    <cellStyle name="Normal 7 4 2 4 4 2 4 2" xfId="30050"/>
    <cellStyle name="Normal 7 4 2 4 4 2 5" xfId="30051"/>
    <cellStyle name="Normal 7 4 2 4 4 2 5 2" xfId="30052"/>
    <cellStyle name="Normal 7 4 2 4 4 2 6" xfId="30053"/>
    <cellStyle name="Normal 7 4 2 4 4 2 6 2" xfId="30054"/>
    <cellStyle name="Normal 7 4 2 4 4 2 7" xfId="30055"/>
    <cellStyle name="Normal 7 4 2 4 4 3" xfId="30056"/>
    <cellStyle name="Normal 7 4 2 4 4 3 2" xfId="30057"/>
    <cellStyle name="Normal 7 4 2 4 4 3 2 2" xfId="30058"/>
    <cellStyle name="Normal 7 4 2 4 4 3 3" xfId="30059"/>
    <cellStyle name="Normal 7 4 2 4 4 3 3 2" xfId="30060"/>
    <cellStyle name="Normal 7 4 2 4 4 3 4" xfId="30061"/>
    <cellStyle name="Normal 7 4 2 4 4 3 4 2" xfId="30062"/>
    <cellStyle name="Normal 7 4 2 4 4 3 5" xfId="30063"/>
    <cellStyle name="Normal 7 4 2 4 4 4" xfId="30064"/>
    <cellStyle name="Normal 7 4 2 4 4 4 2" xfId="30065"/>
    <cellStyle name="Normal 7 4 2 4 4 4 2 2" xfId="30066"/>
    <cellStyle name="Normal 7 4 2 4 4 4 3" xfId="30067"/>
    <cellStyle name="Normal 7 4 2 4 4 4 3 2" xfId="30068"/>
    <cellStyle name="Normal 7 4 2 4 4 4 4" xfId="30069"/>
    <cellStyle name="Normal 7 4 2 4 4 4 4 2" xfId="30070"/>
    <cellStyle name="Normal 7 4 2 4 4 4 5" xfId="30071"/>
    <cellStyle name="Normal 7 4 2 4 4 5" xfId="30072"/>
    <cellStyle name="Normal 7 4 2 4 4 5 2" xfId="30073"/>
    <cellStyle name="Normal 7 4 2 4 4 6" xfId="30074"/>
    <cellStyle name="Normal 7 4 2 4 4 6 2" xfId="30075"/>
    <cellStyle name="Normal 7 4 2 4 4 7" xfId="30076"/>
    <cellStyle name="Normal 7 4 2 4 4 7 2" xfId="30077"/>
    <cellStyle name="Normal 7 4 2 4 4 8" xfId="30078"/>
    <cellStyle name="Normal 7 4 2 4 5" xfId="30079"/>
    <cellStyle name="Normal 7 4 2 4 5 2" xfId="30080"/>
    <cellStyle name="Normal 7 4 2 4 5 2 2" xfId="30081"/>
    <cellStyle name="Normal 7 4 2 4 5 2 2 2" xfId="30082"/>
    <cellStyle name="Normal 7 4 2 4 5 2 2 2 2" xfId="30083"/>
    <cellStyle name="Normal 7 4 2 4 5 2 2 3" xfId="30084"/>
    <cellStyle name="Normal 7 4 2 4 5 2 2 3 2" xfId="30085"/>
    <cellStyle name="Normal 7 4 2 4 5 2 2 4" xfId="30086"/>
    <cellStyle name="Normal 7 4 2 4 5 2 2 4 2" xfId="30087"/>
    <cellStyle name="Normal 7 4 2 4 5 2 2 5" xfId="30088"/>
    <cellStyle name="Normal 7 4 2 4 5 2 3" xfId="30089"/>
    <cellStyle name="Normal 7 4 2 4 5 2 3 2" xfId="30090"/>
    <cellStyle name="Normal 7 4 2 4 5 2 3 2 2" xfId="30091"/>
    <cellStyle name="Normal 7 4 2 4 5 2 3 3" xfId="30092"/>
    <cellStyle name="Normal 7 4 2 4 5 2 3 3 2" xfId="30093"/>
    <cellStyle name="Normal 7 4 2 4 5 2 3 4" xfId="30094"/>
    <cellStyle name="Normal 7 4 2 4 5 2 3 4 2" xfId="30095"/>
    <cellStyle name="Normal 7 4 2 4 5 2 3 5" xfId="30096"/>
    <cellStyle name="Normal 7 4 2 4 5 2 4" xfId="30097"/>
    <cellStyle name="Normal 7 4 2 4 5 2 4 2" xfId="30098"/>
    <cellStyle name="Normal 7 4 2 4 5 2 5" xfId="30099"/>
    <cellStyle name="Normal 7 4 2 4 5 2 5 2" xfId="30100"/>
    <cellStyle name="Normal 7 4 2 4 5 2 6" xfId="30101"/>
    <cellStyle name="Normal 7 4 2 4 5 2 6 2" xfId="30102"/>
    <cellStyle name="Normal 7 4 2 4 5 2 7" xfId="30103"/>
    <cellStyle name="Normal 7 4 2 4 5 3" xfId="30104"/>
    <cellStyle name="Normal 7 4 2 4 5 3 2" xfId="30105"/>
    <cellStyle name="Normal 7 4 2 4 5 3 2 2" xfId="30106"/>
    <cellStyle name="Normal 7 4 2 4 5 3 3" xfId="30107"/>
    <cellStyle name="Normal 7 4 2 4 5 3 3 2" xfId="30108"/>
    <cellStyle name="Normal 7 4 2 4 5 3 4" xfId="30109"/>
    <cellStyle name="Normal 7 4 2 4 5 3 4 2" xfId="30110"/>
    <cellStyle name="Normal 7 4 2 4 5 3 5" xfId="30111"/>
    <cellStyle name="Normal 7 4 2 4 5 4" xfId="30112"/>
    <cellStyle name="Normal 7 4 2 4 5 4 2" xfId="30113"/>
    <cellStyle name="Normal 7 4 2 4 5 4 2 2" xfId="30114"/>
    <cellStyle name="Normal 7 4 2 4 5 4 3" xfId="30115"/>
    <cellStyle name="Normal 7 4 2 4 5 4 3 2" xfId="30116"/>
    <cellStyle name="Normal 7 4 2 4 5 4 4" xfId="30117"/>
    <cellStyle name="Normal 7 4 2 4 5 4 4 2" xfId="30118"/>
    <cellStyle name="Normal 7 4 2 4 5 4 5" xfId="30119"/>
    <cellStyle name="Normal 7 4 2 4 5 5" xfId="30120"/>
    <cellStyle name="Normal 7 4 2 4 5 5 2" xfId="30121"/>
    <cellStyle name="Normal 7 4 2 4 5 6" xfId="30122"/>
    <cellStyle name="Normal 7 4 2 4 5 6 2" xfId="30123"/>
    <cellStyle name="Normal 7 4 2 4 5 7" xfId="30124"/>
    <cellStyle name="Normal 7 4 2 4 5 7 2" xfId="30125"/>
    <cellStyle name="Normal 7 4 2 4 5 8" xfId="30126"/>
    <cellStyle name="Normal 7 4 2 4 6" xfId="30127"/>
    <cellStyle name="Normal 7 4 2 4 6 2" xfId="30128"/>
    <cellStyle name="Normal 7 4 2 4 6 2 2" xfId="30129"/>
    <cellStyle name="Normal 7 4 2 4 6 2 2 2" xfId="30130"/>
    <cellStyle name="Normal 7 4 2 4 6 2 2 2 2" xfId="30131"/>
    <cellStyle name="Normal 7 4 2 4 6 2 2 3" xfId="30132"/>
    <cellStyle name="Normal 7 4 2 4 6 2 2 3 2" xfId="30133"/>
    <cellStyle name="Normal 7 4 2 4 6 2 2 4" xfId="30134"/>
    <cellStyle name="Normal 7 4 2 4 6 2 2 4 2" xfId="30135"/>
    <cellStyle name="Normal 7 4 2 4 6 2 2 5" xfId="30136"/>
    <cellStyle name="Normal 7 4 2 4 6 2 3" xfId="30137"/>
    <cellStyle name="Normal 7 4 2 4 6 2 3 2" xfId="30138"/>
    <cellStyle name="Normal 7 4 2 4 6 2 3 2 2" xfId="30139"/>
    <cellStyle name="Normal 7 4 2 4 6 2 3 3" xfId="30140"/>
    <cellStyle name="Normal 7 4 2 4 6 2 3 3 2" xfId="30141"/>
    <cellStyle name="Normal 7 4 2 4 6 2 3 4" xfId="30142"/>
    <cellStyle name="Normal 7 4 2 4 6 2 3 4 2" xfId="30143"/>
    <cellStyle name="Normal 7 4 2 4 6 2 3 5" xfId="30144"/>
    <cellStyle name="Normal 7 4 2 4 6 2 4" xfId="30145"/>
    <cellStyle name="Normal 7 4 2 4 6 2 4 2" xfId="30146"/>
    <cellStyle name="Normal 7 4 2 4 6 2 5" xfId="30147"/>
    <cellStyle name="Normal 7 4 2 4 6 2 5 2" xfId="30148"/>
    <cellStyle name="Normal 7 4 2 4 6 2 6" xfId="30149"/>
    <cellStyle name="Normal 7 4 2 4 6 2 6 2" xfId="30150"/>
    <cellStyle name="Normal 7 4 2 4 6 2 7" xfId="30151"/>
    <cellStyle name="Normal 7 4 2 4 6 3" xfId="30152"/>
    <cellStyle name="Normal 7 4 2 4 6 3 2" xfId="30153"/>
    <cellStyle name="Normal 7 4 2 4 6 3 2 2" xfId="30154"/>
    <cellStyle name="Normal 7 4 2 4 6 3 3" xfId="30155"/>
    <cellStyle name="Normal 7 4 2 4 6 3 3 2" xfId="30156"/>
    <cellStyle name="Normal 7 4 2 4 6 3 4" xfId="30157"/>
    <cellStyle name="Normal 7 4 2 4 6 3 4 2" xfId="30158"/>
    <cellStyle name="Normal 7 4 2 4 6 3 5" xfId="30159"/>
    <cellStyle name="Normal 7 4 2 4 6 4" xfId="30160"/>
    <cellStyle name="Normal 7 4 2 4 6 4 2" xfId="30161"/>
    <cellStyle name="Normal 7 4 2 4 6 4 2 2" xfId="30162"/>
    <cellStyle name="Normal 7 4 2 4 6 4 3" xfId="30163"/>
    <cellStyle name="Normal 7 4 2 4 6 4 3 2" xfId="30164"/>
    <cellStyle name="Normal 7 4 2 4 6 4 4" xfId="30165"/>
    <cellStyle name="Normal 7 4 2 4 6 4 4 2" xfId="30166"/>
    <cellStyle name="Normal 7 4 2 4 6 4 5" xfId="30167"/>
    <cellStyle name="Normal 7 4 2 4 6 5" xfId="30168"/>
    <cellStyle name="Normal 7 4 2 4 6 5 2" xfId="30169"/>
    <cellStyle name="Normal 7 4 2 4 6 6" xfId="30170"/>
    <cellStyle name="Normal 7 4 2 4 6 6 2" xfId="30171"/>
    <cellStyle name="Normal 7 4 2 4 6 7" xfId="30172"/>
    <cellStyle name="Normal 7 4 2 4 6 7 2" xfId="30173"/>
    <cellStyle name="Normal 7 4 2 4 6 8" xfId="30174"/>
    <cellStyle name="Normal 7 4 2 4 7" xfId="30175"/>
    <cellStyle name="Normal 7 4 2 4 7 2" xfId="30176"/>
    <cellStyle name="Normal 7 4 2 4 7 2 2" xfId="30177"/>
    <cellStyle name="Normal 7 4 2 4 7 2 2 2" xfId="30178"/>
    <cellStyle name="Normal 7 4 2 4 7 2 2 2 2" xfId="30179"/>
    <cellStyle name="Normal 7 4 2 4 7 2 2 3" xfId="30180"/>
    <cellStyle name="Normal 7 4 2 4 7 2 2 3 2" xfId="30181"/>
    <cellStyle name="Normal 7 4 2 4 7 2 2 4" xfId="30182"/>
    <cellStyle name="Normal 7 4 2 4 7 2 2 4 2" xfId="30183"/>
    <cellStyle name="Normal 7 4 2 4 7 2 2 5" xfId="30184"/>
    <cellStyle name="Normal 7 4 2 4 7 2 3" xfId="30185"/>
    <cellStyle name="Normal 7 4 2 4 7 2 3 2" xfId="30186"/>
    <cellStyle name="Normal 7 4 2 4 7 2 3 2 2" xfId="30187"/>
    <cellStyle name="Normal 7 4 2 4 7 2 3 3" xfId="30188"/>
    <cellStyle name="Normal 7 4 2 4 7 2 3 3 2" xfId="30189"/>
    <cellStyle name="Normal 7 4 2 4 7 2 3 4" xfId="30190"/>
    <cellStyle name="Normal 7 4 2 4 7 2 3 4 2" xfId="30191"/>
    <cellStyle name="Normal 7 4 2 4 7 2 3 5" xfId="30192"/>
    <cellStyle name="Normal 7 4 2 4 7 2 4" xfId="30193"/>
    <cellStyle name="Normal 7 4 2 4 7 2 4 2" xfId="30194"/>
    <cellStyle name="Normal 7 4 2 4 7 2 5" xfId="30195"/>
    <cellStyle name="Normal 7 4 2 4 7 2 5 2" xfId="30196"/>
    <cellStyle name="Normal 7 4 2 4 7 2 6" xfId="30197"/>
    <cellStyle name="Normal 7 4 2 4 7 2 6 2" xfId="30198"/>
    <cellStyle name="Normal 7 4 2 4 7 2 7" xfId="30199"/>
    <cellStyle name="Normal 7 4 2 4 7 3" xfId="30200"/>
    <cellStyle name="Normal 7 4 2 4 7 3 2" xfId="30201"/>
    <cellStyle name="Normal 7 4 2 4 7 3 2 2" xfId="30202"/>
    <cellStyle name="Normal 7 4 2 4 7 3 3" xfId="30203"/>
    <cellStyle name="Normal 7 4 2 4 7 3 3 2" xfId="30204"/>
    <cellStyle name="Normal 7 4 2 4 7 3 4" xfId="30205"/>
    <cellStyle name="Normal 7 4 2 4 7 3 4 2" xfId="30206"/>
    <cellStyle name="Normal 7 4 2 4 7 3 5" xfId="30207"/>
    <cellStyle name="Normal 7 4 2 4 7 4" xfId="30208"/>
    <cellStyle name="Normal 7 4 2 4 7 4 2" xfId="30209"/>
    <cellStyle name="Normal 7 4 2 4 7 4 2 2" xfId="30210"/>
    <cellStyle name="Normal 7 4 2 4 7 4 3" xfId="30211"/>
    <cellStyle name="Normal 7 4 2 4 7 4 3 2" xfId="30212"/>
    <cellStyle name="Normal 7 4 2 4 7 4 4" xfId="30213"/>
    <cellStyle name="Normal 7 4 2 4 7 4 4 2" xfId="30214"/>
    <cellStyle name="Normal 7 4 2 4 7 4 5" xfId="30215"/>
    <cellStyle name="Normal 7 4 2 4 7 5" xfId="30216"/>
    <cellStyle name="Normal 7 4 2 4 7 5 2" xfId="30217"/>
    <cellStyle name="Normal 7 4 2 4 7 6" xfId="30218"/>
    <cellStyle name="Normal 7 4 2 4 7 6 2" xfId="30219"/>
    <cellStyle name="Normal 7 4 2 4 7 7" xfId="30220"/>
    <cellStyle name="Normal 7 4 2 4 7 7 2" xfId="30221"/>
    <cellStyle name="Normal 7 4 2 4 7 8" xfId="30222"/>
    <cellStyle name="Normal 7 4 2 4 8" xfId="30223"/>
    <cellStyle name="Normal 7 4 2 4 8 2" xfId="30224"/>
    <cellStyle name="Normal 7 4 2 4 8 2 2" xfId="30225"/>
    <cellStyle name="Normal 7 4 2 4 8 2 2 2" xfId="30226"/>
    <cellStyle name="Normal 7 4 2 4 8 2 3" xfId="30227"/>
    <cellStyle name="Normal 7 4 2 4 8 2 3 2" xfId="30228"/>
    <cellStyle name="Normal 7 4 2 4 8 2 4" xfId="30229"/>
    <cellStyle name="Normal 7 4 2 4 8 2 4 2" xfId="30230"/>
    <cellStyle name="Normal 7 4 2 4 8 2 5" xfId="30231"/>
    <cellStyle name="Normal 7 4 2 4 8 3" xfId="30232"/>
    <cellStyle name="Normal 7 4 2 4 8 3 2" xfId="30233"/>
    <cellStyle name="Normal 7 4 2 4 8 3 2 2" xfId="30234"/>
    <cellStyle name="Normal 7 4 2 4 8 3 3" xfId="30235"/>
    <cellStyle name="Normal 7 4 2 4 8 3 3 2" xfId="30236"/>
    <cellStyle name="Normal 7 4 2 4 8 3 4" xfId="30237"/>
    <cellStyle name="Normal 7 4 2 4 8 3 4 2" xfId="30238"/>
    <cellStyle name="Normal 7 4 2 4 8 3 5" xfId="30239"/>
    <cellStyle name="Normal 7 4 2 4 8 4" xfId="30240"/>
    <cellStyle name="Normal 7 4 2 4 8 4 2" xfId="30241"/>
    <cellStyle name="Normal 7 4 2 4 8 5" xfId="30242"/>
    <cellStyle name="Normal 7 4 2 4 8 5 2" xfId="30243"/>
    <cellStyle name="Normal 7 4 2 4 8 6" xfId="30244"/>
    <cellStyle name="Normal 7 4 2 4 8 6 2" xfId="30245"/>
    <cellStyle name="Normal 7 4 2 4 8 7" xfId="30246"/>
    <cellStyle name="Normal 7 4 2 4 9" xfId="30247"/>
    <cellStyle name="Normal 7 4 2 4 9 2" xfId="30248"/>
    <cellStyle name="Normal 7 4 2 4 9 2 2" xfId="30249"/>
    <cellStyle name="Normal 7 4 2 4 9 3" xfId="30250"/>
    <cellStyle name="Normal 7 4 2 4 9 3 2" xfId="30251"/>
    <cellStyle name="Normal 7 4 2 4 9 4" xfId="30252"/>
    <cellStyle name="Normal 7 4 2 4 9 4 2" xfId="30253"/>
    <cellStyle name="Normal 7 4 2 4 9 5" xfId="30254"/>
    <cellStyle name="Normal 7 4 2 5" xfId="30255"/>
    <cellStyle name="Normal 7 4 2 5 10" xfId="30256"/>
    <cellStyle name="Normal 7 4 2 5 10 2" xfId="30257"/>
    <cellStyle name="Normal 7 4 2 5 10 2 2" xfId="30258"/>
    <cellStyle name="Normal 7 4 2 5 10 3" xfId="30259"/>
    <cellStyle name="Normal 7 4 2 5 10 3 2" xfId="30260"/>
    <cellStyle name="Normal 7 4 2 5 10 4" xfId="30261"/>
    <cellStyle name="Normal 7 4 2 5 10 4 2" xfId="30262"/>
    <cellStyle name="Normal 7 4 2 5 10 5" xfId="30263"/>
    <cellStyle name="Normal 7 4 2 5 11" xfId="30264"/>
    <cellStyle name="Normal 7 4 2 5 11 2" xfId="30265"/>
    <cellStyle name="Normal 7 4 2 5 12" xfId="30266"/>
    <cellStyle name="Normal 7 4 2 5 12 2" xfId="30267"/>
    <cellStyle name="Normal 7 4 2 5 13" xfId="30268"/>
    <cellStyle name="Normal 7 4 2 5 13 2" xfId="30269"/>
    <cellStyle name="Normal 7 4 2 5 14" xfId="30270"/>
    <cellStyle name="Normal 7 4 2 5 2" xfId="30271"/>
    <cellStyle name="Normal 7 4 2 5 2 10" xfId="30272"/>
    <cellStyle name="Normal 7 4 2 5 2 10 2" xfId="30273"/>
    <cellStyle name="Normal 7 4 2 5 2 11" xfId="30274"/>
    <cellStyle name="Normal 7 4 2 5 2 11 2" xfId="30275"/>
    <cellStyle name="Normal 7 4 2 5 2 12" xfId="30276"/>
    <cellStyle name="Normal 7 4 2 5 2 12 2" xfId="30277"/>
    <cellStyle name="Normal 7 4 2 5 2 13" xfId="30278"/>
    <cellStyle name="Normal 7 4 2 5 2 2" xfId="30279"/>
    <cellStyle name="Normal 7 4 2 5 2 2 2" xfId="30280"/>
    <cellStyle name="Normal 7 4 2 5 2 2 2 2" xfId="30281"/>
    <cellStyle name="Normal 7 4 2 5 2 2 2 2 2" xfId="30282"/>
    <cellStyle name="Normal 7 4 2 5 2 2 2 2 2 2" xfId="30283"/>
    <cellStyle name="Normal 7 4 2 5 2 2 2 2 3" xfId="30284"/>
    <cellStyle name="Normal 7 4 2 5 2 2 2 2 3 2" xfId="30285"/>
    <cellStyle name="Normal 7 4 2 5 2 2 2 2 4" xfId="30286"/>
    <cellStyle name="Normal 7 4 2 5 2 2 2 2 4 2" xfId="30287"/>
    <cellStyle name="Normal 7 4 2 5 2 2 2 2 5" xfId="30288"/>
    <cellStyle name="Normal 7 4 2 5 2 2 2 3" xfId="30289"/>
    <cellStyle name="Normal 7 4 2 5 2 2 2 3 2" xfId="30290"/>
    <cellStyle name="Normal 7 4 2 5 2 2 2 3 2 2" xfId="30291"/>
    <cellStyle name="Normal 7 4 2 5 2 2 2 3 3" xfId="30292"/>
    <cellStyle name="Normal 7 4 2 5 2 2 2 3 3 2" xfId="30293"/>
    <cellStyle name="Normal 7 4 2 5 2 2 2 3 4" xfId="30294"/>
    <cellStyle name="Normal 7 4 2 5 2 2 2 3 4 2" xfId="30295"/>
    <cellStyle name="Normal 7 4 2 5 2 2 2 3 5" xfId="30296"/>
    <cellStyle name="Normal 7 4 2 5 2 2 2 4" xfId="30297"/>
    <cellStyle name="Normal 7 4 2 5 2 2 2 4 2" xfId="30298"/>
    <cellStyle name="Normal 7 4 2 5 2 2 2 5" xfId="30299"/>
    <cellStyle name="Normal 7 4 2 5 2 2 2 5 2" xfId="30300"/>
    <cellStyle name="Normal 7 4 2 5 2 2 2 6" xfId="30301"/>
    <cellStyle name="Normal 7 4 2 5 2 2 2 6 2" xfId="30302"/>
    <cellStyle name="Normal 7 4 2 5 2 2 2 7" xfId="30303"/>
    <cellStyle name="Normal 7 4 2 5 2 2 3" xfId="30304"/>
    <cellStyle name="Normal 7 4 2 5 2 2 3 2" xfId="30305"/>
    <cellStyle name="Normal 7 4 2 5 2 2 3 2 2" xfId="30306"/>
    <cellStyle name="Normal 7 4 2 5 2 2 3 3" xfId="30307"/>
    <cellStyle name="Normal 7 4 2 5 2 2 3 3 2" xfId="30308"/>
    <cellStyle name="Normal 7 4 2 5 2 2 3 4" xfId="30309"/>
    <cellStyle name="Normal 7 4 2 5 2 2 3 4 2" xfId="30310"/>
    <cellStyle name="Normal 7 4 2 5 2 2 3 5" xfId="30311"/>
    <cellStyle name="Normal 7 4 2 5 2 2 4" xfId="30312"/>
    <cellStyle name="Normal 7 4 2 5 2 2 4 2" xfId="30313"/>
    <cellStyle name="Normal 7 4 2 5 2 2 4 2 2" xfId="30314"/>
    <cellStyle name="Normal 7 4 2 5 2 2 4 3" xfId="30315"/>
    <cellStyle name="Normal 7 4 2 5 2 2 4 3 2" xfId="30316"/>
    <cellStyle name="Normal 7 4 2 5 2 2 4 4" xfId="30317"/>
    <cellStyle name="Normal 7 4 2 5 2 2 4 4 2" xfId="30318"/>
    <cellStyle name="Normal 7 4 2 5 2 2 4 5" xfId="30319"/>
    <cellStyle name="Normal 7 4 2 5 2 2 5" xfId="30320"/>
    <cellStyle name="Normal 7 4 2 5 2 2 5 2" xfId="30321"/>
    <cellStyle name="Normal 7 4 2 5 2 2 6" xfId="30322"/>
    <cellStyle name="Normal 7 4 2 5 2 2 6 2" xfId="30323"/>
    <cellStyle name="Normal 7 4 2 5 2 2 7" xfId="30324"/>
    <cellStyle name="Normal 7 4 2 5 2 2 7 2" xfId="30325"/>
    <cellStyle name="Normal 7 4 2 5 2 2 8" xfId="30326"/>
    <cellStyle name="Normal 7 4 2 5 2 3" xfId="30327"/>
    <cellStyle name="Normal 7 4 2 5 2 3 2" xfId="30328"/>
    <cellStyle name="Normal 7 4 2 5 2 3 2 2" xfId="30329"/>
    <cellStyle name="Normal 7 4 2 5 2 3 2 2 2" xfId="30330"/>
    <cellStyle name="Normal 7 4 2 5 2 3 2 2 2 2" xfId="30331"/>
    <cellStyle name="Normal 7 4 2 5 2 3 2 2 3" xfId="30332"/>
    <cellStyle name="Normal 7 4 2 5 2 3 2 2 3 2" xfId="30333"/>
    <cellStyle name="Normal 7 4 2 5 2 3 2 2 4" xfId="30334"/>
    <cellStyle name="Normal 7 4 2 5 2 3 2 2 4 2" xfId="30335"/>
    <cellStyle name="Normal 7 4 2 5 2 3 2 2 5" xfId="30336"/>
    <cellStyle name="Normal 7 4 2 5 2 3 2 3" xfId="30337"/>
    <cellStyle name="Normal 7 4 2 5 2 3 2 3 2" xfId="30338"/>
    <cellStyle name="Normal 7 4 2 5 2 3 2 3 2 2" xfId="30339"/>
    <cellStyle name="Normal 7 4 2 5 2 3 2 3 3" xfId="30340"/>
    <cellStyle name="Normal 7 4 2 5 2 3 2 3 3 2" xfId="30341"/>
    <cellStyle name="Normal 7 4 2 5 2 3 2 3 4" xfId="30342"/>
    <cellStyle name="Normal 7 4 2 5 2 3 2 3 4 2" xfId="30343"/>
    <cellStyle name="Normal 7 4 2 5 2 3 2 3 5" xfId="30344"/>
    <cellStyle name="Normal 7 4 2 5 2 3 2 4" xfId="30345"/>
    <cellStyle name="Normal 7 4 2 5 2 3 2 4 2" xfId="30346"/>
    <cellStyle name="Normal 7 4 2 5 2 3 2 5" xfId="30347"/>
    <cellStyle name="Normal 7 4 2 5 2 3 2 5 2" xfId="30348"/>
    <cellStyle name="Normal 7 4 2 5 2 3 2 6" xfId="30349"/>
    <cellStyle name="Normal 7 4 2 5 2 3 2 6 2" xfId="30350"/>
    <cellStyle name="Normal 7 4 2 5 2 3 2 7" xfId="30351"/>
    <cellStyle name="Normal 7 4 2 5 2 3 3" xfId="30352"/>
    <cellStyle name="Normal 7 4 2 5 2 3 3 2" xfId="30353"/>
    <cellStyle name="Normal 7 4 2 5 2 3 3 2 2" xfId="30354"/>
    <cellStyle name="Normal 7 4 2 5 2 3 3 3" xfId="30355"/>
    <cellStyle name="Normal 7 4 2 5 2 3 3 3 2" xfId="30356"/>
    <cellStyle name="Normal 7 4 2 5 2 3 3 4" xfId="30357"/>
    <cellStyle name="Normal 7 4 2 5 2 3 3 4 2" xfId="30358"/>
    <cellStyle name="Normal 7 4 2 5 2 3 3 5" xfId="30359"/>
    <cellStyle name="Normal 7 4 2 5 2 3 4" xfId="30360"/>
    <cellStyle name="Normal 7 4 2 5 2 3 4 2" xfId="30361"/>
    <cellStyle name="Normal 7 4 2 5 2 3 4 2 2" xfId="30362"/>
    <cellStyle name="Normal 7 4 2 5 2 3 4 3" xfId="30363"/>
    <cellStyle name="Normal 7 4 2 5 2 3 4 3 2" xfId="30364"/>
    <cellStyle name="Normal 7 4 2 5 2 3 4 4" xfId="30365"/>
    <cellStyle name="Normal 7 4 2 5 2 3 4 4 2" xfId="30366"/>
    <cellStyle name="Normal 7 4 2 5 2 3 4 5" xfId="30367"/>
    <cellStyle name="Normal 7 4 2 5 2 3 5" xfId="30368"/>
    <cellStyle name="Normal 7 4 2 5 2 3 5 2" xfId="30369"/>
    <cellStyle name="Normal 7 4 2 5 2 3 6" xfId="30370"/>
    <cellStyle name="Normal 7 4 2 5 2 3 6 2" xfId="30371"/>
    <cellStyle name="Normal 7 4 2 5 2 3 7" xfId="30372"/>
    <cellStyle name="Normal 7 4 2 5 2 3 7 2" xfId="30373"/>
    <cellStyle name="Normal 7 4 2 5 2 3 8" xfId="30374"/>
    <cellStyle name="Normal 7 4 2 5 2 4" xfId="30375"/>
    <cellStyle name="Normal 7 4 2 5 2 4 2" xfId="30376"/>
    <cellStyle name="Normal 7 4 2 5 2 4 2 2" xfId="30377"/>
    <cellStyle name="Normal 7 4 2 5 2 4 2 2 2" xfId="30378"/>
    <cellStyle name="Normal 7 4 2 5 2 4 2 2 2 2" xfId="30379"/>
    <cellStyle name="Normal 7 4 2 5 2 4 2 2 3" xfId="30380"/>
    <cellStyle name="Normal 7 4 2 5 2 4 2 2 3 2" xfId="30381"/>
    <cellStyle name="Normal 7 4 2 5 2 4 2 2 4" xfId="30382"/>
    <cellStyle name="Normal 7 4 2 5 2 4 2 2 4 2" xfId="30383"/>
    <cellStyle name="Normal 7 4 2 5 2 4 2 2 5" xfId="30384"/>
    <cellStyle name="Normal 7 4 2 5 2 4 2 3" xfId="30385"/>
    <cellStyle name="Normal 7 4 2 5 2 4 2 3 2" xfId="30386"/>
    <cellStyle name="Normal 7 4 2 5 2 4 2 3 2 2" xfId="30387"/>
    <cellStyle name="Normal 7 4 2 5 2 4 2 3 3" xfId="30388"/>
    <cellStyle name="Normal 7 4 2 5 2 4 2 3 3 2" xfId="30389"/>
    <cellStyle name="Normal 7 4 2 5 2 4 2 3 4" xfId="30390"/>
    <cellStyle name="Normal 7 4 2 5 2 4 2 3 4 2" xfId="30391"/>
    <cellStyle name="Normal 7 4 2 5 2 4 2 3 5" xfId="30392"/>
    <cellStyle name="Normal 7 4 2 5 2 4 2 4" xfId="30393"/>
    <cellStyle name="Normal 7 4 2 5 2 4 2 4 2" xfId="30394"/>
    <cellStyle name="Normal 7 4 2 5 2 4 2 5" xfId="30395"/>
    <cellStyle name="Normal 7 4 2 5 2 4 2 5 2" xfId="30396"/>
    <cellStyle name="Normal 7 4 2 5 2 4 2 6" xfId="30397"/>
    <cellStyle name="Normal 7 4 2 5 2 4 2 6 2" xfId="30398"/>
    <cellStyle name="Normal 7 4 2 5 2 4 2 7" xfId="30399"/>
    <cellStyle name="Normal 7 4 2 5 2 4 3" xfId="30400"/>
    <cellStyle name="Normal 7 4 2 5 2 4 3 2" xfId="30401"/>
    <cellStyle name="Normal 7 4 2 5 2 4 3 2 2" xfId="30402"/>
    <cellStyle name="Normal 7 4 2 5 2 4 3 3" xfId="30403"/>
    <cellStyle name="Normal 7 4 2 5 2 4 3 3 2" xfId="30404"/>
    <cellStyle name="Normal 7 4 2 5 2 4 3 4" xfId="30405"/>
    <cellStyle name="Normal 7 4 2 5 2 4 3 4 2" xfId="30406"/>
    <cellStyle name="Normal 7 4 2 5 2 4 3 5" xfId="30407"/>
    <cellStyle name="Normal 7 4 2 5 2 4 4" xfId="30408"/>
    <cellStyle name="Normal 7 4 2 5 2 4 4 2" xfId="30409"/>
    <cellStyle name="Normal 7 4 2 5 2 4 4 2 2" xfId="30410"/>
    <cellStyle name="Normal 7 4 2 5 2 4 4 3" xfId="30411"/>
    <cellStyle name="Normal 7 4 2 5 2 4 4 3 2" xfId="30412"/>
    <cellStyle name="Normal 7 4 2 5 2 4 4 4" xfId="30413"/>
    <cellStyle name="Normal 7 4 2 5 2 4 4 4 2" xfId="30414"/>
    <cellStyle name="Normal 7 4 2 5 2 4 4 5" xfId="30415"/>
    <cellStyle name="Normal 7 4 2 5 2 4 5" xfId="30416"/>
    <cellStyle name="Normal 7 4 2 5 2 4 5 2" xfId="30417"/>
    <cellStyle name="Normal 7 4 2 5 2 4 6" xfId="30418"/>
    <cellStyle name="Normal 7 4 2 5 2 4 6 2" xfId="30419"/>
    <cellStyle name="Normal 7 4 2 5 2 4 7" xfId="30420"/>
    <cellStyle name="Normal 7 4 2 5 2 4 7 2" xfId="30421"/>
    <cellStyle name="Normal 7 4 2 5 2 4 8" xfId="30422"/>
    <cellStyle name="Normal 7 4 2 5 2 5" xfId="30423"/>
    <cellStyle name="Normal 7 4 2 5 2 5 2" xfId="30424"/>
    <cellStyle name="Normal 7 4 2 5 2 5 2 2" xfId="30425"/>
    <cellStyle name="Normal 7 4 2 5 2 5 2 2 2" xfId="30426"/>
    <cellStyle name="Normal 7 4 2 5 2 5 2 2 2 2" xfId="30427"/>
    <cellStyle name="Normal 7 4 2 5 2 5 2 2 3" xfId="30428"/>
    <cellStyle name="Normal 7 4 2 5 2 5 2 2 3 2" xfId="30429"/>
    <cellStyle name="Normal 7 4 2 5 2 5 2 2 4" xfId="30430"/>
    <cellStyle name="Normal 7 4 2 5 2 5 2 2 4 2" xfId="30431"/>
    <cellStyle name="Normal 7 4 2 5 2 5 2 2 5" xfId="30432"/>
    <cellStyle name="Normal 7 4 2 5 2 5 2 3" xfId="30433"/>
    <cellStyle name="Normal 7 4 2 5 2 5 2 3 2" xfId="30434"/>
    <cellStyle name="Normal 7 4 2 5 2 5 2 3 2 2" xfId="30435"/>
    <cellStyle name="Normal 7 4 2 5 2 5 2 3 3" xfId="30436"/>
    <cellStyle name="Normal 7 4 2 5 2 5 2 3 3 2" xfId="30437"/>
    <cellStyle name="Normal 7 4 2 5 2 5 2 3 4" xfId="30438"/>
    <cellStyle name="Normal 7 4 2 5 2 5 2 3 4 2" xfId="30439"/>
    <cellStyle name="Normal 7 4 2 5 2 5 2 3 5" xfId="30440"/>
    <cellStyle name="Normal 7 4 2 5 2 5 2 4" xfId="30441"/>
    <cellStyle name="Normal 7 4 2 5 2 5 2 4 2" xfId="30442"/>
    <cellStyle name="Normal 7 4 2 5 2 5 2 5" xfId="30443"/>
    <cellStyle name="Normal 7 4 2 5 2 5 2 5 2" xfId="30444"/>
    <cellStyle name="Normal 7 4 2 5 2 5 2 6" xfId="30445"/>
    <cellStyle name="Normal 7 4 2 5 2 5 2 6 2" xfId="30446"/>
    <cellStyle name="Normal 7 4 2 5 2 5 2 7" xfId="30447"/>
    <cellStyle name="Normal 7 4 2 5 2 5 3" xfId="30448"/>
    <cellStyle name="Normal 7 4 2 5 2 5 3 2" xfId="30449"/>
    <cellStyle name="Normal 7 4 2 5 2 5 3 2 2" xfId="30450"/>
    <cellStyle name="Normal 7 4 2 5 2 5 3 3" xfId="30451"/>
    <cellStyle name="Normal 7 4 2 5 2 5 3 3 2" xfId="30452"/>
    <cellStyle name="Normal 7 4 2 5 2 5 3 4" xfId="30453"/>
    <cellStyle name="Normal 7 4 2 5 2 5 3 4 2" xfId="30454"/>
    <cellStyle name="Normal 7 4 2 5 2 5 3 5" xfId="30455"/>
    <cellStyle name="Normal 7 4 2 5 2 5 4" xfId="30456"/>
    <cellStyle name="Normal 7 4 2 5 2 5 4 2" xfId="30457"/>
    <cellStyle name="Normal 7 4 2 5 2 5 4 2 2" xfId="30458"/>
    <cellStyle name="Normal 7 4 2 5 2 5 4 3" xfId="30459"/>
    <cellStyle name="Normal 7 4 2 5 2 5 4 3 2" xfId="30460"/>
    <cellStyle name="Normal 7 4 2 5 2 5 4 4" xfId="30461"/>
    <cellStyle name="Normal 7 4 2 5 2 5 4 4 2" xfId="30462"/>
    <cellStyle name="Normal 7 4 2 5 2 5 4 5" xfId="30463"/>
    <cellStyle name="Normal 7 4 2 5 2 5 5" xfId="30464"/>
    <cellStyle name="Normal 7 4 2 5 2 5 5 2" xfId="30465"/>
    <cellStyle name="Normal 7 4 2 5 2 5 6" xfId="30466"/>
    <cellStyle name="Normal 7 4 2 5 2 5 6 2" xfId="30467"/>
    <cellStyle name="Normal 7 4 2 5 2 5 7" xfId="30468"/>
    <cellStyle name="Normal 7 4 2 5 2 5 7 2" xfId="30469"/>
    <cellStyle name="Normal 7 4 2 5 2 5 8" xfId="30470"/>
    <cellStyle name="Normal 7 4 2 5 2 6" xfId="30471"/>
    <cellStyle name="Normal 7 4 2 5 2 6 2" xfId="30472"/>
    <cellStyle name="Normal 7 4 2 5 2 6 2 2" xfId="30473"/>
    <cellStyle name="Normal 7 4 2 5 2 6 2 2 2" xfId="30474"/>
    <cellStyle name="Normal 7 4 2 5 2 6 2 2 2 2" xfId="30475"/>
    <cellStyle name="Normal 7 4 2 5 2 6 2 2 3" xfId="30476"/>
    <cellStyle name="Normal 7 4 2 5 2 6 2 2 3 2" xfId="30477"/>
    <cellStyle name="Normal 7 4 2 5 2 6 2 2 4" xfId="30478"/>
    <cellStyle name="Normal 7 4 2 5 2 6 2 2 4 2" xfId="30479"/>
    <cellStyle name="Normal 7 4 2 5 2 6 2 2 5" xfId="30480"/>
    <cellStyle name="Normal 7 4 2 5 2 6 2 3" xfId="30481"/>
    <cellStyle name="Normal 7 4 2 5 2 6 2 3 2" xfId="30482"/>
    <cellStyle name="Normal 7 4 2 5 2 6 2 3 2 2" xfId="30483"/>
    <cellStyle name="Normal 7 4 2 5 2 6 2 3 3" xfId="30484"/>
    <cellStyle name="Normal 7 4 2 5 2 6 2 3 3 2" xfId="30485"/>
    <cellStyle name="Normal 7 4 2 5 2 6 2 3 4" xfId="30486"/>
    <cellStyle name="Normal 7 4 2 5 2 6 2 3 4 2" xfId="30487"/>
    <cellStyle name="Normal 7 4 2 5 2 6 2 3 5" xfId="30488"/>
    <cellStyle name="Normal 7 4 2 5 2 6 2 4" xfId="30489"/>
    <cellStyle name="Normal 7 4 2 5 2 6 2 4 2" xfId="30490"/>
    <cellStyle name="Normal 7 4 2 5 2 6 2 5" xfId="30491"/>
    <cellStyle name="Normal 7 4 2 5 2 6 2 5 2" xfId="30492"/>
    <cellStyle name="Normal 7 4 2 5 2 6 2 6" xfId="30493"/>
    <cellStyle name="Normal 7 4 2 5 2 6 2 6 2" xfId="30494"/>
    <cellStyle name="Normal 7 4 2 5 2 6 2 7" xfId="30495"/>
    <cellStyle name="Normal 7 4 2 5 2 6 3" xfId="30496"/>
    <cellStyle name="Normal 7 4 2 5 2 6 3 2" xfId="30497"/>
    <cellStyle name="Normal 7 4 2 5 2 6 3 2 2" xfId="30498"/>
    <cellStyle name="Normal 7 4 2 5 2 6 3 3" xfId="30499"/>
    <cellStyle name="Normal 7 4 2 5 2 6 3 3 2" xfId="30500"/>
    <cellStyle name="Normal 7 4 2 5 2 6 3 4" xfId="30501"/>
    <cellStyle name="Normal 7 4 2 5 2 6 3 4 2" xfId="30502"/>
    <cellStyle name="Normal 7 4 2 5 2 6 3 5" xfId="30503"/>
    <cellStyle name="Normal 7 4 2 5 2 6 4" xfId="30504"/>
    <cellStyle name="Normal 7 4 2 5 2 6 4 2" xfId="30505"/>
    <cellStyle name="Normal 7 4 2 5 2 6 4 2 2" xfId="30506"/>
    <cellStyle name="Normal 7 4 2 5 2 6 4 3" xfId="30507"/>
    <cellStyle name="Normal 7 4 2 5 2 6 4 3 2" xfId="30508"/>
    <cellStyle name="Normal 7 4 2 5 2 6 4 4" xfId="30509"/>
    <cellStyle name="Normal 7 4 2 5 2 6 4 4 2" xfId="30510"/>
    <cellStyle name="Normal 7 4 2 5 2 6 4 5" xfId="30511"/>
    <cellStyle name="Normal 7 4 2 5 2 6 5" xfId="30512"/>
    <cellStyle name="Normal 7 4 2 5 2 6 5 2" xfId="30513"/>
    <cellStyle name="Normal 7 4 2 5 2 6 6" xfId="30514"/>
    <cellStyle name="Normal 7 4 2 5 2 6 6 2" xfId="30515"/>
    <cellStyle name="Normal 7 4 2 5 2 6 7" xfId="30516"/>
    <cellStyle name="Normal 7 4 2 5 2 6 7 2" xfId="30517"/>
    <cellStyle name="Normal 7 4 2 5 2 6 8" xfId="30518"/>
    <cellStyle name="Normal 7 4 2 5 2 7" xfId="30519"/>
    <cellStyle name="Normal 7 4 2 5 2 7 2" xfId="30520"/>
    <cellStyle name="Normal 7 4 2 5 2 7 2 2" xfId="30521"/>
    <cellStyle name="Normal 7 4 2 5 2 7 2 2 2" xfId="30522"/>
    <cellStyle name="Normal 7 4 2 5 2 7 2 3" xfId="30523"/>
    <cellStyle name="Normal 7 4 2 5 2 7 2 3 2" xfId="30524"/>
    <cellStyle name="Normal 7 4 2 5 2 7 2 4" xfId="30525"/>
    <cellStyle name="Normal 7 4 2 5 2 7 2 4 2" xfId="30526"/>
    <cellStyle name="Normal 7 4 2 5 2 7 2 5" xfId="30527"/>
    <cellStyle name="Normal 7 4 2 5 2 7 3" xfId="30528"/>
    <cellStyle name="Normal 7 4 2 5 2 7 3 2" xfId="30529"/>
    <cellStyle name="Normal 7 4 2 5 2 7 3 2 2" xfId="30530"/>
    <cellStyle name="Normal 7 4 2 5 2 7 3 3" xfId="30531"/>
    <cellStyle name="Normal 7 4 2 5 2 7 3 3 2" xfId="30532"/>
    <cellStyle name="Normal 7 4 2 5 2 7 3 4" xfId="30533"/>
    <cellStyle name="Normal 7 4 2 5 2 7 3 4 2" xfId="30534"/>
    <cellStyle name="Normal 7 4 2 5 2 7 3 5" xfId="30535"/>
    <cellStyle name="Normal 7 4 2 5 2 7 4" xfId="30536"/>
    <cellStyle name="Normal 7 4 2 5 2 7 4 2" xfId="30537"/>
    <cellStyle name="Normal 7 4 2 5 2 7 5" xfId="30538"/>
    <cellStyle name="Normal 7 4 2 5 2 7 5 2" xfId="30539"/>
    <cellStyle name="Normal 7 4 2 5 2 7 6" xfId="30540"/>
    <cellStyle name="Normal 7 4 2 5 2 7 6 2" xfId="30541"/>
    <cellStyle name="Normal 7 4 2 5 2 7 7" xfId="30542"/>
    <cellStyle name="Normal 7 4 2 5 2 8" xfId="30543"/>
    <cellStyle name="Normal 7 4 2 5 2 8 2" xfId="30544"/>
    <cellStyle name="Normal 7 4 2 5 2 8 2 2" xfId="30545"/>
    <cellStyle name="Normal 7 4 2 5 2 8 3" xfId="30546"/>
    <cellStyle name="Normal 7 4 2 5 2 8 3 2" xfId="30547"/>
    <cellStyle name="Normal 7 4 2 5 2 8 4" xfId="30548"/>
    <cellStyle name="Normal 7 4 2 5 2 8 4 2" xfId="30549"/>
    <cellStyle name="Normal 7 4 2 5 2 8 5" xfId="30550"/>
    <cellStyle name="Normal 7 4 2 5 2 9" xfId="30551"/>
    <cellStyle name="Normal 7 4 2 5 2 9 2" xfId="30552"/>
    <cellStyle name="Normal 7 4 2 5 2 9 2 2" xfId="30553"/>
    <cellStyle name="Normal 7 4 2 5 2 9 3" xfId="30554"/>
    <cellStyle name="Normal 7 4 2 5 2 9 3 2" xfId="30555"/>
    <cellStyle name="Normal 7 4 2 5 2 9 4" xfId="30556"/>
    <cellStyle name="Normal 7 4 2 5 2 9 4 2" xfId="30557"/>
    <cellStyle name="Normal 7 4 2 5 2 9 5" xfId="30558"/>
    <cellStyle name="Normal 7 4 2 5 3" xfId="30559"/>
    <cellStyle name="Normal 7 4 2 5 3 2" xfId="30560"/>
    <cellStyle name="Normal 7 4 2 5 3 2 2" xfId="30561"/>
    <cellStyle name="Normal 7 4 2 5 3 2 2 2" xfId="30562"/>
    <cellStyle name="Normal 7 4 2 5 3 2 2 2 2" xfId="30563"/>
    <cellStyle name="Normal 7 4 2 5 3 2 2 3" xfId="30564"/>
    <cellStyle name="Normal 7 4 2 5 3 2 2 3 2" xfId="30565"/>
    <cellStyle name="Normal 7 4 2 5 3 2 2 4" xfId="30566"/>
    <cellStyle name="Normal 7 4 2 5 3 2 2 4 2" xfId="30567"/>
    <cellStyle name="Normal 7 4 2 5 3 2 2 5" xfId="30568"/>
    <cellStyle name="Normal 7 4 2 5 3 2 3" xfId="30569"/>
    <cellStyle name="Normal 7 4 2 5 3 2 3 2" xfId="30570"/>
    <cellStyle name="Normal 7 4 2 5 3 2 3 2 2" xfId="30571"/>
    <cellStyle name="Normal 7 4 2 5 3 2 3 3" xfId="30572"/>
    <cellStyle name="Normal 7 4 2 5 3 2 3 3 2" xfId="30573"/>
    <cellStyle name="Normal 7 4 2 5 3 2 3 4" xfId="30574"/>
    <cellStyle name="Normal 7 4 2 5 3 2 3 4 2" xfId="30575"/>
    <cellStyle name="Normal 7 4 2 5 3 2 3 5" xfId="30576"/>
    <cellStyle name="Normal 7 4 2 5 3 2 4" xfId="30577"/>
    <cellStyle name="Normal 7 4 2 5 3 2 4 2" xfId="30578"/>
    <cellStyle name="Normal 7 4 2 5 3 2 5" xfId="30579"/>
    <cellStyle name="Normal 7 4 2 5 3 2 5 2" xfId="30580"/>
    <cellStyle name="Normal 7 4 2 5 3 2 6" xfId="30581"/>
    <cellStyle name="Normal 7 4 2 5 3 2 6 2" xfId="30582"/>
    <cellStyle name="Normal 7 4 2 5 3 2 7" xfId="30583"/>
    <cellStyle name="Normal 7 4 2 5 3 3" xfId="30584"/>
    <cellStyle name="Normal 7 4 2 5 3 3 2" xfId="30585"/>
    <cellStyle name="Normal 7 4 2 5 3 3 2 2" xfId="30586"/>
    <cellStyle name="Normal 7 4 2 5 3 3 3" xfId="30587"/>
    <cellStyle name="Normal 7 4 2 5 3 3 3 2" xfId="30588"/>
    <cellStyle name="Normal 7 4 2 5 3 3 4" xfId="30589"/>
    <cellStyle name="Normal 7 4 2 5 3 3 4 2" xfId="30590"/>
    <cellStyle name="Normal 7 4 2 5 3 3 5" xfId="30591"/>
    <cellStyle name="Normal 7 4 2 5 3 4" xfId="30592"/>
    <cellStyle name="Normal 7 4 2 5 3 4 2" xfId="30593"/>
    <cellStyle name="Normal 7 4 2 5 3 4 2 2" xfId="30594"/>
    <cellStyle name="Normal 7 4 2 5 3 4 3" xfId="30595"/>
    <cellStyle name="Normal 7 4 2 5 3 4 3 2" xfId="30596"/>
    <cellStyle name="Normal 7 4 2 5 3 4 4" xfId="30597"/>
    <cellStyle name="Normal 7 4 2 5 3 4 4 2" xfId="30598"/>
    <cellStyle name="Normal 7 4 2 5 3 4 5" xfId="30599"/>
    <cellStyle name="Normal 7 4 2 5 3 5" xfId="30600"/>
    <cellStyle name="Normal 7 4 2 5 3 5 2" xfId="30601"/>
    <cellStyle name="Normal 7 4 2 5 3 6" xfId="30602"/>
    <cellStyle name="Normal 7 4 2 5 3 6 2" xfId="30603"/>
    <cellStyle name="Normal 7 4 2 5 3 7" xfId="30604"/>
    <cellStyle name="Normal 7 4 2 5 3 7 2" xfId="30605"/>
    <cellStyle name="Normal 7 4 2 5 3 8" xfId="30606"/>
    <cellStyle name="Normal 7 4 2 5 4" xfId="30607"/>
    <cellStyle name="Normal 7 4 2 5 4 2" xfId="30608"/>
    <cellStyle name="Normal 7 4 2 5 4 2 2" xfId="30609"/>
    <cellStyle name="Normal 7 4 2 5 4 2 2 2" xfId="30610"/>
    <cellStyle name="Normal 7 4 2 5 4 2 2 2 2" xfId="30611"/>
    <cellStyle name="Normal 7 4 2 5 4 2 2 3" xfId="30612"/>
    <cellStyle name="Normal 7 4 2 5 4 2 2 3 2" xfId="30613"/>
    <cellStyle name="Normal 7 4 2 5 4 2 2 4" xfId="30614"/>
    <cellStyle name="Normal 7 4 2 5 4 2 2 4 2" xfId="30615"/>
    <cellStyle name="Normal 7 4 2 5 4 2 2 5" xfId="30616"/>
    <cellStyle name="Normal 7 4 2 5 4 2 3" xfId="30617"/>
    <cellStyle name="Normal 7 4 2 5 4 2 3 2" xfId="30618"/>
    <cellStyle name="Normal 7 4 2 5 4 2 3 2 2" xfId="30619"/>
    <cellStyle name="Normal 7 4 2 5 4 2 3 3" xfId="30620"/>
    <cellStyle name="Normal 7 4 2 5 4 2 3 3 2" xfId="30621"/>
    <cellStyle name="Normal 7 4 2 5 4 2 3 4" xfId="30622"/>
    <cellStyle name="Normal 7 4 2 5 4 2 3 4 2" xfId="30623"/>
    <cellStyle name="Normal 7 4 2 5 4 2 3 5" xfId="30624"/>
    <cellStyle name="Normal 7 4 2 5 4 2 4" xfId="30625"/>
    <cellStyle name="Normal 7 4 2 5 4 2 4 2" xfId="30626"/>
    <cellStyle name="Normal 7 4 2 5 4 2 5" xfId="30627"/>
    <cellStyle name="Normal 7 4 2 5 4 2 5 2" xfId="30628"/>
    <cellStyle name="Normal 7 4 2 5 4 2 6" xfId="30629"/>
    <cellStyle name="Normal 7 4 2 5 4 2 6 2" xfId="30630"/>
    <cellStyle name="Normal 7 4 2 5 4 2 7" xfId="30631"/>
    <cellStyle name="Normal 7 4 2 5 4 3" xfId="30632"/>
    <cellStyle name="Normal 7 4 2 5 4 3 2" xfId="30633"/>
    <cellStyle name="Normal 7 4 2 5 4 3 2 2" xfId="30634"/>
    <cellStyle name="Normal 7 4 2 5 4 3 3" xfId="30635"/>
    <cellStyle name="Normal 7 4 2 5 4 3 3 2" xfId="30636"/>
    <cellStyle name="Normal 7 4 2 5 4 3 4" xfId="30637"/>
    <cellStyle name="Normal 7 4 2 5 4 3 4 2" xfId="30638"/>
    <cellStyle name="Normal 7 4 2 5 4 3 5" xfId="30639"/>
    <cellStyle name="Normal 7 4 2 5 4 4" xfId="30640"/>
    <cellStyle name="Normal 7 4 2 5 4 4 2" xfId="30641"/>
    <cellStyle name="Normal 7 4 2 5 4 4 2 2" xfId="30642"/>
    <cellStyle name="Normal 7 4 2 5 4 4 3" xfId="30643"/>
    <cellStyle name="Normal 7 4 2 5 4 4 3 2" xfId="30644"/>
    <cellStyle name="Normal 7 4 2 5 4 4 4" xfId="30645"/>
    <cellStyle name="Normal 7 4 2 5 4 4 4 2" xfId="30646"/>
    <cellStyle name="Normal 7 4 2 5 4 4 5" xfId="30647"/>
    <cellStyle name="Normal 7 4 2 5 4 5" xfId="30648"/>
    <cellStyle name="Normal 7 4 2 5 4 5 2" xfId="30649"/>
    <cellStyle name="Normal 7 4 2 5 4 6" xfId="30650"/>
    <cellStyle name="Normal 7 4 2 5 4 6 2" xfId="30651"/>
    <cellStyle name="Normal 7 4 2 5 4 7" xfId="30652"/>
    <cellStyle name="Normal 7 4 2 5 4 7 2" xfId="30653"/>
    <cellStyle name="Normal 7 4 2 5 4 8" xfId="30654"/>
    <cellStyle name="Normal 7 4 2 5 5" xfId="30655"/>
    <cellStyle name="Normal 7 4 2 5 5 2" xfId="30656"/>
    <cellStyle name="Normal 7 4 2 5 5 2 2" xfId="30657"/>
    <cellStyle name="Normal 7 4 2 5 5 2 2 2" xfId="30658"/>
    <cellStyle name="Normal 7 4 2 5 5 2 2 2 2" xfId="30659"/>
    <cellStyle name="Normal 7 4 2 5 5 2 2 3" xfId="30660"/>
    <cellStyle name="Normal 7 4 2 5 5 2 2 3 2" xfId="30661"/>
    <cellStyle name="Normal 7 4 2 5 5 2 2 4" xfId="30662"/>
    <cellStyle name="Normal 7 4 2 5 5 2 2 4 2" xfId="30663"/>
    <cellStyle name="Normal 7 4 2 5 5 2 2 5" xfId="30664"/>
    <cellStyle name="Normal 7 4 2 5 5 2 3" xfId="30665"/>
    <cellStyle name="Normal 7 4 2 5 5 2 3 2" xfId="30666"/>
    <cellStyle name="Normal 7 4 2 5 5 2 3 2 2" xfId="30667"/>
    <cellStyle name="Normal 7 4 2 5 5 2 3 3" xfId="30668"/>
    <cellStyle name="Normal 7 4 2 5 5 2 3 3 2" xfId="30669"/>
    <cellStyle name="Normal 7 4 2 5 5 2 3 4" xfId="30670"/>
    <cellStyle name="Normal 7 4 2 5 5 2 3 4 2" xfId="30671"/>
    <cellStyle name="Normal 7 4 2 5 5 2 3 5" xfId="30672"/>
    <cellStyle name="Normal 7 4 2 5 5 2 4" xfId="30673"/>
    <cellStyle name="Normal 7 4 2 5 5 2 4 2" xfId="30674"/>
    <cellStyle name="Normal 7 4 2 5 5 2 5" xfId="30675"/>
    <cellStyle name="Normal 7 4 2 5 5 2 5 2" xfId="30676"/>
    <cellStyle name="Normal 7 4 2 5 5 2 6" xfId="30677"/>
    <cellStyle name="Normal 7 4 2 5 5 2 6 2" xfId="30678"/>
    <cellStyle name="Normal 7 4 2 5 5 2 7" xfId="30679"/>
    <cellStyle name="Normal 7 4 2 5 5 3" xfId="30680"/>
    <cellStyle name="Normal 7 4 2 5 5 3 2" xfId="30681"/>
    <cellStyle name="Normal 7 4 2 5 5 3 2 2" xfId="30682"/>
    <cellStyle name="Normal 7 4 2 5 5 3 3" xfId="30683"/>
    <cellStyle name="Normal 7 4 2 5 5 3 3 2" xfId="30684"/>
    <cellStyle name="Normal 7 4 2 5 5 3 4" xfId="30685"/>
    <cellStyle name="Normal 7 4 2 5 5 3 4 2" xfId="30686"/>
    <cellStyle name="Normal 7 4 2 5 5 3 5" xfId="30687"/>
    <cellStyle name="Normal 7 4 2 5 5 4" xfId="30688"/>
    <cellStyle name="Normal 7 4 2 5 5 4 2" xfId="30689"/>
    <cellStyle name="Normal 7 4 2 5 5 4 2 2" xfId="30690"/>
    <cellStyle name="Normal 7 4 2 5 5 4 3" xfId="30691"/>
    <cellStyle name="Normal 7 4 2 5 5 4 3 2" xfId="30692"/>
    <cellStyle name="Normal 7 4 2 5 5 4 4" xfId="30693"/>
    <cellStyle name="Normal 7 4 2 5 5 4 4 2" xfId="30694"/>
    <cellStyle name="Normal 7 4 2 5 5 4 5" xfId="30695"/>
    <cellStyle name="Normal 7 4 2 5 5 5" xfId="30696"/>
    <cellStyle name="Normal 7 4 2 5 5 5 2" xfId="30697"/>
    <cellStyle name="Normal 7 4 2 5 5 6" xfId="30698"/>
    <cellStyle name="Normal 7 4 2 5 5 6 2" xfId="30699"/>
    <cellStyle name="Normal 7 4 2 5 5 7" xfId="30700"/>
    <cellStyle name="Normal 7 4 2 5 5 7 2" xfId="30701"/>
    <cellStyle name="Normal 7 4 2 5 5 8" xfId="30702"/>
    <cellStyle name="Normal 7 4 2 5 6" xfId="30703"/>
    <cellStyle name="Normal 7 4 2 5 6 2" xfId="30704"/>
    <cellStyle name="Normal 7 4 2 5 6 2 2" xfId="30705"/>
    <cellStyle name="Normal 7 4 2 5 6 2 2 2" xfId="30706"/>
    <cellStyle name="Normal 7 4 2 5 6 2 2 2 2" xfId="30707"/>
    <cellStyle name="Normal 7 4 2 5 6 2 2 3" xfId="30708"/>
    <cellStyle name="Normal 7 4 2 5 6 2 2 3 2" xfId="30709"/>
    <cellStyle name="Normal 7 4 2 5 6 2 2 4" xfId="30710"/>
    <cellStyle name="Normal 7 4 2 5 6 2 2 4 2" xfId="30711"/>
    <cellStyle name="Normal 7 4 2 5 6 2 2 5" xfId="30712"/>
    <cellStyle name="Normal 7 4 2 5 6 2 3" xfId="30713"/>
    <cellStyle name="Normal 7 4 2 5 6 2 3 2" xfId="30714"/>
    <cellStyle name="Normal 7 4 2 5 6 2 3 2 2" xfId="30715"/>
    <cellStyle name="Normal 7 4 2 5 6 2 3 3" xfId="30716"/>
    <cellStyle name="Normal 7 4 2 5 6 2 3 3 2" xfId="30717"/>
    <cellStyle name="Normal 7 4 2 5 6 2 3 4" xfId="30718"/>
    <cellStyle name="Normal 7 4 2 5 6 2 3 4 2" xfId="30719"/>
    <cellStyle name="Normal 7 4 2 5 6 2 3 5" xfId="30720"/>
    <cellStyle name="Normal 7 4 2 5 6 2 4" xfId="30721"/>
    <cellStyle name="Normal 7 4 2 5 6 2 4 2" xfId="30722"/>
    <cellStyle name="Normal 7 4 2 5 6 2 5" xfId="30723"/>
    <cellStyle name="Normal 7 4 2 5 6 2 5 2" xfId="30724"/>
    <cellStyle name="Normal 7 4 2 5 6 2 6" xfId="30725"/>
    <cellStyle name="Normal 7 4 2 5 6 2 6 2" xfId="30726"/>
    <cellStyle name="Normal 7 4 2 5 6 2 7" xfId="30727"/>
    <cellStyle name="Normal 7 4 2 5 6 3" xfId="30728"/>
    <cellStyle name="Normal 7 4 2 5 6 3 2" xfId="30729"/>
    <cellStyle name="Normal 7 4 2 5 6 3 2 2" xfId="30730"/>
    <cellStyle name="Normal 7 4 2 5 6 3 3" xfId="30731"/>
    <cellStyle name="Normal 7 4 2 5 6 3 3 2" xfId="30732"/>
    <cellStyle name="Normal 7 4 2 5 6 3 4" xfId="30733"/>
    <cellStyle name="Normal 7 4 2 5 6 3 4 2" xfId="30734"/>
    <cellStyle name="Normal 7 4 2 5 6 3 5" xfId="30735"/>
    <cellStyle name="Normal 7 4 2 5 6 4" xfId="30736"/>
    <cellStyle name="Normal 7 4 2 5 6 4 2" xfId="30737"/>
    <cellStyle name="Normal 7 4 2 5 6 4 2 2" xfId="30738"/>
    <cellStyle name="Normal 7 4 2 5 6 4 3" xfId="30739"/>
    <cellStyle name="Normal 7 4 2 5 6 4 3 2" xfId="30740"/>
    <cellStyle name="Normal 7 4 2 5 6 4 4" xfId="30741"/>
    <cellStyle name="Normal 7 4 2 5 6 4 4 2" xfId="30742"/>
    <cellStyle name="Normal 7 4 2 5 6 4 5" xfId="30743"/>
    <cellStyle name="Normal 7 4 2 5 6 5" xfId="30744"/>
    <cellStyle name="Normal 7 4 2 5 6 5 2" xfId="30745"/>
    <cellStyle name="Normal 7 4 2 5 6 6" xfId="30746"/>
    <cellStyle name="Normal 7 4 2 5 6 6 2" xfId="30747"/>
    <cellStyle name="Normal 7 4 2 5 6 7" xfId="30748"/>
    <cellStyle name="Normal 7 4 2 5 6 7 2" xfId="30749"/>
    <cellStyle name="Normal 7 4 2 5 6 8" xfId="30750"/>
    <cellStyle name="Normal 7 4 2 5 7" xfId="30751"/>
    <cellStyle name="Normal 7 4 2 5 7 2" xfId="30752"/>
    <cellStyle name="Normal 7 4 2 5 7 2 2" xfId="30753"/>
    <cellStyle name="Normal 7 4 2 5 7 2 2 2" xfId="30754"/>
    <cellStyle name="Normal 7 4 2 5 7 2 2 2 2" xfId="30755"/>
    <cellStyle name="Normal 7 4 2 5 7 2 2 3" xfId="30756"/>
    <cellStyle name="Normal 7 4 2 5 7 2 2 3 2" xfId="30757"/>
    <cellStyle name="Normal 7 4 2 5 7 2 2 4" xfId="30758"/>
    <cellStyle name="Normal 7 4 2 5 7 2 2 4 2" xfId="30759"/>
    <cellStyle name="Normal 7 4 2 5 7 2 2 5" xfId="30760"/>
    <cellStyle name="Normal 7 4 2 5 7 2 3" xfId="30761"/>
    <cellStyle name="Normal 7 4 2 5 7 2 3 2" xfId="30762"/>
    <cellStyle name="Normal 7 4 2 5 7 2 3 2 2" xfId="30763"/>
    <cellStyle name="Normal 7 4 2 5 7 2 3 3" xfId="30764"/>
    <cellStyle name="Normal 7 4 2 5 7 2 3 3 2" xfId="30765"/>
    <cellStyle name="Normal 7 4 2 5 7 2 3 4" xfId="30766"/>
    <cellStyle name="Normal 7 4 2 5 7 2 3 4 2" xfId="30767"/>
    <cellStyle name="Normal 7 4 2 5 7 2 3 5" xfId="30768"/>
    <cellStyle name="Normal 7 4 2 5 7 2 4" xfId="30769"/>
    <cellStyle name="Normal 7 4 2 5 7 2 4 2" xfId="30770"/>
    <cellStyle name="Normal 7 4 2 5 7 2 5" xfId="30771"/>
    <cellStyle name="Normal 7 4 2 5 7 2 5 2" xfId="30772"/>
    <cellStyle name="Normal 7 4 2 5 7 2 6" xfId="30773"/>
    <cellStyle name="Normal 7 4 2 5 7 2 6 2" xfId="30774"/>
    <cellStyle name="Normal 7 4 2 5 7 2 7" xfId="30775"/>
    <cellStyle name="Normal 7 4 2 5 7 3" xfId="30776"/>
    <cellStyle name="Normal 7 4 2 5 7 3 2" xfId="30777"/>
    <cellStyle name="Normal 7 4 2 5 7 3 2 2" xfId="30778"/>
    <cellStyle name="Normal 7 4 2 5 7 3 3" xfId="30779"/>
    <cellStyle name="Normal 7 4 2 5 7 3 3 2" xfId="30780"/>
    <cellStyle name="Normal 7 4 2 5 7 3 4" xfId="30781"/>
    <cellStyle name="Normal 7 4 2 5 7 3 4 2" xfId="30782"/>
    <cellStyle name="Normal 7 4 2 5 7 3 5" xfId="30783"/>
    <cellStyle name="Normal 7 4 2 5 7 4" xfId="30784"/>
    <cellStyle name="Normal 7 4 2 5 7 4 2" xfId="30785"/>
    <cellStyle name="Normal 7 4 2 5 7 4 2 2" xfId="30786"/>
    <cellStyle name="Normal 7 4 2 5 7 4 3" xfId="30787"/>
    <cellStyle name="Normal 7 4 2 5 7 4 3 2" xfId="30788"/>
    <cellStyle name="Normal 7 4 2 5 7 4 4" xfId="30789"/>
    <cellStyle name="Normal 7 4 2 5 7 4 4 2" xfId="30790"/>
    <cellStyle name="Normal 7 4 2 5 7 4 5" xfId="30791"/>
    <cellStyle name="Normal 7 4 2 5 7 5" xfId="30792"/>
    <cellStyle name="Normal 7 4 2 5 7 5 2" xfId="30793"/>
    <cellStyle name="Normal 7 4 2 5 7 6" xfId="30794"/>
    <cellStyle name="Normal 7 4 2 5 7 6 2" xfId="30795"/>
    <cellStyle name="Normal 7 4 2 5 7 7" xfId="30796"/>
    <cellStyle name="Normal 7 4 2 5 7 7 2" xfId="30797"/>
    <cellStyle name="Normal 7 4 2 5 7 8" xfId="30798"/>
    <cellStyle name="Normal 7 4 2 5 8" xfId="30799"/>
    <cellStyle name="Normal 7 4 2 5 8 2" xfId="30800"/>
    <cellStyle name="Normal 7 4 2 5 8 2 2" xfId="30801"/>
    <cellStyle name="Normal 7 4 2 5 8 2 2 2" xfId="30802"/>
    <cellStyle name="Normal 7 4 2 5 8 2 3" xfId="30803"/>
    <cellStyle name="Normal 7 4 2 5 8 2 3 2" xfId="30804"/>
    <cellStyle name="Normal 7 4 2 5 8 2 4" xfId="30805"/>
    <cellStyle name="Normal 7 4 2 5 8 2 4 2" xfId="30806"/>
    <cellStyle name="Normal 7 4 2 5 8 2 5" xfId="30807"/>
    <cellStyle name="Normal 7 4 2 5 8 3" xfId="30808"/>
    <cellStyle name="Normal 7 4 2 5 8 3 2" xfId="30809"/>
    <cellStyle name="Normal 7 4 2 5 8 3 2 2" xfId="30810"/>
    <cellStyle name="Normal 7 4 2 5 8 3 3" xfId="30811"/>
    <cellStyle name="Normal 7 4 2 5 8 3 3 2" xfId="30812"/>
    <cellStyle name="Normal 7 4 2 5 8 3 4" xfId="30813"/>
    <cellStyle name="Normal 7 4 2 5 8 3 4 2" xfId="30814"/>
    <cellStyle name="Normal 7 4 2 5 8 3 5" xfId="30815"/>
    <cellStyle name="Normal 7 4 2 5 8 4" xfId="30816"/>
    <cellStyle name="Normal 7 4 2 5 8 4 2" xfId="30817"/>
    <cellStyle name="Normal 7 4 2 5 8 5" xfId="30818"/>
    <cellStyle name="Normal 7 4 2 5 8 5 2" xfId="30819"/>
    <cellStyle name="Normal 7 4 2 5 8 6" xfId="30820"/>
    <cellStyle name="Normal 7 4 2 5 8 6 2" xfId="30821"/>
    <cellStyle name="Normal 7 4 2 5 8 7" xfId="30822"/>
    <cellStyle name="Normal 7 4 2 5 9" xfId="30823"/>
    <cellStyle name="Normal 7 4 2 5 9 2" xfId="30824"/>
    <cellStyle name="Normal 7 4 2 5 9 2 2" xfId="30825"/>
    <cellStyle name="Normal 7 4 2 5 9 3" xfId="30826"/>
    <cellStyle name="Normal 7 4 2 5 9 3 2" xfId="30827"/>
    <cellStyle name="Normal 7 4 2 5 9 4" xfId="30828"/>
    <cellStyle name="Normal 7 4 2 5 9 4 2" xfId="30829"/>
    <cellStyle name="Normal 7 4 2 5 9 5" xfId="30830"/>
    <cellStyle name="Normal 7 4 2 6" xfId="30831"/>
    <cellStyle name="Normal 7 4 2 6 10" xfId="30832"/>
    <cellStyle name="Normal 7 4 2 6 10 2" xfId="30833"/>
    <cellStyle name="Normal 7 4 2 6 11" xfId="30834"/>
    <cellStyle name="Normal 7 4 2 6 11 2" xfId="30835"/>
    <cellStyle name="Normal 7 4 2 6 12" xfId="30836"/>
    <cellStyle name="Normal 7 4 2 6 12 2" xfId="30837"/>
    <cellStyle name="Normal 7 4 2 6 13" xfId="30838"/>
    <cellStyle name="Normal 7 4 2 6 2" xfId="30839"/>
    <cellStyle name="Normal 7 4 2 6 2 2" xfId="30840"/>
    <cellStyle name="Normal 7 4 2 6 2 2 2" xfId="30841"/>
    <cellStyle name="Normal 7 4 2 6 2 2 2 2" xfId="30842"/>
    <cellStyle name="Normal 7 4 2 6 2 2 2 2 2" xfId="30843"/>
    <cellStyle name="Normal 7 4 2 6 2 2 2 3" xfId="30844"/>
    <cellStyle name="Normal 7 4 2 6 2 2 2 3 2" xfId="30845"/>
    <cellStyle name="Normal 7 4 2 6 2 2 2 4" xfId="30846"/>
    <cellStyle name="Normal 7 4 2 6 2 2 2 4 2" xfId="30847"/>
    <cellStyle name="Normal 7 4 2 6 2 2 2 5" xfId="30848"/>
    <cellStyle name="Normal 7 4 2 6 2 2 3" xfId="30849"/>
    <cellStyle name="Normal 7 4 2 6 2 2 3 2" xfId="30850"/>
    <cellStyle name="Normal 7 4 2 6 2 2 3 2 2" xfId="30851"/>
    <cellStyle name="Normal 7 4 2 6 2 2 3 3" xfId="30852"/>
    <cellStyle name="Normal 7 4 2 6 2 2 3 3 2" xfId="30853"/>
    <cellStyle name="Normal 7 4 2 6 2 2 3 4" xfId="30854"/>
    <cellStyle name="Normal 7 4 2 6 2 2 3 4 2" xfId="30855"/>
    <cellStyle name="Normal 7 4 2 6 2 2 3 5" xfId="30856"/>
    <cellStyle name="Normal 7 4 2 6 2 2 4" xfId="30857"/>
    <cellStyle name="Normal 7 4 2 6 2 2 4 2" xfId="30858"/>
    <cellStyle name="Normal 7 4 2 6 2 2 5" xfId="30859"/>
    <cellStyle name="Normal 7 4 2 6 2 2 5 2" xfId="30860"/>
    <cellStyle name="Normal 7 4 2 6 2 2 6" xfId="30861"/>
    <cellStyle name="Normal 7 4 2 6 2 2 6 2" xfId="30862"/>
    <cellStyle name="Normal 7 4 2 6 2 2 7" xfId="30863"/>
    <cellStyle name="Normal 7 4 2 6 2 3" xfId="30864"/>
    <cellStyle name="Normal 7 4 2 6 2 3 2" xfId="30865"/>
    <cellStyle name="Normal 7 4 2 6 2 3 2 2" xfId="30866"/>
    <cellStyle name="Normal 7 4 2 6 2 3 3" xfId="30867"/>
    <cellStyle name="Normal 7 4 2 6 2 3 3 2" xfId="30868"/>
    <cellStyle name="Normal 7 4 2 6 2 3 4" xfId="30869"/>
    <cellStyle name="Normal 7 4 2 6 2 3 4 2" xfId="30870"/>
    <cellStyle name="Normal 7 4 2 6 2 3 5" xfId="30871"/>
    <cellStyle name="Normal 7 4 2 6 2 4" xfId="30872"/>
    <cellStyle name="Normal 7 4 2 6 2 4 2" xfId="30873"/>
    <cellStyle name="Normal 7 4 2 6 2 4 2 2" xfId="30874"/>
    <cellStyle name="Normal 7 4 2 6 2 4 3" xfId="30875"/>
    <cellStyle name="Normal 7 4 2 6 2 4 3 2" xfId="30876"/>
    <cellStyle name="Normal 7 4 2 6 2 4 4" xfId="30877"/>
    <cellStyle name="Normal 7 4 2 6 2 4 4 2" xfId="30878"/>
    <cellStyle name="Normal 7 4 2 6 2 4 5" xfId="30879"/>
    <cellStyle name="Normal 7 4 2 6 2 5" xfId="30880"/>
    <cellStyle name="Normal 7 4 2 6 2 5 2" xfId="30881"/>
    <cellStyle name="Normal 7 4 2 6 2 6" xfId="30882"/>
    <cellStyle name="Normal 7 4 2 6 2 6 2" xfId="30883"/>
    <cellStyle name="Normal 7 4 2 6 2 7" xfId="30884"/>
    <cellStyle name="Normal 7 4 2 6 2 7 2" xfId="30885"/>
    <cellStyle name="Normal 7 4 2 6 2 8" xfId="30886"/>
    <cellStyle name="Normal 7 4 2 6 3" xfId="30887"/>
    <cellStyle name="Normal 7 4 2 6 3 2" xfId="30888"/>
    <cellStyle name="Normal 7 4 2 6 3 2 2" xfId="30889"/>
    <cellStyle name="Normal 7 4 2 6 3 2 2 2" xfId="30890"/>
    <cellStyle name="Normal 7 4 2 6 3 2 2 2 2" xfId="30891"/>
    <cellStyle name="Normal 7 4 2 6 3 2 2 3" xfId="30892"/>
    <cellStyle name="Normal 7 4 2 6 3 2 2 3 2" xfId="30893"/>
    <cellStyle name="Normal 7 4 2 6 3 2 2 4" xfId="30894"/>
    <cellStyle name="Normal 7 4 2 6 3 2 2 4 2" xfId="30895"/>
    <cellStyle name="Normal 7 4 2 6 3 2 2 5" xfId="30896"/>
    <cellStyle name="Normal 7 4 2 6 3 2 3" xfId="30897"/>
    <cellStyle name="Normal 7 4 2 6 3 2 3 2" xfId="30898"/>
    <cellStyle name="Normal 7 4 2 6 3 2 3 2 2" xfId="30899"/>
    <cellStyle name="Normal 7 4 2 6 3 2 3 3" xfId="30900"/>
    <cellStyle name="Normal 7 4 2 6 3 2 3 3 2" xfId="30901"/>
    <cellStyle name="Normal 7 4 2 6 3 2 3 4" xfId="30902"/>
    <cellStyle name="Normal 7 4 2 6 3 2 3 4 2" xfId="30903"/>
    <cellStyle name="Normal 7 4 2 6 3 2 3 5" xfId="30904"/>
    <cellStyle name="Normal 7 4 2 6 3 2 4" xfId="30905"/>
    <cellStyle name="Normal 7 4 2 6 3 2 4 2" xfId="30906"/>
    <cellStyle name="Normal 7 4 2 6 3 2 5" xfId="30907"/>
    <cellStyle name="Normal 7 4 2 6 3 2 5 2" xfId="30908"/>
    <cellStyle name="Normal 7 4 2 6 3 2 6" xfId="30909"/>
    <cellStyle name="Normal 7 4 2 6 3 2 6 2" xfId="30910"/>
    <cellStyle name="Normal 7 4 2 6 3 2 7" xfId="30911"/>
    <cellStyle name="Normal 7 4 2 6 3 3" xfId="30912"/>
    <cellStyle name="Normal 7 4 2 6 3 3 2" xfId="30913"/>
    <cellStyle name="Normal 7 4 2 6 3 3 2 2" xfId="30914"/>
    <cellStyle name="Normal 7 4 2 6 3 3 3" xfId="30915"/>
    <cellStyle name="Normal 7 4 2 6 3 3 3 2" xfId="30916"/>
    <cellStyle name="Normal 7 4 2 6 3 3 4" xfId="30917"/>
    <cellStyle name="Normal 7 4 2 6 3 3 4 2" xfId="30918"/>
    <cellStyle name="Normal 7 4 2 6 3 3 5" xfId="30919"/>
    <cellStyle name="Normal 7 4 2 6 3 4" xfId="30920"/>
    <cellStyle name="Normal 7 4 2 6 3 4 2" xfId="30921"/>
    <cellStyle name="Normal 7 4 2 6 3 4 2 2" xfId="30922"/>
    <cellStyle name="Normal 7 4 2 6 3 4 3" xfId="30923"/>
    <cellStyle name="Normal 7 4 2 6 3 4 3 2" xfId="30924"/>
    <cellStyle name="Normal 7 4 2 6 3 4 4" xfId="30925"/>
    <cellStyle name="Normal 7 4 2 6 3 4 4 2" xfId="30926"/>
    <cellStyle name="Normal 7 4 2 6 3 4 5" xfId="30927"/>
    <cellStyle name="Normal 7 4 2 6 3 5" xfId="30928"/>
    <cellStyle name="Normal 7 4 2 6 3 5 2" xfId="30929"/>
    <cellStyle name="Normal 7 4 2 6 3 6" xfId="30930"/>
    <cellStyle name="Normal 7 4 2 6 3 6 2" xfId="30931"/>
    <cellStyle name="Normal 7 4 2 6 3 7" xfId="30932"/>
    <cellStyle name="Normal 7 4 2 6 3 7 2" xfId="30933"/>
    <cellStyle name="Normal 7 4 2 6 3 8" xfId="30934"/>
    <cellStyle name="Normal 7 4 2 6 4" xfId="30935"/>
    <cellStyle name="Normal 7 4 2 6 4 2" xfId="30936"/>
    <cellStyle name="Normal 7 4 2 6 4 2 2" xfId="30937"/>
    <cellStyle name="Normal 7 4 2 6 4 2 2 2" xfId="30938"/>
    <cellStyle name="Normal 7 4 2 6 4 2 2 2 2" xfId="30939"/>
    <cellStyle name="Normal 7 4 2 6 4 2 2 3" xfId="30940"/>
    <cellStyle name="Normal 7 4 2 6 4 2 2 3 2" xfId="30941"/>
    <cellStyle name="Normal 7 4 2 6 4 2 2 4" xfId="30942"/>
    <cellStyle name="Normal 7 4 2 6 4 2 2 4 2" xfId="30943"/>
    <cellStyle name="Normal 7 4 2 6 4 2 2 5" xfId="30944"/>
    <cellStyle name="Normal 7 4 2 6 4 2 3" xfId="30945"/>
    <cellStyle name="Normal 7 4 2 6 4 2 3 2" xfId="30946"/>
    <cellStyle name="Normal 7 4 2 6 4 2 3 2 2" xfId="30947"/>
    <cellStyle name="Normal 7 4 2 6 4 2 3 3" xfId="30948"/>
    <cellStyle name="Normal 7 4 2 6 4 2 3 3 2" xfId="30949"/>
    <cellStyle name="Normal 7 4 2 6 4 2 3 4" xfId="30950"/>
    <cellStyle name="Normal 7 4 2 6 4 2 3 4 2" xfId="30951"/>
    <cellStyle name="Normal 7 4 2 6 4 2 3 5" xfId="30952"/>
    <cellStyle name="Normal 7 4 2 6 4 2 4" xfId="30953"/>
    <cellStyle name="Normal 7 4 2 6 4 2 4 2" xfId="30954"/>
    <cellStyle name="Normal 7 4 2 6 4 2 5" xfId="30955"/>
    <cellStyle name="Normal 7 4 2 6 4 2 5 2" xfId="30956"/>
    <cellStyle name="Normal 7 4 2 6 4 2 6" xfId="30957"/>
    <cellStyle name="Normal 7 4 2 6 4 2 6 2" xfId="30958"/>
    <cellStyle name="Normal 7 4 2 6 4 2 7" xfId="30959"/>
    <cellStyle name="Normal 7 4 2 6 4 3" xfId="30960"/>
    <cellStyle name="Normal 7 4 2 6 4 3 2" xfId="30961"/>
    <cellStyle name="Normal 7 4 2 6 4 3 2 2" xfId="30962"/>
    <cellStyle name="Normal 7 4 2 6 4 3 3" xfId="30963"/>
    <cellStyle name="Normal 7 4 2 6 4 3 3 2" xfId="30964"/>
    <cellStyle name="Normal 7 4 2 6 4 3 4" xfId="30965"/>
    <cellStyle name="Normal 7 4 2 6 4 3 4 2" xfId="30966"/>
    <cellStyle name="Normal 7 4 2 6 4 3 5" xfId="30967"/>
    <cellStyle name="Normal 7 4 2 6 4 4" xfId="30968"/>
    <cellStyle name="Normal 7 4 2 6 4 4 2" xfId="30969"/>
    <cellStyle name="Normal 7 4 2 6 4 4 2 2" xfId="30970"/>
    <cellStyle name="Normal 7 4 2 6 4 4 3" xfId="30971"/>
    <cellStyle name="Normal 7 4 2 6 4 4 3 2" xfId="30972"/>
    <cellStyle name="Normal 7 4 2 6 4 4 4" xfId="30973"/>
    <cellStyle name="Normal 7 4 2 6 4 4 4 2" xfId="30974"/>
    <cellStyle name="Normal 7 4 2 6 4 4 5" xfId="30975"/>
    <cellStyle name="Normal 7 4 2 6 4 5" xfId="30976"/>
    <cellStyle name="Normal 7 4 2 6 4 5 2" xfId="30977"/>
    <cellStyle name="Normal 7 4 2 6 4 6" xfId="30978"/>
    <cellStyle name="Normal 7 4 2 6 4 6 2" xfId="30979"/>
    <cellStyle name="Normal 7 4 2 6 4 7" xfId="30980"/>
    <cellStyle name="Normal 7 4 2 6 4 7 2" xfId="30981"/>
    <cellStyle name="Normal 7 4 2 6 4 8" xfId="30982"/>
    <cellStyle name="Normal 7 4 2 6 5" xfId="30983"/>
    <cellStyle name="Normal 7 4 2 6 5 2" xfId="30984"/>
    <cellStyle name="Normal 7 4 2 6 5 2 2" xfId="30985"/>
    <cellStyle name="Normal 7 4 2 6 5 2 2 2" xfId="30986"/>
    <cellStyle name="Normal 7 4 2 6 5 2 2 2 2" xfId="30987"/>
    <cellStyle name="Normal 7 4 2 6 5 2 2 3" xfId="30988"/>
    <cellStyle name="Normal 7 4 2 6 5 2 2 3 2" xfId="30989"/>
    <cellStyle name="Normal 7 4 2 6 5 2 2 4" xfId="30990"/>
    <cellStyle name="Normal 7 4 2 6 5 2 2 4 2" xfId="30991"/>
    <cellStyle name="Normal 7 4 2 6 5 2 2 5" xfId="30992"/>
    <cellStyle name="Normal 7 4 2 6 5 2 3" xfId="30993"/>
    <cellStyle name="Normal 7 4 2 6 5 2 3 2" xfId="30994"/>
    <cellStyle name="Normal 7 4 2 6 5 2 3 2 2" xfId="30995"/>
    <cellStyle name="Normal 7 4 2 6 5 2 3 3" xfId="30996"/>
    <cellStyle name="Normal 7 4 2 6 5 2 3 3 2" xfId="30997"/>
    <cellStyle name="Normal 7 4 2 6 5 2 3 4" xfId="30998"/>
    <cellStyle name="Normal 7 4 2 6 5 2 3 4 2" xfId="30999"/>
    <cellStyle name="Normal 7 4 2 6 5 2 3 5" xfId="31000"/>
    <cellStyle name="Normal 7 4 2 6 5 2 4" xfId="31001"/>
    <cellStyle name="Normal 7 4 2 6 5 2 4 2" xfId="31002"/>
    <cellStyle name="Normal 7 4 2 6 5 2 5" xfId="31003"/>
    <cellStyle name="Normal 7 4 2 6 5 2 5 2" xfId="31004"/>
    <cellStyle name="Normal 7 4 2 6 5 2 6" xfId="31005"/>
    <cellStyle name="Normal 7 4 2 6 5 2 6 2" xfId="31006"/>
    <cellStyle name="Normal 7 4 2 6 5 2 7" xfId="31007"/>
    <cellStyle name="Normal 7 4 2 6 5 3" xfId="31008"/>
    <cellStyle name="Normal 7 4 2 6 5 3 2" xfId="31009"/>
    <cellStyle name="Normal 7 4 2 6 5 3 2 2" xfId="31010"/>
    <cellStyle name="Normal 7 4 2 6 5 3 3" xfId="31011"/>
    <cellStyle name="Normal 7 4 2 6 5 3 3 2" xfId="31012"/>
    <cellStyle name="Normal 7 4 2 6 5 3 4" xfId="31013"/>
    <cellStyle name="Normal 7 4 2 6 5 3 4 2" xfId="31014"/>
    <cellStyle name="Normal 7 4 2 6 5 3 5" xfId="31015"/>
    <cellStyle name="Normal 7 4 2 6 5 4" xfId="31016"/>
    <cellStyle name="Normal 7 4 2 6 5 4 2" xfId="31017"/>
    <cellStyle name="Normal 7 4 2 6 5 4 2 2" xfId="31018"/>
    <cellStyle name="Normal 7 4 2 6 5 4 3" xfId="31019"/>
    <cellStyle name="Normal 7 4 2 6 5 4 3 2" xfId="31020"/>
    <cellStyle name="Normal 7 4 2 6 5 4 4" xfId="31021"/>
    <cellStyle name="Normal 7 4 2 6 5 4 4 2" xfId="31022"/>
    <cellStyle name="Normal 7 4 2 6 5 4 5" xfId="31023"/>
    <cellStyle name="Normal 7 4 2 6 5 5" xfId="31024"/>
    <cellStyle name="Normal 7 4 2 6 5 5 2" xfId="31025"/>
    <cellStyle name="Normal 7 4 2 6 5 6" xfId="31026"/>
    <cellStyle name="Normal 7 4 2 6 5 6 2" xfId="31027"/>
    <cellStyle name="Normal 7 4 2 6 5 7" xfId="31028"/>
    <cellStyle name="Normal 7 4 2 6 5 7 2" xfId="31029"/>
    <cellStyle name="Normal 7 4 2 6 5 8" xfId="31030"/>
    <cellStyle name="Normal 7 4 2 6 6" xfId="31031"/>
    <cellStyle name="Normal 7 4 2 6 6 2" xfId="31032"/>
    <cellStyle name="Normal 7 4 2 6 6 2 2" xfId="31033"/>
    <cellStyle name="Normal 7 4 2 6 6 2 2 2" xfId="31034"/>
    <cellStyle name="Normal 7 4 2 6 6 2 2 2 2" xfId="31035"/>
    <cellStyle name="Normal 7 4 2 6 6 2 2 3" xfId="31036"/>
    <cellStyle name="Normal 7 4 2 6 6 2 2 3 2" xfId="31037"/>
    <cellStyle name="Normal 7 4 2 6 6 2 2 4" xfId="31038"/>
    <cellStyle name="Normal 7 4 2 6 6 2 2 4 2" xfId="31039"/>
    <cellStyle name="Normal 7 4 2 6 6 2 2 5" xfId="31040"/>
    <cellStyle name="Normal 7 4 2 6 6 2 3" xfId="31041"/>
    <cellStyle name="Normal 7 4 2 6 6 2 3 2" xfId="31042"/>
    <cellStyle name="Normal 7 4 2 6 6 2 3 2 2" xfId="31043"/>
    <cellStyle name="Normal 7 4 2 6 6 2 3 3" xfId="31044"/>
    <cellStyle name="Normal 7 4 2 6 6 2 3 3 2" xfId="31045"/>
    <cellStyle name="Normal 7 4 2 6 6 2 3 4" xfId="31046"/>
    <cellStyle name="Normal 7 4 2 6 6 2 3 4 2" xfId="31047"/>
    <cellStyle name="Normal 7 4 2 6 6 2 3 5" xfId="31048"/>
    <cellStyle name="Normal 7 4 2 6 6 2 4" xfId="31049"/>
    <cellStyle name="Normal 7 4 2 6 6 2 4 2" xfId="31050"/>
    <cellStyle name="Normal 7 4 2 6 6 2 5" xfId="31051"/>
    <cellStyle name="Normal 7 4 2 6 6 2 5 2" xfId="31052"/>
    <cellStyle name="Normal 7 4 2 6 6 2 6" xfId="31053"/>
    <cellStyle name="Normal 7 4 2 6 6 2 6 2" xfId="31054"/>
    <cellStyle name="Normal 7 4 2 6 6 2 7" xfId="31055"/>
    <cellStyle name="Normal 7 4 2 6 6 3" xfId="31056"/>
    <cellStyle name="Normal 7 4 2 6 6 3 2" xfId="31057"/>
    <cellStyle name="Normal 7 4 2 6 6 3 2 2" xfId="31058"/>
    <cellStyle name="Normal 7 4 2 6 6 3 3" xfId="31059"/>
    <cellStyle name="Normal 7 4 2 6 6 3 3 2" xfId="31060"/>
    <cellStyle name="Normal 7 4 2 6 6 3 4" xfId="31061"/>
    <cellStyle name="Normal 7 4 2 6 6 3 4 2" xfId="31062"/>
    <cellStyle name="Normal 7 4 2 6 6 3 5" xfId="31063"/>
    <cellStyle name="Normal 7 4 2 6 6 4" xfId="31064"/>
    <cellStyle name="Normal 7 4 2 6 6 4 2" xfId="31065"/>
    <cellStyle name="Normal 7 4 2 6 6 4 2 2" xfId="31066"/>
    <cellStyle name="Normal 7 4 2 6 6 4 3" xfId="31067"/>
    <cellStyle name="Normal 7 4 2 6 6 4 3 2" xfId="31068"/>
    <cellStyle name="Normal 7 4 2 6 6 4 4" xfId="31069"/>
    <cellStyle name="Normal 7 4 2 6 6 4 4 2" xfId="31070"/>
    <cellStyle name="Normal 7 4 2 6 6 4 5" xfId="31071"/>
    <cellStyle name="Normal 7 4 2 6 6 5" xfId="31072"/>
    <cellStyle name="Normal 7 4 2 6 6 5 2" xfId="31073"/>
    <cellStyle name="Normal 7 4 2 6 6 6" xfId="31074"/>
    <cellStyle name="Normal 7 4 2 6 6 6 2" xfId="31075"/>
    <cellStyle name="Normal 7 4 2 6 6 7" xfId="31076"/>
    <cellStyle name="Normal 7 4 2 6 6 7 2" xfId="31077"/>
    <cellStyle name="Normal 7 4 2 6 6 8" xfId="31078"/>
    <cellStyle name="Normal 7 4 2 6 7" xfId="31079"/>
    <cellStyle name="Normal 7 4 2 6 7 2" xfId="31080"/>
    <cellStyle name="Normal 7 4 2 6 7 2 2" xfId="31081"/>
    <cellStyle name="Normal 7 4 2 6 7 2 2 2" xfId="31082"/>
    <cellStyle name="Normal 7 4 2 6 7 2 3" xfId="31083"/>
    <cellStyle name="Normal 7 4 2 6 7 2 3 2" xfId="31084"/>
    <cellStyle name="Normal 7 4 2 6 7 2 4" xfId="31085"/>
    <cellStyle name="Normal 7 4 2 6 7 2 4 2" xfId="31086"/>
    <cellStyle name="Normal 7 4 2 6 7 2 5" xfId="31087"/>
    <cellStyle name="Normal 7 4 2 6 7 3" xfId="31088"/>
    <cellStyle name="Normal 7 4 2 6 7 3 2" xfId="31089"/>
    <cellStyle name="Normal 7 4 2 6 7 3 2 2" xfId="31090"/>
    <cellStyle name="Normal 7 4 2 6 7 3 3" xfId="31091"/>
    <cellStyle name="Normal 7 4 2 6 7 3 3 2" xfId="31092"/>
    <cellStyle name="Normal 7 4 2 6 7 3 4" xfId="31093"/>
    <cellStyle name="Normal 7 4 2 6 7 3 4 2" xfId="31094"/>
    <cellStyle name="Normal 7 4 2 6 7 3 5" xfId="31095"/>
    <cellStyle name="Normal 7 4 2 6 7 4" xfId="31096"/>
    <cellStyle name="Normal 7 4 2 6 7 4 2" xfId="31097"/>
    <cellStyle name="Normal 7 4 2 6 7 5" xfId="31098"/>
    <cellStyle name="Normal 7 4 2 6 7 5 2" xfId="31099"/>
    <cellStyle name="Normal 7 4 2 6 7 6" xfId="31100"/>
    <cellStyle name="Normal 7 4 2 6 7 6 2" xfId="31101"/>
    <cellStyle name="Normal 7 4 2 6 7 7" xfId="31102"/>
    <cellStyle name="Normal 7 4 2 6 8" xfId="31103"/>
    <cellStyle name="Normal 7 4 2 6 8 2" xfId="31104"/>
    <cellStyle name="Normal 7 4 2 6 8 2 2" xfId="31105"/>
    <cellStyle name="Normal 7 4 2 6 8 3" xfId="31106"/>
    <cellStyle name="Normal 7 4 2 6 8 3 2" xfId="31107"/>
    <cellStyle name="Normal 7 4 2 6 8 4" xfId="31108"/>
    <cellStyle name="Normal 7 4 2 6 8 4 2" xfId="31109"/>
    <cellStyle name="Normal 7 4 2 6 8 5" xfId="31110"/>
    <cellStyle name="Normal 7 4 2 6 9" xfId="31111"/>
    <cellStyle name="Normal 7 4 2 6 9 2" xfId="31112"/>
    <cellStyle name="Normal 7 4 2 6 9 2 2" xfId="31113"/>
    <cellStyle name="Normal 7 4 2 6 9 3" xfId="31114"/>
    <cellStyle name="Normal 7 4 2 6 9 3 2" xfId="31115"/>
    <cellStyle name="Normal 7 4 2 6 9 4" xfId="31116"/>
    <cellStyle name="Normal 7 4 2 6 9 4 2" xfId="31117"/>
    <cellStyle name="Normal 7 4 2 6 9 5" xfId="31118"/>
    <cellStyle name="Normal 7 4 2 7" xfId="31119"/>
    <cellStyle name="Normal 7 4 2 7 2" xfId="31120"/>
    <cellStyle name="Normal 7 4 2 7 2 2" xfId="31121"/>
    <cellStyle name="Normal 7 4 2 7 2 2 2" xfId="31122"/>
    <cellStyle name="Normal 7 4 2 7 2 2 2 2" xfId="31123"/>
    <cellStyle name="Normal 7 4 2 7 2 2 3" xfId="31124"/>
    <cellStyle name="Normal 7 4 2 7 2 2 3 2" xfId="31125"/>
    <cellStyle name="Normal 7 4 2 7 2 2 4" xfId="31126"/>
    <cellStyle name="Normal 7 4 2 7 2 2 4 2" xfId="31127"/>
    <cellStyle name="Normal 7 4 2 7 2 2 5" xfId="31128"/>
    <cellStyle name="Normal 7 4 2 7 2 3" xfId="31129"/>
    <cellStyle name="Normal 7 4 2 7 2 3 2" xfId="31130"/>
    <cellStyle name="Normal 7 4 2 7 2 3 2 2" xfId="31131"/>
    <cellStyle name="Normal 7 4 2 7 2 3 3" xfId="31132"/>
    <cellStyle name="Normal 7 4 2 7 2 3 3 2" xfId="31133"/>
    <cellStyle name="Normal 7 4 2 7 2 3 4" xfId="31134"/>
    <cellStyle name="Normal 7 4 2 7 2 3 4 2" xfId="31135"/>
    <cellStyle name="Normal 7 4 2 7 2 3 5" xfId="31136"/>
    <cellStyle name="Normal 7 4 2 7 2 4" xfId="31137"/>
    <cellStyle name="Normal 7 4 2 7 2 4 2" xfId="31138"/>
    <cellStyle name="Normal 7 4 2 7 2 5" xfId="31139"/>
    <cellStyle name="Normal 7 4 2 7 2 5 2" xfId="31140"/>
    <cellStyle name="Normal 7 4 2 7 2 6" xfId="31141"/>
    <cellStyle name="Normal 7 4 2 7 2 6 2" xfId="31142"/>
    <cellStyle name="Normal 7 4 2 7 2 7" xfId="31143"/>
    <cellStyle name="Normal 7 4 2 7 3" xfId="31144"/>
    <cellStyle name="Normal 7 4 2 7 3 2" xfId="31145"/>
    <cellStyle name="Normal 7 4 2 7 3 2 2" xfId="31146"/>
    <cellStyle name="Normal 7 4 2 7 3 3" xfId="31147"/>
    <cellStyle name="Normal 7 4 2 7 3 3 2" xfId="31148"/>
    <cellStyle name="Normal 7 4 2 7 3 4" xfId="31149"/>
    <cellStyle name="Normal 7 4 2 7 3 4 2" xfId="31150"/>
    <cellStyle name="Normal 7 4 2 7 3 5" xfId="31151"/>
    <cellStyle name="Normal 7 4 2 7 4" xfId="31152"/>
    <cellStyle name="Normal 7 4 2 7 4 2" xfId="31153"/>
    <cellStyle name="Normal 7 4 2 7 4 2 2" xfId="31154"/>
    <cellStyle name="Normal 7 4 2 7 4 3" xfId="31155"/>
    <cellStyle name="Normal 7 4 2 7 4 3 2" xfId="31156"/>
    <cellStyle name="Normal 7 4 2 7 4 4" xfId="31157"/>
    <cellStyle name="Normal 7 4 2 7 4 4 2" xfId="31158"/>
    <cellStyle name="Normal 7 4 2 7 4 5" xfId="31159"/>
    <cellStyle name="Normal 7 4 2 7 5" xfId="31160"/>
    <cellStyle name="Normal 7 4 2 7 5 2" xfId="31161"/>
    <cellStyle name="Normal 7 4 2 7 6" xfId="31162"/>
    <cellStyle name="Normal 7 4 2 7 6 2" xfId="31163"/>
    <cellStyle name="Normal 7 4 2 7 7" xfId="31164"/>
    <cellStyle name="Normal 7 4 2 7 7 2" xfId="31165"/>
    <cellStyle name="Normal 7 4 2 7 8" xfId="31166"/>
    <cellStyle name="Normal 7 4 2 8" xfId="31167"/>
    <cellStyle name="Normal 7 4 2 8 2" xfId="31168"/>
    <cellStyle name="Normal 7 4 2 8 2 2" xfId="31169"/>
    <cellStyle name="Normal 7 4 2 8 2 2 2" xfId="31170"/>
    <cellStyle name="Normal 7 4 2 8 2 2 2 2" xfId="31171"/>
    <cellStyle name="Normal 7 4 2 8 2 2 3" xfId="31172"/>
    <cellStyle name="Normal 7 4 2 8 2 2 3 2" xfId="31173"/>
    <cellStyle name="Normal 7 4 2 8 2 2 4" xfId="31174"/>
    <cellStyle name="Normal 7 4 2 8 2 2 4 2" xfId="31175"/>
    <cellStyle name="Normal 7 4 2 8 2 2 5" xfId="31176"/>
    <cellStyle name="Normal 7 4 2 8 2 3" xfId="31177"/>
    <cellStyle name="Normal 7 4 2 8 2 3 2" xfId="31178"/>
    <cellStyle name="Normal 7 4 2 8 2 3 2 2" xfId="31179"/>
    <cellStyle name="Normal 7 4 2 8 2 3 3" xfId="31180"/>
    <cellStyle name="Normal 7 4 2 8 2 3 3 2" xfId="31181"/>
    <cellStyle name="Normal 7 4 2 8 2 3 4" xfId="31182"/>
    <cellStyle name="Normal 7 4 2 8 2 3 4 2" xfId="31183"/>
    <cellStyle name="Normal 7 4 2 8 2 3 5" xfId="31184"/>
    <cellStyle name="Normal 7 4 2 8 2 4" xfId="31185"/>
    <cellStyle name="Normal 7 4 2 8 2 4 2" xfId="31186"/>
    <cellStyle name="Normal 7 4 2 8 2 5" xfId="31187"/>
    <cellStyle name="Normal 7 4 2 8 2 5 2" xfId="31188"/>
    <cellStyle name="Normal 7 4 2 8 2 6" xfId="31189"/>
    <cellStyle name="Normal 7 4 2 8 2 6 2" xfId="31190"/>
    <cellStyle name="Normal 7 4 2 8 2 7" xfId="31191"/>
    <cellStyle name="Normal 7 4 2 8 3" xfId="31192"/>
    <cellStyle name="Normal 7 4 2 8 3 2" xfId="31193"/>
    <cellStyle name="Normal 7 4 2 8 3 2 2" xfId="31194"/>
    <cellStyle name="Normal 7 4 2 8 3 3" xfId="31195"/>
    <cellStyle name="Normal 7 4 2 8 3 3 2" xfId="31196"/>
    <cellStyle name="Normal 7 4 2 8 3 4" xfId="31197"/>
    <cellStyle name="Normal 7 4 2 8 3 4 2" xfId="31198"/>
    <cellStyle name="Normal 7 4 2 8 3 5" xfId="31199"/>
    <cellStyle name="Normal 7 4 2 8 4" xfId="31200"/>
    <cellStyle name="Normal 7 4 2 8 4 2" xfId="31201"/>
    <cellStyle name="Normal 7 4 2 8 4 2 2" xfId="31202"/>
    <cellStyle name="Normal 7 4 2 8 4 3" xfId="31203"/>
    <cellStyle name="Normal 7 4 2 8 4 3 2" xfId="31204"/>
    <cellStyle name="Normal 7 4 2 8 4 4" xfId="31205"/>
    <cellStyle name="Normal 7 4 2 8 4 4 2" xfId="31206"/>
    <cellStyle name="Normal 7 4 2 8 4 5" xfId="31207"/>
    <cellStyle name="Normal 7 4 2 8 5" xfId="31208"/>
    <cellStyle name="Normal 7 4 2 8 5 2" xfId="31209"/>
    <cellStyle name="Normal 7 4 2 8 6" xfId="31210"/>
    <cellStyle name="Normal 7 4 2 8 6 2" xfId="31211"/>
    <cellStyle name="Normal 7 4 2 8 7" xfId="31212"/>
    <cellStyle name="Normal 7 4 2 8 7 2" xfId="31213"/>
    <cellStyle name="Normal 7 4 2 8 8" xfId="31214"/>
    <cellStyle name="Normal 7 4 2 9" xfId="31215"/>
    <cellStyle name="Normal 7 4 2 9 2" xfId="31216"/>
    <cellStyle name="Normal 7 4 2 9 2 2" xfId="31217"/>
    <cellStyle name="Normal 7 4 2 9 2 2 2" xfId="31218"/>
    <cellStyle name="Normal 7 4 2 9 2 2 2 2" xfId="31219"/>
    <cellStyle name="Normal 7 4 2 9 2 2 3" xfId="31220"/>
    <cellStyle name="Normal 7 4 2 9 2 2 3 2" xfId="31221"/>
    <cellStyle name="Normal 7 4 2 9 2 2 4" xfId="31222"/>
    <cellStyle name="Normal 7 4 2 9 2 2 4 2" xfId="31223"/>
    <cellStyle name="Normal 7 4 2 9 2 2 5" xfId="31224"/>
    <cellStyle name="Normal 7 4 2 9 2 3" xfId="31225"/>
    <cellStyle name="Normal 7 4 2 9 2 3 2" xfId="31226"/>
    <cellStyle name="Normal 7 4 2 9 2 3 2 2" xfId="31227"/>
    <cellStyle name="Normal 7 4 2 9 2 3 3" xfId="31228"/>
    <cellStyle name="Normal 7 4 2 9 2 3 3 2" xfId="31229"/>
    <cellStyle name="Normal 7 4 2 9 2 3 4" xfId="31230"/>
    <cellStyle name="Normal 7 4 2 9 2 3 4 2" xfId="31231"/>
    <cellStyle name="Normal 7 4 2 9 2 3 5" xfId="31232"/>
    <cellStyle name="Normal 7 4 2 9 2 4" xfId="31233"/>
    <cellStyle name="Normal 7 4 2 9 2 4 2" xfId="31234"/>
    <cellStyle name="Normal 7 4 2 9 2 5" xfId="31235"/>
    <cellStyle name="Normal 7 4 2 9 2 5 2" xfId="31236"/>
    <cellStyle name="Normal 7 4 2 9 2 6" xfId="31237"/>
    <cellStyle name="Normal 7 4 2 9 2 6 2" xfId="31238"/>
    <cellStyle name="Normal 7 4 2 9 2 7" xfId="31239"/>
    <cellStyle name="Normal 7 4 2 9 3" xfId="31240"/>
    <cellStyle name="Normal 7 4 2 9 3 2" xfId="31241"/>
    <cellStyle name="Normal 7 4 2 9 3 2 2" xfId="31242"/>
    <cellStyle name="Normal 7 4 2 9 3 3" xfId="31243"/>
    <cellStyle name="Normal 7 4 2 9 3 3 2" xfId="31244"/>
    <cellStyle name="Normal 7 4 2 9 3 4" xfId="31245"/>
    <cellStyle name="Normal 7 4 2 9 3 4 2" xfId="31246"/>
    <cellStyle name="Normal 7 4 2 9 3 5" xfId="31247"/>
    <cellStyle name="Normal 7 4 2 9 4" xfId="31248"/>
    <cellStyle name="Normal 7 4 2 9 4 2" xfId="31249"/>
    <cellStyle name="Normal 7 4 2 9 4 2 2" xfId="31250"/>
    <cellStyle name="Normal 7 4 2 9 4 3" xfId="31251"/>
    <cellStyle name="Normal 7 4 2 9 4 3 2" xfId="31252"/>
    <cellStyle name="Normal 7 4 2 9 4 4" xfId="31253"/>
    <cellStyle name="Normal 7 4 2 9 4 4 2" xfId="31254"/>
    <cellStyle name="Normal 7 4 2 9 4 5" xfId="31255"/>
    <cellStyle name="Normal 7 4 2 9 5" xfId="31256"/>
    <cellStyle name="Normal 7 4 2 9 5 2" xfId="31257"/>
    <cellStyle name="Normal 7 4 2 9 6" xfId="31258"/>
    <cellStyle name="Normal 7 4 2 9 6 2" xfId="31259"/>
    <cellStyle name="Normal 7 4 2 9 7" xfId="31260"/>
    <cellStyle name="Normal 7 4 2 9 7 2" xfId="31261"/>
    <cellStyle name="Normal 7 4 2 9 8" xfId="31262"/>
    <cellStyle name="Normal 7 4 20" xfId="39498"/>
    <cellStyle name="Normal 7 4 3" xfId="31263"/>
    <cellStyle name="Normal 7 4 3 10" xfId="31264"/>
    <cellStyle name="Normal 7 4 3 10 2" xfId="31265"/>
    <cellStyle name="Normal 7 4 3 10 2 2" xfId="31266"/>
    <cellStyle name="Normal 7 4 3 10 3" xfId="31267"/>
    <cellStyle name="Normal 7 4 3 10 3 2" xfId="31268"/>
    <cellStyle name="Normal 7 4 3 10 4" xfId="31269"/>
    <cellStyle name="Normal 7 4 3 10 4 2" xfId="31270"/>
    <cellStyle name="Normal 7 4 3 10 5" xfId="31271"/>
    <cellStyle name="Normal 7 4 3 11" xfId="31272"/>
    <cellStyle name="Normal 7 4 3 11 2" xfId="31273"/>
    <cellStyle name="Normal 7 4 3 12" xfId="31274"/>
    <cellStyle name="Normal 7 4 3 12 2" xfId="31275"/>
    <cellStyle name="Normal 7 4 3 13" xfId="31276"/>
    <cellStyle name="Normal 7 4 3 13 2" xfId="31277"/>
    <cellStyle name="Normal 7 4 3 14" xfId="31278"/>
    <cellStyle name="Normal 7 4 3 2" xfId="31279"/>
    <cellStyle name="Normal 7 4 3 2 10" xfId="31280"/>
    <cellStyle name="Normal 7 4 3 2 10 2" xfId="31281"/>
    <cellStyle name="Normal 7 4 3 2 11" xfId="31282"/>
    <cellStyle name="Normal 7 4 3 2 11 2" xfId="31283"/>
    <cellStyle name="Normal 7 4 3 2 12" xfId="31284"/>
    <cellStyle name="Normal 7 4 3 2 12 2" xfId="31285"/>
    <cellStyle name="Normal 7 4 3 2 13" xfId="31286"/>
    <cellStyle name="Normal 7 4 3 2 2" xfId="31287"/>
    <cellStyle name="Normal 7 4 3 2 2 2" xfId="31288"/>
    <cellStyle name="Normal 7 4 3 2 2 2 2" xfId="31289"/>
    <cellStyle name="Normal 7 4 3 2 2 2 2 2" xfId="31290"/>
    <cellStyle name="Normal 7 4 3 2 2 2 2 2 2" xfId="31291"/>
    <cellStyle name="Normal 7 4 3 2 2 2 2 3" xfId="31292"/>
    <cellStyle name="Normal 7 4 3 2 2 2 2 3 2" xfId="31293"/>
    <cellStyle name="Normal 7 4 3 2 2 2 2 4" xfId="31294"/>
    <cellStyle name="Normal 7 4 3 2 2 2 2 4 2" xfId="31295"/>
    <cellStyle name="Normal 7 4 3 2 2 2 2 5" xfId="31296"/>
    <cellStyle name="Normal 7 4 3 2 2 2 3" xfId="31297"/>
    <cellStyle name="Normal 7 4 3 2 2 2 3 2" xfId="31298"/>
    <cellStyle name="Normal 7 4 3 2 2 2 3 2 2" xfId="31299"/>
    <cellStyle name="Normal 7 4 3 2 2 2 3 3" xfId="31300"/>
    <cellStyle name="Normal 7 4 3 2 2 2 3 3 2" xfId="31301"/>
    <cellStyle name="Normal 7 4 3 2 2 2 3 4" xfId="31302"/>
    <cellStyle name="Normal 7 4 3 2 2 2 3 4 2" xfId="31303"/>
    <cellStyle name="Normal 7 4 3 2 2 2 3 5" xfId="31304"/>
    <cellStyle name="Normal 7 4 3 2 2 2 4" xfId="31305"/>
    <cellStyle name="Normal 7 4 3 2 2 2 4 2" xfId="31306"/>
    <cellStyle name="Normal 7 4 3 2 2 2 5" xfId="31307"/>
    <cellStyle name="Normal 7 4 3 2 2 2 5 2" xfId="31308"/>
    <cellStyle name="Normal 7 4 3 2 2 2 6" xfId="31309"/>
    <cellStyle name="Normal 7 4 3 2 2 2 6 2" xfId="31310"/>
    <cellStyle name="Normal 7 4 3 2 2 2 7" xfId="31311"/>
    <cellStyle name="Normal 7 4 3 2 2 3" xfId="31312"/>
    <cellStyle name="Normal 7 4 3 2 2 3 2" xfId="31313"/>
    <cellStyle name="Normal 7 4 3 2 2 3 2 2" xfId="31314"/>
    <cellStyle name="Normal 7 4 3 2 2 3 3" xfId="31315"/>
    <cellStyle name="Normal 7 4 3 2 2 3 3 2" xfId="31316"/>
    <cellStyle name="Normal 7 4 3 2 2 3 4" xfId="31317"/>
    <cellStyle name="Normal 7 4 3 2 2 3 4 2" xfId="31318"/>
    <cellStyle name="Normal 7 4 3 2 2 3 5" xfId="31319"/>
    <cellStyle name="Normal 7 4 3 2 2 4" xfId="31320"/>
    <cellStyle name="Normal 7 4 3 2 2 4 2" xfId="31321"/>
    <cellStyle name="Normal 7 4 3 2 2 4 2 2" xfId="31322"/>
    <cellStyle name="Normal 7 4 3 2 2 4 3" xfId="31323"/>
    <cellStyle name="Normal 7 4 3 2 2 4 3 2" xfId="31324"/>
    <cellStyle name="Normal 7 4 3 2 2 4 4" xfId="31325"/>
    <cellStyle name="Normal 7 4 3 2 2 4 4 2" xfId="31326"/>
    <cellStyle name="Normal 7 4 3 2 2 4 5" xfId="31327"/>
    <cellStyle name="Normal 7 4 3 2 2 5" xfId="31328"/>
    <cellStyle name="Normal 7 4 3 2 2 5 2" xfId="31329"/>
    <cellStyle name="Normal 7 4 3 2 2 6" xfId="31330"/>
    <cellStyle name="Normal 7 4 3 2 2 6 2" xfId="31331"/>
    <cellStyle name="Normal 7 4 3 2 2 7" xfId="31332"/>
    <cellStyle name="Normal 7 4 3 2 2 7 2" xfId="31333"/>
    <cellStyle name="Normal 7 4 3 2 2 8" xfId="31334"/>
    <cellStyle name="Normal 7 4 3 2 3" xfId="31335"/>
    <cellStyle name="Normal 7 4 3 2 3 2" xfId="31336"/>
    <cellStyle name="Normal 7 4 3 2 3 2 2" xfId="31337"/>
    <cellStyle name="Normal 7 4 3 2 3 2 2 2" xfId="31338"/>
    <cellStyle name="Normal 7 4 3 2 3 2 2 2 2" xfId="31339"/>
    <cellStyle name="Normal 7 4 3 2 3 2 2 3" xfId="31340"/>
    <cellStyle name="Normal 7 4 3 2 3 2 2 3 2" xfId="31341"/>
    <cellStyle name="Normal 7 4 3 2 3 2 2 4" xfId="31342"/>
    <cellStyle name="Normal 7 4 3 2 3 2 2 4 2" xfId="31343"/>
    <cellStyle name="Normal 7 4 3 2 3 2 2 5" xfId="31344"/>
    <cellStyle name="Normal 7 4 3 2 3 2 3" xfId="31345"/>
    <cellStyle name="Normal 7 4 3 2 3 2 3 2" xfId="31346"/>
    <cellStyle name="Normal 7 4 3 2 3 2 3 2 2" xfId="31347"/>
    <cellStyle name="Normal 7 4 3 2 3 2 3 3" xfId="31348"/>
    <cellStyle name="Normal 7 4 3 2 3 2 3 3 2" xfId="31349"/>
    <cellStyle name="Normal 7 4 3 2 3 2 3 4" xfId="31350"/>
    <cellStyle name="Normal 7 4 3 2 3 2 3 4 2" xfId="31351"/>
    <cellStyle name="Normal 7 4 3 2 3 2 3 5" xfId="31352"/>
    <cellStyle name="Normal 7 4 3 2 3 2 4" xfId="31353"/>
    <cellStyle name="Normal 7 4 3 2 3 2 4 2" xfId="31354"/>
    <cellStyle name="Normal 7 4 3 2 3 2 5" xfId="31355"/>
    <cellStyle name="Normal 7 4 3 2 3 2 5 2" xfId="31356"/>
    <cellStyle name="Normal 7 4 3 2 3 2 6" xfId="31357"/>
    <cellStyle name="Normal 7 4 3 2 3 2 6 2" xfId="31358"/>
    <cellStyle name="Normal 7 4 3 2 3 2 7" xfId="31359"/>
    <cellStyle name="Normal 7 4 3 2 3 3" xfId="31360"/>
    <cellStyle name="Normal 7 4 3 2 3 3 2" xfId="31361"/>
    <cellStyle name="Normal 7 4 3 2 3 3 2 2" xfId="31362"/>
    <cellStyle name="Normal 7 4 3 2 3 3 3" xfId="31363"/>
    <cellStyle name="Normal 7 4 3 2 3 3 3 2" xfId="31364"/>
    <cellStyle name="Normal 7 4 3 2 3 3 4" xfId="31365"/>
    <cellStyle name="Normal 7 4 3 2 3 3 4 2" xfId="31366"/>
    <cellStyle name="Normal 7 4 3 2 3 3 5" xfId="31367"/>
    <cellStyle name="Normal 7 4 3 2 3 4" xfId="31368"/>
    <cellStyle name="Normal 7 4 3 2 3 4 2" xfId="31369"/>
    <cellStyle name="Normal 7 4 3 2 3 4 2 2" xfId="31370"/>
    <cellStyle name="Normal 7 4 3 2 3 4 3" xfId="31371"/>
    <cellStyle name="Normal 7 4 3 2 3 4 3 2" xfId="31372"/>
    <cellStyle name="Normal 7 4 3 2 3 4 4" xfId="31373"/>
    <cellStyle name="Normal 7 4 3 2 3 4 4 2" xfId="31374"/>
    <cellStyle name="Normal 7 4 3 2 3 4 5" xfId="31375"/>
    <cellStyle name="Normal 7 4 3 2 3 5" xfId="31376"/>
    <cellStyle name="Normal 7 4 3 2 3 5 2" xfId="31377"/>
    <cellStyle name="Normal 7 4 3 2 3 6" xfId="31378"/>
    <cellStyle name="Normal 7 4 3 2 3 6 2" xfId="31379"/>
    <cellStyle name="Normal 7 4 3 2 3 7" xfId="31380"/>
    <cellStyle name="Normal 7 4 3 2 3 7 2" xfId="31381"/>
    <cellStyle name="Normal 7 4 3 2 3 8" xfId="31382"/>
    <cellStyle name="Normal 7 4 3 2 4" xfId="31383"/>
    <cellStyle name="Normal 7 4 3 2 4 2" xfId="31384"/>
    <cellStyle name="Normal 7 4 3 2 4 2 2" xfId="31385"/>
    <cellStyle name="Normal 7 4 3 2 4 2 2 2" xfId="31386"/>
    <cellStyle name="Normal 7 4 3 2 4 2 2 2 2" xfId="31387"/>
    <cellStyle name="Normal 7 4 3 2 4 2 2 3" xfId="31388"/>
    <cellStyle name="Normal 7 4 3 2 4 2 2 3 2" xfId="31389"/>
    <cellStyle name="Normal 7 4 3 2 4 2 2 4" xfId="31390"/>
    <cellStyle name="Normal 7 4 3 2 4 2 2 4 2" xfId="31391"/>
    <cellStyle name="Normal 7 4 3 2 4 2 2 5" xfId="31392"/>
    <cellStyle name="Normal 7 4 3 2 4 2 3" xfId="31393"/>
    <cellStyle name="Normal 7 4 3 2 4 2 3 2" xfId="31394"/>
    <cellStyle name="Normal 7 4 3 2 4 2 3 2 2" xfId="31395"/>
    <cellStyle name="Normal 7 4 3 2 4 2 3 3" xfId="31396"/>
    <cellStyle name="Normal 7 4 3 2 4 2 3 3 2" xfId="31397"/>
    <cellStyle name="Normal 7 4 3 2 4 2 3 4" xfId="31398"/>
    <cellStyle name="Normal 7 4 3 2 4 2 3 4 2" xfId="31399"/>
    <cellStyle name="Normal 7 4 3 2 4 2 3 5" xfId="31400"/>
    <cellStyle name="Normal 7 4 3 2 4 2 4" xfId="31401"/>
    <cellStyle name="Normal 7 4 3 2 4 2 4 2" xfId="31402"/>
    <cellStyle name="Normal 7 4 3 2 4 2 5" xfId="31403"/>
    <cellStyle name="Normal 7 4 3 2 4 2 5 2" xfId="31404"/>
    <cellStyle name="Normal 7 4 3 2 4 2 6" xfId="31405"/>
    <cellStyle name="Normal 7 4 3 2 4 2 6 2" xfId="31406"/>
    <cellStyle name="Normal 7 4 3 2 4 2 7" xfId="31407"/>
    <cellStyle name="Normal 7 4 3 2 4 3" xfId="31408"/>
    <cellStyle name="Normal 7 4 3 2 4 3 2" xfId="31409"/>
    <cellStyle name="Normal 7 4 3 2 4 3 2 2" xfId="31410"/>
    <cellStyle name="Normal 7 4 3 2 4 3 3" xfId="31411"/>
    <cellStyle name="Normal 7 4 3 2 4 3 3 2" xfId="31412"/>
    <cellStyle name="Normal 7 4 3 2 4 3 4" xfId="31413"/>
    <cellStyle name="Normal 7 4 3 2 4 3 4 2" xfId="31414"/>
    <cellStyle name="Normal 7 4 3 2 4 3 5" xfId="31415"/>
    <cellStyle name="Normal 7 4 3 2 4 4" xfId="31416"/>
    <cellStyle name="Normal 7 4 3 2 4 4 2" xfId="31417"/>
    <cellStyle name="Normal 7 4 3 2 4 4 2 2" xfId="31418"/>
    <cellStyle name="Normal 7 4 3 2 4 4 3" xfId="31419"/>
    <cellStyle name="Normal 7 4 3 2 4 4 3 2" xfId="31420"/>
    <cellStyle name="Normal 7 4 3 2 4 4 4" xfId="31421"/>
    <cellStyle name="Normal 7 4 3 2 4 4 4 2" xfId="31422"/>
    <cellStyle name="Normal 7 4 3 2 4 4 5" xfId="31423"/>
    <cellStyle name="Normal 7 4 3 2 4 5" xfId="31424"/>
    <cellStyle name="Normal 7 4 3 2 4 5 2" xfId="31425"/>
    <cellStyle name="Normal 7 4 3 2 4 6" xfId="31426"/>
    <cellStyle name="Normal 7 4 3 2 4 6 2" xfId="31427"/>
    <cellStyle name="Normal 7 4 3 2 4 7" xfId="31428"/>
    <cellStyle name="Normal 7 4 3 2 4 7 2" xfId="31429"/>
    <cellStyle name="Normal 7 4 3 2 4 8" xfId="31430"/>
    <cellStyle name="Normal 7 4 3 2 5" xfId="31431"/>
    <cellStyle name="Normal 7 4 3 2 5 2" xfId="31432"/>
    <cellStyle name="Normal 7 4 3 2 5 2 2" xfId="31433"/>
    <cellStyle name="Normal 7 4 3 2 5 2 2 2" xfId="31434"/>
    <cellStyle name="Normal 7 4 3 2 5 2 2 2 2" xfId="31435"/>
    <cellStyle name="Normal 7 4 3 2 5 2 2 3" xfId="31436"/>
    <cellStyle name="Normal 7 4 3 2 5 2 2 3 2" xfId="31437"/>
    <cellStyle name="Normal 7 4 3 2 5 2 2 4" xfId="31438"/>
    <cellStyle name="Normal 7 4 3 2 5 2 2 4 2" xfId="31439"/>
    <cellStyle name="Normal 7 4 3 2 5 2 2 5" xfId="31440"/>
    <cellStyle name="Normal 7 4 3 2 5 2 3" xfId="31441"/>
    <cellStyle name="Normal 7 4 3 2 5 2 3 2" xfId="31442"/>
    <cellStyle name="Normal 7 4 3 2 5 2 3 2 2" xfId="31443"/>
    <cellStyle name="Normal 7 4 3 2 5 2 3 3" xfId="31444"/>
    <cellStyle name="Normal 7 4 3 2 5 2 3 3 2" xfId="31445"/>
    <cellStyle name="Normal 7 4 3 2 5 2 3 4" xfId="31446"/>
    <cellStyle name="Normal 7 4 3 2 5 2 3 4 2" xfId="31447"/>
    <cellStyle name="Normal 7 4 3 2 5 2 3 5" xfId="31448"/>
    <cellStyle name="Normal 7 4 3 2 5 2 4" xfId="31449"/>
    <cellStyle name="Normal 7 4 3 2 5 2 4 2" xfId="31450"/>
    <cellStyle name="Normal 7 4 3 2 5 2 5" xfId="31451"/>
    <cellStyle name="Normal 7 4 3 2 5 2 5 2" xfId="31452"/>
    <cellStyle name="Normal 7 4 3 2 5 2 6" xfId="31453"/>
    <cellStyle name="Normal 7 4 3 2 5 2 6 2" xfId="31454"/>
    <cellStyle name="Normal 7 4 3 2 5 2 7" xfId="31455"/>
    <cellStyle name="Normal 7 4 3 2 5 3" xfId="31456"/>
    <cellStyle name="Normal 7 4 3 2 5 3 2" xfId="31457"/>
    <cellStyle name="Normal 7 4 3 2 5 3 2 2" xfId="31458"/>
    <cellStyle name="Normal 7 4 3 2 5 3 3" xfId="31459"/>
    <cellStyle name="Normal 7 4 3 2 5 3 3 2" xfId="31460"/>
    <cellStyle name="Normal 7 4 3 2 5 3 4" xfId="31461"/>
    <cellStyle name="Normal 7 4 3 2 5 3 4 2" xfId="31462"/>
    <cellStyle name="Normal 7 4 3 2 5 3 5" xfId="31463"/>
    <cellStyle name="Normal 7 4 3 2 5 4" xfId="31464"/>
    <cellStyle name="Normal 7 4 3 2 5 4 2" xfId="31465"/>
    <cellStyle name="Normal 7 4 3 2 5 4 2 2" xfId="31466"/>
    <cellStyle name="Normal 7 4 3 2 5 4 3" xfId="31467"/>
    <cellStyle name="Normal 7 4 3 2 5 4 3 2" xfId="31468"/>
    <cellStyle name="Normal 7 4 3 2 5 4 4" xfId="31469"/>
    <cellStyle name="Normal 7 4 3 2 5 4 4 2" xfId="31470"/>
    <cellStyle name="Normal 7 4 3 2 5 4 5" xfId="31471"/>
    <cellStyle name="Normal 7 4 3 2 5 5" xfId="31472"/>
    <cellStyle name="Normal 7 4 3 2 5 5 2" xfId="31473"/>
    <cellStyle name="Normal 7 4 3 2 5 6" xfId="31474"/>
    <cellStyle name="Normal 7 4 3 2 5 6 2" xfId="31475"/>
    <cellStyle name="Normal 7 4 3 2 5 7" xfId="31476"/>
    <cellStyle name="Normal 7 4 3 2 5 7 2" xfId="31477"/>
    <cellStyle name="Normal 7 4 3 2 5 8" xfId="31478"/>
    <cellStyle name="Normal 7 4 3 2 6" xfId="31479"/>
    <cellStyle name="Normal 7 4 3 2 6 2" xfId="31480"/>
    <cellStyle name="Normal 7 4 3 2 6 2 2" xfId="31481"/>
    <cellStyle name="Normal 7 4 3 2 6 2 2 2" xfId="31482"/>
    <cellStyle name="Normal 7 4 3 2 6 2 2 2 2" xfId="31483"/>
    <cellStyle name="Normal 7 4 3 2 6 2 2 3" xfId="31484"/>
    <cellStyle name="Normal 7 4 3 2 6 2 2 3 2" xfId="31485"/>
    <cellStyle name="Normal 7 4 3 2 6 2 2 4" xfId="31486"/>
    <cellStyle name="Normal 7 4 3 2 6 2 2 4 2" xfId="31487"/>
    <cellStyle name="Normal 7 4 3 2 6 2 2 5" xfId="31488"/>
    <cellStyle name="Normal 7 4 3 2 6 2 3" xfId="31489"/>
    <cellStyle name="Normal 7 4 3 2 6 2 3 2" xfId="31490"/>
    <cellStyle name="Normal 7 4 3 2 6 2 3 2 2" xfId="31491"/>
    <cellStyle name="Normal 7 4 3 2 6 2 3 3" xfId="31492"/>
    <cellStyle name="Normal 7 4 3 2 6 2 3 3 2" xfId="31493"/>
    <cellStyle name="Normal 7 4 3 2 6 2 3 4" xfId="31494"/>
    <cellStyle name="Normal 7 4 3 2 6 2 3 4 2" xfId="31495"/>
    <cellStyle name="Normal 7 4 3 2 6 2 3 5" xfId="31496"/>
    <cellStyle name="Normal 7 4 3 2 6 2 4" xfId="31497"/>
    <cellStyle name="Normal 7 4 3 2 6 2 4 2" xfId="31498"/>
    <cellStyle name="Normal 7 4 3 2 6 2 5" xfId="31499"/>
    <cellStyle name="Normal 7 4 3 2 6 2 5 2" xfId="31500"/>
    <cellStyle name="Normal 7 4 3 2 6 2 6" xfId="31501"/>
    <cellStyle name="Normal 7 4 3 2 6 2 6 2" xfId="31502"/>
    <cellStyle name="Normal 7 4 3 2 6 2 7" xfId="31503"/>
    <cellStyle name="Normal 7 4 3 2 6 3" xfId="31504"/>
    <cellStyle name="Normal 7 4 3 2 6 3 2" xfId="31505"/>
    <cellStyle name="Normal 7 4 3 2 6 3 2 2" xfId="31506"/>
    <cellStyle name="Normal 7 4 3 2 6 3 3" xfId="31507"/>
    <cellStyle name="Normal 7 4 3 2 6 3 3 2" xfId="31508"/>
    <cellStyle name="Normal 7 4 3 2 6 3 4" xfId="31509"/>
    <cellStyle name="Normal 7 4 3 2 6 3 4 2" xfId="31510"/>
    <cellStyle name="Normal 7 4 3 2 6 3 5" xfId="31511"/>
    <cellStyle name="Normal 7 4 3 2 6 4" xfId="31512"/>
    <cellStyle name="Normal 7 4 3 2 6 4 2" xfId="31513"/>
    <cellStyle name="Normal 7 4 3 2 6 4 2 2" xfId="31514"/>
    <cellStyle name="Normal 7 4 3 2 6 4 3" xfId="31515"/>
    <cellStyle name="Normal 7 4 3 2 6 4 3 2" xfId="31516"/>
    <cellStyle name="Normal 7 4 3 2 6 4 4" xfId="31517"/>
    <cellStyle name="Normal 7 4 3 2 6 4 4 2" xfId="31518"/>
    <cellStyle name="Normal 7 4 3 2 6 4 5" xfId="31519"/>
    <cellStyle name="Normal 7 4 3 2 6 5" xfId="31520"/>
    <cellStyle name="Normal 7 4 3 2 6 5 2" xfId="31521"/>
    <cellStyle name="Normal 7 4 3 2 6 6" xfId="31522"/>
    <cellStyle name="Normal 7 4 3 2 6 6 2" xfId="31523"/>
    <cellStyle name="Normal 7 4 3 2 6 7" xfId="31524"/>
    <cellStyle name="Normal 7 4 3 2 6 7 2" xfId="31525"/>
    <cellStyle name="Normal 7 4 3 2 6 8" xfId="31526"/>
    <cellStyle name="Normal 7 4 3 2 7" xfId="31527"/>
    <cellStyle name="Normal 7 4 3 2 7 2" xfId="31528"/>
    <cellStyle name="Normal 7 4 3 2 7 2 2" xfId="31529"/>
    <cellStyle name="Normal 7 4 3 2 7 2 2 2" xfId="31530"/>
    <cellStyle name="Normal 7 4 3 2 7 2 3" xfId="31531"/>
    <cellStyle name="Normal 7 4 3 2 7 2 3 2" xfId="31532"/>
    <cellStyle name="Normal 7 4 3 2 7 2 4" xfId="31533"/>
    <cellStyle name="Normal 7 4 3 2 7 2 4 2" xfId="31534"/>
    <cellStyle name="Normal 7 4 3 2 7 2 5" xfId="31535"/>
    <cellStyle name="Normal 7 4 3 2 7 3" xfId="31536"/>
    <cellStyle name="Normal 7 4 3 2 7 3 2" xfId="31537"/>
    <cellStyle name="Normal 7 4 3 2 7 3 2 2" xfId="31538"/>
    <cellStyle name="Normal 7 4 3 2 7 3 3" xfId="31539"/>
    <cellStyle name="Normal 7 4 3 2 7 3 3 2" xfId="31540"/>
    <cellStyle name="Normal 7 4 3 2 7 3 4" xfId="31541"/>
    <cellStyle name="Normal 7 4 3 2 7 3 4 2" xfId="31542"/>
    <cellStyle name="Normal 7 4 3 2 7 3 5" xfId="31543"/>
    <cellStyle name="Normal 7 4 3 2 7 4" xfId="31544"/>
    <cellStyle name="Normal 7 4 3 2 7 4 2" xfId="31545"/>
    <cellStyle name="Normal 7 4 3 2 7 5" xfId="31546"/>
    <cellStyle name="Normal 7 4 3 2 7 5 2" xfId="31547"/>
    <cellStyle name="Normal 7 4 3 2 7 6" xfId="31548"/>
    <cellStyle name="Normal 7 4 3 2 7 6 2" xfId="31549"/>
    <cellStyle name="Normal 7 4 3 2 7 7" xfId="31550"/>
    <cellStyle name="Normal 7 4 3 2 8" xfId="31551"/>
    <cellStyle name="Normal 7 4 3 2 8 2" xfId="31552"/>
    <cellStyle name="Normal 7 4 3 2 8 2 2" xfId="31553"/>
    <cellStyle name="Normal 7 4 3 2 8 3" xfId="31554"/>
    <cellStyle name="Normal 7 4 3 2 8 3 2" xfId="31555"/>
    <cellStyle name="Normal 7 4 3 2 8 4" xfId="31556"/>
    <cellStyle name="Normal 7 4 3 2 8 4 2" xfId="31557"/>
    <cellStyle name="Normal 7 4 3 2 8 5" xfId="31558"/>
    <cellStyle name="Normal 7 4 3 2 9" xfId="31559"/>
    <cellStyle name="Normal 7 4 3 2 9 2" xfId="31560"/>
    <cellStyle name="Normal 7 4 3 2 9 2 2" xfId="31561"/>
    <cellStyle name="Normal 7 4 3 2 9 3" xfId="31562"/>
    <cellStyle name="Normal 7 4 3 2 9 3 2" xfId="31563"/>
    <cellStyle name="Normal 7 4 3 2 9 4" xfId="31564"/>
    <cellStyle name="Normal 7 4 3 2 9 4 2" xfId="31565"/>
    <cellStyle name="Normal 7 4 3 2 9 5" xfId="31566"/>
    <cellStyle name="Normal 7 4 3 3" xfId="31567"/>
    <cellStyle name="Normal 7 4 3 3 2" xfId="31568"/>
    <cellStyle name="Normal 7 4 3 3 2 2" xfId="31569"/>
    <cellStyle name="Normal 7 4 3 3 2 2 2" xfId="31570"/>
    <cellStyle name="Normal 7 4 3 3 2 2 2 2" xfId="31571"/>
    <cellStyle name="Normal 7 4 3 3 2 2 3" xfId="31572"/>
    <cellStyle name="Normal 7 4 3 3 2 2 3 2" xfId="31573"/>
    <cellStyle name="Normal 7 4 3 3 2 2 4" xfId="31574"/>
    <cellStyle name="Normal 7 4 3 3 2 2 4 2" xfId="31575"/>
    <cellStyle name="Normal 7 4 3 3 2 2 5" xfId="31576"/>
    <cellStyle name="Normal 7 4 3 3 2 3" xfId="31577"/>
    <cellStyle name="Normal 7 4 3 3 2 3 2" xfId="31578"/>
    <cellStyle name="Normal 7 4 3 3 2 3 2 2" xfId="31579"/>
    <cellStyle name="Normal 7 4 3 3 2 3 3" xfId="31580"/>
    <cellStyle name="Normal 7 4 3 3 2 3 3 2" xfId="31581"/>
    <cellStyle name="Normal 7 4 3 3 2 3 4" xfId="31582"/>
    <cellStyle name="Normal 7 4 3 3 2 3 4 2" xfId="31583"/>
    <cellStyle name="Normal 7 4 3 3 2 3 5" xfId="31584"/>
    <cellStyle name="Normal 7 4 3 3 2 4" xfId="31585"/>
    <cellStyle name="Normal 7 4 3 3 2 4 2" xfId="31586"/>
    <cellStyle name="Normal 7 4 3 3 2 5" xfId="31587"/>
    <cellStyle name="Normal 7 4 3 3 2 5 2" xfId="31588"/>
    <cellStyle name="Normal 7 4 3 3 2 6" xfId="31589"/>
    <cellStyle name="Normal 7 4 3 3 2 6 2" xfId="31590"/>
    <cellStyle name="Normal 7 4 3 3 2 7" xfId="31591"/>
    <cellStyle name="Normal 7 4 3 3 3" xfId="31592"/>
    <cellStyle name="Normal 7 4 3 3 3 2" xfId="31593"/>
    <cellStyle name="Normal 7 4 3 3 3 2 2" xfId="31594"/>
    <cellStyle name="Normal 7 4 3 3 3 3" xfId="31595"/>
    <cellStyle name="Normal 7 4 3 3 3 3 2" xfId="31596"/>
    <cellStyle name="Normal 7 4 3 3 3 4" xfId="31597"/>
    <cellStyle name="Normal 7 4 3 3 3 4 2" xfId="31598"/>
    <cellStyle name="Normal 7 4 3 3 3 5" xfId="31599"/>
    <cellStyle name="Normal 7 4 3 3 4" xfId="31600"/>
    <cellStyle name="Normal 7 4 3 3 4 2" xfId="31601"/>
    <cellStyle name="Normal 7 4 3 3 4 2 2" xfId="31602"/>
    <cellStyle name="Normal 7 4 3 3 4 3" xfId="31603"/>
    <cellStyle name="Normal 7 4 3 3 4 3 2" xfId="31604"/>
    <cellStyle name="Normal 7 4 3 3 4 4" xfId="31605"/>
    <cellStyle name="Normal 7 4 3 3 4 4 2" xfId="31606"/>
    <cellStyle name="Normal 7 4 3 3 4 5" xfId="31607"/>
    <cellStyle name="Normal 7 4 3 3 5" xfId="31608"/>
    <cellStyle name="Normal 7 4 3 3 5 2" xfId="31609"/>
    <cellStyle name="Normal 7 4 3 3 6" xfId="31610"/>
    <cellStyle name="Normal 7 4 3 3 6 2" xfId="31611"/>
    <cellStyle name="Normal 7 4 3 3 7" xfId="31612"/>
    <cellStyle name="Normal 7 4 3 3 7 2" xfId="31613"/>
    <cellStyle name="Normal 7 4 3 3 8" xfId="31614"/>
    <cellStyle name="Normal 7 4 3 4" xfId="31615"/>
    <cellStyle name="Normal 7 4 3 4 2" xfId="31616"/>
    <cellStyle name="Normal 7 4 3 4 2 2" xfId="31617"/>
    <cellStyle name="Normal 7 4 3 4 2 2 2" xfId="31618"/>
    <cellStyle name="Normal 7 4 3 4 2 2 2 2" xfId="31619"/>
    <cellStyle name="Normal 7 4 3 4 2 2 3" xfId="31620"/>
    <cellStyle name="Normal 7 4 3 4 2 2 3 2" xfId="31621"/>
    <cellStyle name="Normal 7 4 3 4 2 2 4" xfId="31622"/>
    <cellStyle name="Normal 7 4 3 4 2 2 4 2" xfId="31623"/>
    <cellStyle name="Normal 7 4 3 4 2 2 5" xfId="31624"/>
    <cellStyle name="Normal 7 4 3 4 2 3" xfId="31625"/>
    <cellStyle name="Normal 7 4 3 4 2 3 2" xfId="31626"/>
    <cellStyle name="Normal 7 4 3 4 2 3 2 2" xfId="31627"/>
    <cellStyle name="Normal 7 4 3 4 2 3 3" xfId="31628"/>
    <cellStyle name="Normal 7 4 3 4 2 3 3 2" xfId="31629"/>
    <cellStyle name="Normal 7 4 3 4 2 3 4" xfId="31630"/>
    <cellStyle name="Normal 7 4 3 4 2 3 4 2" xfId="31631"/>
    <cellStyle name="Normal 7 4 3 4 2 3 5" xfId="31632"/>
    <cellStyle name="Normal 7 4 3 4 2 4" xfId="31633"/>
    <cellStyle name="Normal 7 4 3 4 2 4 2" xfId="31634"/>
    <cellStyle name="Normal 7 4 3 4 2 5" xfId="31635"/>
    <cellStyle name="Normal 7 4 3 4 2 5 2" xfId="31636"/>
    <cellStyle name="Normal 7 4 3 4 2 6" xfId="31637"/>
    <cellStyle name="Normal 7 4 3 4 2 6 2" xfId="31638"/>
    <cellStyle name="Normal 7 4 3 4 2 7" xfId="31639"/>
    <cellStyle name="Normal 7 4 3 4 3" xfId="31640"/>
    <cellStyle name="Normal 7 4 3 4 3 2" xfId="31641"/>
    <cellStyle name="Normal 7 4 3 4 3 2 2" xfId="31642"/>
    <cellStyle name="Normal 7 4 3 4 3 3" xfId="31643"/>
    <cellStyle name="Normal 7 4 3 4 3 3 2" xfId="31644"/>
    <cellStyle name="Normal 7 4 3 4 3 4" xfId="31645"/>
    <cellStyle name="Normal 7 4 3 4 3 4 2" xfId="31646"/>
    <cellStyle name="Normal 7 4 3 4 3 5" xfId="31647"/>
    <cellStyle name="Normal 7 4 3 4 4" xfId="31648"/>
    <cellStyle name="Normal 7 4 3 4 4 2" xfId="31649"/>
    <cellStyle name="Normal 7 4 3 4 4 2 2" xfId="31650"/>
    <cellStyle name="Normal 7 4 3 4 4 3" xfId="31651"/>
    <cellStyle name="Normal 7 4 3 4 4 3 2" xfId="31652"/>
    <cellStyle name="Normal 7 4 3 4 4 4" xfId="31653"/>
    <cellStyle name="Normal 7 4 3 4 4 4 2" xfId="31654"/>
    <cellStyle name="Normal 7 4 3 4 4 5" xfId="31655"/>
    <cellStyle name="Normal 7 4 3 4 5" xfId="31656"/>
    <cellStyle name="Normal 7 4 3 4 5 2" xfId="31657"/>
    <cellStyle name="Normal 7 4 3 4 6" xfId="31658"/>
    <cellStyle name="Normal 7 4 3 4 6 2" xfId="31659"/>
    <cellStyle name="Normal 7 4 3 4 7" xfId="31660"/>
    <cellStyle name="Normal 7 4 3 4 7 2" xfId="31661"/>
    <cellStyle name="Normal 7 4 3 4 8" xfId="31662"/>
    <cellStyle name="Normal 7 4 3 5" xfId="31663"/>
    <cellStyle name="Normal 7 4 3 5 2" xfId="31664"/>
    <cellStyle name="Normal 7 4 3 5 2 2" xfId="31665"/>
    <cellStyle name="Normal 7 4 3 5 2 2 2" xfId="31666"/>
    <cellStyle name="Normal 7 4 3 5 2 2 2 2" xfId="31667"/>
    <cellStyle name="Normal 7 4 3 5 2 2 3" xfId="31668"/>
    <cellStyle name="Normal 7 4 3 5 2 2 3 2" xfId="31669"/>
    <cellStyle name="Normal 7 4 3 5 2 2 4" xfId="31670"/>
    <cellStyle name="Normal 7 4 3 5 2 2 4 2" xfId="31671"/>
    <cellStyle name="Normal 7 4 3 5 2 2 5" xfId="31672"/>
    <cellStyle name="Normal 7 4 3 5 2 3" xfId="31673"/>
    <cellStyle name="Normal 7 4 3 5 2 3 2" xfId="31674"/>
    <cellStyle name="Normal 7 4 3 5 2 3 2 2" xfId="31675"/>
    <cellStyle name="Normal 7 4 3 5 2 3 3" xfId="31676"/>
    <cellStyle name="Normal 7 4 3 5 2 3 3 2" xfId="31677"/>
    <cellStyle name="Normal 7 4 3 5 2 3 4" xfId="31678"/>
    <cellStyle name="Normal 7 4 3 5 2 3 4 2" xfId="31679"/>
    <cellStyle name="Normal 7 4 3 5 2 3 5" xfId="31680"/>
    <cellStyle name="Normal 7 4 3 5 2 4" xfId="31681"/>
    <cellStyle name="Normal 7 4 3 5 2 4 2" xfId="31682"/>
    <cellStyle name="Normal 7 4 3 5 2 5" xfId="31683"/>
    <cellStyle name="Normal 7 4 3 5 2 5 2" xfId="31684"/>
    <cellStyle name="Normal 7 4 3 5 2 6" xfId="31685"/>
    <cellStyle name="Normal 7 4 3 5 2 6 2" xfId="31686"/>
    <cellStyle name="Normal 7 4 3 5 2 7" xfId="31687"/>
    <cellStyle name="Normal 7 4 3 5 3" xfId="31688"/>
    <cellStyle name="Normal 7 4 3 5 3 2" xfId="31689"/>
    <cellStyle name="Normal 7 4 3 5 3 2 2" xfId="31690"/>
    <cellStyle name="Normal 7 4 3 5 3 3" xfId="31691"/>
    <cellStyle name="Normal 7 4 3 5 3 3 2" xfId="31692"/>
    <cellStyle name="Normal 7 4 3 5 3 4" xfId="31693"/>
    <cellStyle name="Normal 7 4 3 5 3 4 2" xfId="31694"/>
    <cellStyle name="Normal 7 4 3 5 3 5" xfId="31695"/>
    <cellStyle name="Normal 7 4 3 5 4" xfId="31696"/>
    <cellStyle name="Normal 7 4 3 5 4 2" xfId="31697"/>
    <cellStyle name="Normal 7 4 3 5 4 2 2" xfId="31698"/>
    <cellStyle name="Normal 7 4 3 5 4 3" xfId="31699"/>
    <cellStyle name="Normal 7 4 3 5 4 3 2" xfId="31700"/>
    <cellStyle name="Normal 7 4 3 5 4 4" xfId="31701"/>
    <cellStyle name="Normal 7 4 3 5 4 4 2" xfId="31702"/>
    <cellStyle name="Normal 7 4 3 5 4 5" xfId="31703"/>
    <cellStyle name="Normal 7 4 3 5 5" xfId="31704"/>
    <cellStyle name="Normal 7 4 3 5 5 2" xfId="31705"/>
    <cellStyle name="Normal 7 4 3 5 6" xfId="31706"/>
    <cellStyle name="Normal 7 4 3 5 6 2" xfId="31707"/>
    <cellStyle name="Normal 7 4 3 5 7" xfId="31708"/>
    <cellStyle name="Normal 7 4 3 5 7 2" xfId="31709"/>
    <cellStyle name="Normal 7 4 3 5 8" xfId="31710"/>
    <cellStyle name="Normal 7 4 3 6" xfId="31711"/>
    <cellStyle name="Normal 7 4 3 6 2" xfId="31712"/>
    <cellStyle name="Normal 7 4 3 6 2 2" xfId="31713"/>
    <cellStyle name="Normal 7 4 3 6 2 2 2" xfId="31714"/>
    <cellStyle name="Normal 7 4 3 6 2 2 2 2" xfId="31715"/>
    <cellStyle name="Normal 7 4 3 6 2 2 3" xfId="31716"/>
    <cellStyle name="Normal 7 4 3 6 2 2 3 2" xfId="31717"/>
    <cellStyle name="Normal 7 4 3 6 2 2 4" xfId="31718"/>
    <cellStyle name="Normal 7 4 3 6 2 2 4 2" xfId="31719"/>
    <cellStyle name="Normal 7 4 3 6 2 2 5" xfId="31720"/>
    <cellStyle name="Normal 7 4 3 6 2 3" xfId="31721"/>
    <cellStyle name="Normal 7 4 3 6 2 3 2" xfId="31722"/>
    <cellStyle name="Normal 7 4 3 6 2 3 2 2" xfId="31723"/>
    <cellStyle name="Normal 7 4 3 6 2 3 3" xfId="31724"/>
    <cellStyle name="Normal 7 4 3 6 2 3 3 2" xfId="31725"/>
    <cellStyle name="Normal 7 4 3 6 2 3 4" xfId="31726"/>
    <cellStyle name="Normal 7 4 3 6 2 3 4 2" xfId="31727"/>
    <cellStyle name="Normal 7 4 3 6 2 3 5" xfId="31728"/>
    <cellStyle name="Normal 7 4 3 6 2 4" xfId="31729"/>
    <cellStyle name="Normal 7 4 3 6 2 4 2" xfId="31730"/>
    <cellStyle name="Normal 7 4 3 6 2 5" xfId="31731"/>
    <cellStyle name="Normal 7 4 3 6 2 5 2" xfId="31732"/>
    <cellStyle name="Normal 7 4 3 6 2 6" xfId="31733"/>
    <cellStyle name="Normal 7 4 3 6 2 6 2" xfId="31734"/>
    <cellStyle name="Normal 7 4 3 6 2 7" xfId="31735"/>
    <cellStyle name="Normal 7 4 3 6 3" xfId="31736"/>
    <cellStyle name="Normal 7 4 3 6 3 2" xfId="31737"/>
    <cellStyle name="Normal 7 4 3 6 3 2 2" xfId="31738"/>
    <cellStyle name="Normal 7 4 3 6 3 3" xfId="31739"/>
    <cellStyle name="Normal 7 4 3 6 3 3 2" xfId="31740"/>
    <cellStyle name="Normal 7 4 3 6 3 4" xfId="31741"/>
    <cellStyle name="Normal 7 4 3 6 3 4 2" xfId="31742"/>
    <cellStyle name="Normal 7 4 3 6 3 5" xfId="31743"/>
    <cellStyle name="Normal 7 4 3 6 4" xfId="31744"/>
    <cellStyle name="Normal 7 4 3 6 4 2" xfId="31745"/>
    <cellStyle name="Normal 7 4 3 6 4 2 2" xfId="31746"/>
    <cellStyle name="Normal 7 4 3 6 4 3" xfId="31747"/>
    <cellStyle name="Normal 7 4 3 6 4 3 2" xfId="31748"/>
    <cellStyle name="Normal 7 4 3 6 4 4" xfId="31749"/>
    <cellStyle name="Normal 7 4 3 6 4 4 2" xfId="31750"/>
    <cellStyle name="Normal 7 4 3 6 4 5" xfId="31751"/>
    <cellStyle name="Normal 7 4 3 6 5" xfId="31752"/>
    <cellStyle name="Normal 7 4 3 6 5 2" xfId="31753"/>
    <cellStyle name="Normal 7 4 3 6 6" xfId="31754"/>
    <cellStyle name="Normal 7 4 3 6 6 2" xfId="31755"/>
    <cellStyle name="Normal 7 4 3 6 7" xfId="31756"/>
    <cellStyle name="Normal 7 4 3 6 7 2" xfId="31757"/>
    <cellStyle name="Normal 7 4 3 6 8" xfId="31758"/>
    <cellStyle name="Normal 7 4 3 7" xfId="31759"/>
    <cellStyle name="Normal 7 4 3 7 2" xfId="31760"/>
    <cellStyle name="Normal 7 4 3 7 2 2" xfId="31761"/>
    <cellStyle name="Normal 7 4 3 7 2 2 2" xfId="31762"/>
    <cellStyle name="Normal 7 4 3 7 2 2 2 2" xfId="31763"/>
    <cellStyle name="Normal 7 4 3 7 2 2 3" xfId="31764"/>
    <cellStyle name="Normal 7 4 3 7 2 2 3 2" xfId="31765"/>
    <cellStyle name="Normal 7 4 3 7 2 2 4" xfId="31766"/>
    <cellStyle name="Normal 7 4 3 7 2 2 4 2" xfId="31767"/>
    <cellStyle name="Normal 7 4 3 7 2 2 5" xfId="31768"/>
    <cellStyle name="Normal 7 4 3 7 2 3" xfId="31769"/>
    <cellStyle name="Normal 7 4 3 7 2 3 2" xfId="31770"/>
    <cellStyle name="Normal 7 4 3 7 2 3 2 2" xfId="31771"/>
    <cellStyle name="Normal 7 4 3 7 2 3 3" xfId="31772"/>
    <cellStyle name="Normal 7 4 3 7 2 3 3 2" xfId="31773"/>
    <cellStyle name="Normal 7 4 3 7 2 3 4" xfId="31774"/>
    <cellStyle name="Normal 7 4 3 7 2 3 4 2" xfId="31775"/>
    <cellStyle name="Normal 7 4 3 7 2 3 5" xfId="31776"/>
    <cellStyle name="Normal 7 4 3 7 2 4" xfId="31777"/>
    <cellStyle name="Normal 7 4 3 7 2 4 2" xfId="31778"/>
    <cellStyle name="Normal 7 4 3 7 2 5" xfId="31779"/>
    <cellStyle name="Normal 7 4 3 7 2 5 2" xfId="31780"/>
    <cellStyle name="Normal 7 4 3 7 2 6" xfId="31781"/>
    <cellStyle name="Normal 7 4 3 7 2 6 2" xfId="31782"/>
    <cellStyle name="Normal 7 4 3 7 2 7" xfId="31783"/>
    <cellStyle name="Normal 7 4 3 7 3" xfId="31784"/>
    <cellStyle name="Normal 7 4 3 7 3 2" xfId="31785"/>
    <cellStyle name="Normal 7 4 3 7 3 2 2" xfId="31786"/>
    <cellStyle name="Normal 7 4 3 7 3 3" xfId="31787"/>
    <cellStyle name="Normal 7 4 3 7 3 3 2" xfId="31788"/>
    <cellStyle name="Normal 7 4 3 7 3 4" xfId="31789"/>
    <cellStyle name="Normal 7 4 3 7 3 4 2" xfId="31790"/>
    <cellStyle name="Normal 7 4 3 7 3 5" xfId="31791"/>
    <cellStyle name="Normal 7 4 3 7 4" xfId="31792"/>
    <cellStyle name="Normal 7 4 3 7 4 2" xfId="31793"/>
    <cellStyle name="Normal 7 4 3 7 4 2 2" xfId="31794"/>
    <cellStyle name="Normal 7 4 3 7 4 3" xfId="31795"/>
    <cellStyle name="Normal 7 4 3 7 4 3 2" xfId="31796"/>
    <cellStyle name="Normal 7 4 3 7 4 4" xfId="31797"/>
    <cellStyle name="Normal 7 4 3 7 4 4 2" xfId="31798"/>
    <cellStyle name="Normal 7 4 3 7 4 5" xfId="31799"/>
    <cellStyle name="Normal 7 4 3 7 5" xfId="31800"/>
    <cellStyle name="Normal 7 4 3 7 5 2" xfId="31801"/>
    <cellStyle name="Normal 7 4 3 7 6" xfId="31802"/>
    <cellStyle name="Normal 7 4 3 7 6 2" xfId="31803"/>
    <cellStyle name="Normal 7 4 3 7 7" xfId="31804"/>
    <cellStyle name="Normal 7 4 3 7 7 2" xfId="31805"/>
    <cellStyle name="Normal 7 4 3 7 8" xfId="31806"/>
    <cellStyle name="Normal 7 4 3 8" xfId="31807"/>
    <cellStyle name="Normal 7 4 3 8 2" xfId="31808"/>
    <cellStyle name="Normal 7 4 3 8 2 2" xfId="31809"/>
    <cellStyle name="Normal 7 4 3 8 2 2 2" xfId="31810"/>
    <cellStyle name="Normal 7 4 3 8 2 3" xfId="31811"/>
    <cellStyle name="Normal 7 4 3 8 2 3 2" xfId="31812"/>
    <cellStyle name="Normal 7 4 3 8 2 4" xfId="31813"/>
    <cellStyle name="Normal 7 4 3 8 2 4 2" xfId="31814"/>
    <cellStyle name="Normal 7 4 3 8 2 5" xfId="31815"/>
    <cellStyle name="Normal 7 4 3 8 3" xfId="31816"/>
    <cellStyle name="Normal 7 4 3 8 3 2" xfId="31817"/>
    <cellStyle name="Normal 7 4 3 8 3 2 2" xfId="31818"/>
    <cellStyle name="Normal 7 4 3 8 3 3" xfId="31819"/>
    <cellStyle name="Normal 7 4 3 8 3 3 2" xfId="31820"/>
    <cellStyle name="Normal 7 4 3 8 3 4" xfId="31821"/>
    <cellStyle name="Normal 7 4 3 8 3 4 2" xfId="31822"/>
    <cellStyle name="Normal 7 4 3 8 3 5" xfId="31823"/>
    <cellStyle name="Normal 7 4 3 8 4" xfId="31824"/>
    <cellStyle name="Normal 7 4 3 8 4 2" xfId="31825"/>
    <cellStyle name="Normal 7 4 3 8 5" xfId="31826"/>
    <cellStyle name="Normal 7 4 3 8 5 2" xfId="31827"/>
    <cellStyle name="Normal 7 4 3 8 6" xfId="31828"/>
    <cellStyle name="Normal 7 4 3 8 6 2" xfId="31829"/>
    <cellStyle name="Normal 7 4 3 8 7" xfId="31830"/>
    <cellStyle name="Normal 7 4 3 9" xfId="31831"/>
    <cellStyle name="Normal 7 4 3 9 2" xfId="31832"/>
    <cellStyle name="Normal 7 4 3 9 2 2" xfId="31833"/>
    <cellStyle name="Normal 7 4 3 9 3" xfId="31834"/>
    <cellStyle name="Normal 7 4 3 9 3 2" xfId="31835"/>
    <cellStyle name="Normal 7 4 3 9 4" xfId="31836"/>
    <cellStyle name="Normal 7 4 3 9 4 2" xfId="31837"/>
    <cellStyle name="Normal 7 4 3 9 5" xfId="31838"/>
    <cellStyle name="Normal 7 4 4" xfId="31839"/>
    <cellStyle name="Normal 7 4 4 10" xfId="31840"/>
    <cellStyle name="Normal 7 4 4 10 2" xfId="31841"/>
    <cellStyle name="Normal 7 4 4 10 2 2" xfId="31842"/>
    <cellStyle name="Normal 7 4 4 10 3" xfId="31843"/>
    <cellStyle name="Normal 7 4 4 10 3 2" xfId="31844"/>
    <cellStyle name="Normal 7 4 4 10 4" xfId="31845"/>
    <cellStyle name="Normal 7 4 4 10 4 2" xfId="31846"/>
    <cellStyle name="Normal 7 4 4 10 5" xfId="31847"/>
    <cellStyle name="Normal 7 4 4 11" xfId="31848"/>
    <cellStyle name="Normal 7 4 4 11 2" xfId="31849"/>
    <cellStyle name="Normal 7 4 4 12" xfId="31850"/>
    <cellStyle name="Normal 7 4 4 12 2" xfId="31851"/>
    <cellStyle name="Normal 7 4 4 13" xfId="31852"/>
    <cellStyle name="Normal 7 4 4 13 2" xfId="31853"/>
    <cellStyle name="Normal 7 4 4 14" xfId="31854"/>
    <cellStyle name="Normal 7 4 4 2" xfId="31855"/>
    <cellStyle name="Normal 7 4 4 2 10" xfId="31856"/>
    <cellStyle name="Normal 7 4 4 2 10 2" xfId="31857"/>
    <cellStyle name="Normal 7 4 4 2 11" xfId="31858"/>
    <cellStyle name="Normal 7 4 4 2 11 2" xfId="31859"/>
    <cellStyle name="Normal 7 4 4 2 12" xfId="31860"/>
    <cellStyle name="Normal 7 4 4 2 12 2" xfId="31861"/>
    <cellStyle name="Normal 7 4 4 2 13" xfId="31862"/>
    <cellStyle name="Normal 7 4 4 2 2" xfId="31863"/>
    <cellStyle name="Normal 7 4 4 2 2 2" xfId="31864"/>
    <cellStyle name="Normal 7 4 4 2 2 2 2" xfId="31865"/>
    <cellStyle name="Normal 7 4 4 2 2 2 2 2" xfId="31866"/>
    <cellStyle name="Normal 7 4 4 2 2 2 2 2 2" xfId="31867"/>
    <cellStyle name="Normal 7 4 4 2 2 2 2 3" xfId="31868"/>
    <cellStyle name="Normal 7 4 4 2 2 2 2 3 2" xfId="31869"/>
    <cellStyle name="Normal 7 4 4 2 2 2 2 4" xfId="31870"/>
    <cellStyle name="Normal 7 4 4 2 2 2 2 4 2" xfId="31871"/>
    <cellStyle name="Normal 7 4 4 2 2 2 2 5" xfId="31872"/>
    <cellStyle name="Normal 7 4 4 2 2 2 3" xfId="31873"/>
    <cellStyle name="Normal 7 4 4 2 2 2 3 2" xfId="31874"/>
    <cellStyle name="Normal 7 4 4 2 2 2 3 2 2" xfId="31875"/>
    <cellStyle name="Normal 7 4 4 2 2 2 3 3" xfId="31876"/>
    <cellStyle name="Normal 7 4 4 2 2 2 3 3 2" xfId="31877"/>
    <cellStyle name="Normal 7 4 4 2 2 2 3 4" xfId="31878"/>
    <cellStyle name="Normal 7 4 4 2 2 2 3 4 2" xfId="31879"/>
    <cellStyle name="Normal 7 4 4 2 2 2 3 5" xfId="31880"/>
    <cellStyle name="Normal 7 4 4 2 2 2 4" xfId="31881"/>
    <cellStyle name="Normal 7 4 4 2 2 2 4 2" xfId="31882"/>
    <cellStyle name="Normal 7 4 4 2 2 2 5" xfId="31883"/>
    <cellStyle name="Normal 7 4 4 2 2 2 5 2" xfId="31884"/>
    <cellStyle name="Normal 7 4 4 2 2 2 6" xfId="31885"/>
    <cellStyle name="Normal 7 4 4 2 2 2 6 2" xfId="31886"/>
    <cellStyle name="Normal 7 4 4 2 2 2 7" xfId="31887"/>
    <cellStyle name="Normal 7 4 4 2 2 3" xfId="31888"/>
    <cellStyle name="Normal 7 4 4 2 2 3 2" xfId="31889"/>
    <cellStyle name="Normal 7 4 4 2 2 3 2 2" xfId="31890"/>
    <cellStyle name="Normal 7 4 4 2 2 3 3" xfId="31891"/>
    <cellStyle name="Normal 7 4 4 2 2 3 3 2" xfId="31892"/>
    <cellStyle name="Normal 7 4 4 2 2 3 4" xfId="31893"/>
    <cellStyle name="Normal 7 4 4 2 2 3 4 2" xfId="31894"/>
    <cellStyle name="Normal 7 4 4 2 2 3 5" xfId="31895"/>
    <cellStyle name="Normal 7 4 4 2 2 4" xfId="31896"/>
    <cellStyle name="Normal 7 4 4 2 2 4 2" xfId="31897"/>
    <cellStyle name="Normal 7 4 4 2 2 4 2 2" xfId="31898"/>
    <cellStyle name="Normal 7 4 4 2 2 4 3" xfId="31899"/>
    <cellStyle name="Normal 7 4 4 2 2 4 3 2" xfId="31900"/>
    <cellStyle name="Normal 7 4 4 2 2 4 4" xfId="31901"/>
    <cellStyle name="Normal 7 4 4 2 2 4 4 2" xfId="31902"/>
    <cellStyle name="Normal 7 4 4 2 2 4 5" xfId="31903"/>
    <cellStyle name="Normal 7 4 4 2 2 5" xfId="31904"/>
    <cellStyle name="Normal 7 4 4 2 2 5 2" xfId="31905"/>
    <cellStyle name="Normal 7 4 4 2 2 6" xfId="31906"/>
    <cellStyle name="Normal 7 4 4 2 2 6 2" xfId="31907"/>
    <cellStyle name="Normal 7 4 4 2 2 7" xfId="31908"/>
    <cellStyle name="Normal 7 4 4 2 2 7 2" xfId="31909"/>
    <cellStyle name="Normal 7 4 4 2 2 8" xfId="31910"/>
    <cellStyle name="Normal 7 4 4 2 3" xfId="31911"/>
    <cellStyle name="Normal 7 4 4 2 3 2" xfId="31912"/>
    <cellStyle name="Normal 7 4 4 2 3 2 2" xfId="31913"/>
    <cellStyle name="Normal 7 4 4 2 3 2 2 2" xfId="31914"/>
    <cellStyle name="Normal 7 4 4 2 3 2 2 2 2" xfId="31915"/>
    <cellStyle name="Normal 7 4 4 2 3 2 2 3" xfId="31916"/>
    <cellStyle name="Normal 7 4 4 2 3 2 2 3 2" xfId="31917"/>
    <cellStyle name="Normal 7 4 4 2 3 2 2 4" xfId="31918"/>
    <cellStyle name="Normal 7 4 4 2 3 2 2 4 2" xfId="31919"/>
    <cellStyle name="Normal 7 4 4 2 3 2 2 5" xfId="31920"/>
    <cellStyle name="Normal 7 4 4 2 3 2 3" xfId="31921"/>
    <cellStyle name="Normal 7 4 4 2 3 2 3 2" xfId="31922"/>
    <cellStyle name="Normal 7 4 4 2 3 2 3 2 2" xfId="31923"/>
    <cellStyle name="Normal 7 4 4 2 3 2 3 3" xfId="31924"/>
    <cellStyle name="Normal 7 4 4 2 3 2 3 3 2" xfId="31925"/>
    <cellStyle name="Normal 7 4 4 2 3 2 3 4" xfId="31926"/>
    <cellStyle name="Normal 7 4 4 2 3 2 3 4 2" xfId="31927"/>
    <cellStyle name="Normal 7 4 4 2 3 2 3 5" xfId="31928"/>
    <cellStyle name="Normal 7 4 4 2 3 2 4" xfId="31929"/>
    <cellStyle name="Normal 7 4 4 2 3 2 4 2" xfId="31930"/>
    <cellStyle name="Normal 7 4 4 2 3 2 5" xfId="31931"/>
    <cellStyle name="Normal 7 4 4 2 3 2 5 2" xfId="31932"/>
    <cellStyle name="Normal 7 4 4 2 3 2 6" xfId="31933"/>
    <cellStyle name="Normal 7 4 4 2 3 2 6 2" xfId="31934"/>
    <cellStyle name="Normal 7 4 4 2 3 2 7" xfId="31935"/>
    <cellStyle name="Normal 7 4 4 2 3 3" xfId="31936"/>
    <cellStyle name="Normal 7 4 4 2 3 3 2" xfId="31937"/>
    <cellStyle name="Normal 7 4 4 2 3 3 2 2" xfId="31938"/>
    <cellStyle name="Normal 7 4 4 2 3 3 3" xfId="31939"/>
    <cellStyle name="Normal 7 4 4 2 3 3 3 2" xfId="31940"/>
    <cellStyle name="Normal 7 4 4 2 3 3 4" xfId="31941"/>
    <cellStyle name="Normal 7 4 4 2 3 3 4 2" xfId="31942"/>
    <cellStyle name="Normal 7 4 4 2 3 3 5" xfId="31943"/>
    <cellStyle name="Normal 7 4 4 2 3 4" xfId="31944"/>
    <cellStyle name="Normal 7 4 4 2 3 4 2" xfId="31945"/>
    <cellStyle name="Normal 7 4 4 2 3 4 2 2" xfId="31946"/>
    <cellStyle name="Normal 7 4 4 2 3 4 3" xfId="31947"/>
    <cellStyle name="Normal 7 4 4 2 3 4 3 2" xfId="31948"/>
    <cellStyle name="Normal 7 4 4 2 3 4 4" xfId="31949"/>
    <cellStyle name="Normal 7 4 4 2 3 4 4 2" xfId="31950"/>
    <cellStyle name="Normal 7 4 4 2 3 4 5" xfId="31951"/>
    <cellStyle name="Normal 7 4 4 2 3 5" xfId="31952"/>
    <cellStyle name="Normal 7 4 4 2 3 5 2" xfId="31953"/>
    <cellStyle name="Normal 7 4 4 2 3 6" xfId="31954"/>
    <cellStyle name="Normal 7 4 4 2 3 6 2" xfId="31955"/>
    <cellStyle name="Normal 7 4 4 2 3 7" xfId="31956"/>
    <cellStyle name="Normal 7 4 4 2 3 7 2" xfId="31957"/>
    <cellStyle name="Normal 7 4 4 2 3 8" xfId="31958"/>
    <cellStyle name="Normal 7 4 4 2 4" xfId="31959"/>
    <cellStyle name="Normal 7 4 4 2 4 2" xfId="31960"/>
    <cellStyle name="Normal 7 4 4 2 4 2 2" xfId="31961"/>
    <cellStyle name="Normal 7 4 4 2 4 2 2 2" xfId="31962"/>
    <cellStyle name="Normal 7 4 4 2 4 2 2 2 2" xfId="31963"/>
    <cellStyle name="Normal 7 4 4 2 4 2 2 3" xfId="31964"/>
    <cellStyle name="Normal 7 4 4 2 4 2 2 3 2" xfId="31965"/>
    <cellStyle name="Normal 7 4 4 2 4 2 2 4" xfId="31966"/>
    <cellStyle name="Normal 7 4 4 2 4 2 2 4 2" xfId="31967"/>
    <cellStyle name="Normal 7 4 4 2 4 2 2 5" xfId="31968"/>
    <cellStyle name="Normal 7 4 4 2 4 2 3" xfId="31969"/>
    <cellStyle name="Normal 7 4 4 2 4 2 3 2" xfId="31970"/>
    <cellStyle name="Normal 7 4 4 2 4 2 3 2 2" xfId="31971"/>
    <cellStyle name="Normal 7 4 4 2 4 2 3 3" xfId="31972"/>
    <cellStyle name="Normal 7 4 4 2 4 2 3 3 2" xfId="31973"/>
    <cellStyle name="Normal 7 4 4 2 4 2 3 4" xfId="31974"/>
    <cellStyle name="Normal 7 4 4 2 4 2 3 4 2" xfId="31975"/>
    <cellStyle name="Normal 7 4 4 2 4 2 3 5" xfId="31976"/>
    <cellStyle name="Normal 7 4 4 2 4 2 4" xfId="31977"/>
    <cellStyle name="Normal 7 4 4 2 4 2 4 2" xfId="31978"/>
    <cellStyle name="Normal 7 4 4 2 4 2 5" xfId="31979"/>
    <cellStyle name="Normal 7 4 4 2 4 2 5 2" xfId="31980"/>
    <cellStyle name="Normal 7 4 4 2 4 2 6" xfId="31981"/>
    <cellStyle name="Normal 7 4 4 2 4 2 6 2" xfId="31982"/>
    <cellStyle name="Normal 7 4 4 2 4 2 7" xfId="31983"/>
    <cellStyle name="Normal 7 4 4 2 4 3" xfId="31984"/>
    <cellStyle name="Normal 7 4 4 2 4 3 2" xfId="31985"/>
    <cellStyle name="Normal 7 4 4 2 4 3 2 2" xfId="31986"/>
    <cellStyle name="Normal 7 4 4 2 4 3 3" xfId="31987"/>
    <cellStyle name="Normal 7 4 4 2 4 3 3 2" xfId="31988"/>
    <cellStyle name="Normal 7 4 4 2 4 3 4" xfId="31989"/>
    <cellStyle name="Normal 7 4 4 2 4 3 4 2" xfId="31990"/>
    <cellStyle name="Normal 7 4 4 2 4 3 5" xfId="31991"/>
    <cellStyle name="Normal 7 4 4 2 4 4" xfId="31992"/>
    <cellStyle name="Normal 7 4 4 2 4 4 2" xfId="31993"/>
    <cellStyle name="Normal 7 4 4 2 4 4 2 2" xfId="31994"/>
    <cellStyle name="Normal 7 4 4 2 4 4 3" xfId="31995"/>
    <cellStyle name="Normal 7 4 4 2 4 4 3 2" xfId="31996"/>
    <cellStyle name="Normal 7 4 4 2 4 4 4" xfId="31997"/>
    <cellStyle name="Normal 7 4 4 2 4 4 4 2" xfId="31998"/>
    <cellStyle name="Normal 7 4 4 2 4 4 5" xfId="31999"/>
    <cellStyle name="Normal 7 4 4 2 4 5" xfId="32000"/>
    <cellStyle name="Normal 7 4 4 2 4 5 2" xfId="32001"/>
    <cellStyle name="Normal 7 4 4 2 4 6" xfId="32002"/>
    <cellStyle name="Normal 7 4 4 2 4 6 2" xfId="32003"/>
    <cellStyle name="Normal 7 4 4 2 4 7" xfId="32004"/>
    <cellStyle name="Normal 7 4 4 2 4 7 2" xfId="32005"/>
    <cellStyle name="Normal 7 4 4 2 4 8" xfId="32006"/>
    <cellStyle name="Normal 7 4 4 2 5" xfId="32007"/>
    <cellStyle name="Normal 7 4 4 2 5 2" xfId="32008"/>
    <cellStyle name="Normal 7 4 4 2 5 2 2" xfId="32009"/>
    <cellStyle name="Normal 7 4 4 2 5 2 2 2" xfId="32010"/>
    <cellStyle name="Normal 7 4 4 2 5 2 2 2 2" xfId="32011"/>
    <cellStyle name="Normal 7 4 4 2 5 2 2 3" xfId="32012"/>
    <cellStyle name="Normal 7 4 4 2 5 2 2 3 2" xfId="32013"/>
    <cellStyle name="Normal 7 4 4 2 5 2 2 4" xfId="32014"/>
    <cellStyle name="Normal 7 4 4 2 5 2 2 4 2" xfId="32015"/>
    <cellStyle name="Normal 7 4 4 2 5 2 2 5" xfId="32016"/>
    <cellStyle name="Normal 7 4 4 2 5 2 3" xfId="32017"/>
    <cellStyle name="Normal 7 4 4 2 5 2 3 2" xfId="32018"/>
    <cellStyle name="Normal 7 4 4 2 5 2 3 2 2" xfId="32019"/>
    <cellStyle name="Normal 7 4 4 2 5 2 3 3" xfId="32020"/>
    <cellStyle name="Normal 7 4 4 2 5 2 3 3 2" xfId="32021"/>
    <cellStyle name="Normal 7 4 4 2 5 2 3 4" xfId="32022"/>
    <cellStyle name="Normal 7 4 4 2 5 2 3 4 2" xfId="32023"/>
    <cellStyle name="Normal 7 4 4 2 5 2 3 5" xfId="32024"/>
    <cellStyle name="Normal 7 4 4 2 5 2 4" xfId="32025"/>
    <cellStyle name="Normal 7 4 4 2 5 2 4 2" xfId="32026"/>
    <cellStyle name="Normal 7 4 4 2 5 2 5" xfId="32027"/>
    <cellStyle name="Normal 7 4 4 2 5 2 5 2" xfId="32028"/>
    <cellStyle name="Normal 7 4 4 2 5 2 6" xfId="32029"/>
    <cellStyle name="Normal 7 4 4 2 5 2 6 2" xfId="32030"/>
    <cellStyle name="Normal 7 4 4 2 5 2 7" xfId="32031"/>
    <cellStyle name="Normal 7 4 4 2 5 3" xfId="32032"/>
    <cellStyle name="Normal 7 4 4 2 5 3 2" xfId="32033"/>
    <cellStyle name="Normal 7 4 4 2 5 3 2 2" xfId="32034"/>
    <cellStyle name="Normal 7 4 4 2 5 3 3" xfId="32035"/>
    <cellStyle name="Normal 7 4 4 2 5 3 3 2" xfId="32036"/>
    <cellStyle name="Normal 7 4 4 2 5 3 4" xfId="32037"/>
    <cellStyle name="Normal 7 4 4 2 5 3 4 2" xfId="32038"/>
    <cellStyle name="Normal 7 4 4 2 5 3 5" xfId="32039"/>
    <cellStyle name="Normal 7 4 4 2 5 4" xfId="32040"/>
    <cellStyle name="Normal 7 4 4 2 5 4 2" xfId="32041"/>
    <cellStyle name="Normal 7 4 4 2 5 4 2 2" xfId="32042"/>
    <cellStyle name="Normal 7 4 4 2 5 4 3" xfId="32043"/>
    <cellStyle name="Normal 7 4 4 2 5 4 3 2" xfId="32044"/>
    <cellStyle name="Normal 7 4 4 2 5 4 4" xfId="32045"/>
    <cellStyle name="Normal 7 4 4 2 5 4 4 2" xfId="32046"/>
    <cellStyle name="Normal 7 4 4 2 5 4 5" xfId="32047"/>
    <cellStyle name="Normal 7 4 4 2 5 5" xfId="32048"/>
    <cellStyle name="Normal 7 4 4 2 5 5 2" xfId="32049"/>
    <cellStyle name="Normal 7 4 4 2 5 6" xfId="32050"/>
    <cellStyle name="Normal 7 4 4 2 5 6 2" xfId="32051"/>
    <cellStyle name="Normal 7 4 4 2 5 7" xfId="32052"/>
    <cellStyle name="Normal 7 4 4 2 5 7 2" xfId="32053"/>
    <cellStyle name="Normal 7 4 4 2 5 8" xfId="32054"/>
    <cellStyle name="Normal 7 4 4 2 6" xfId="32055"/>
    <cellStyle name="Normal 7 4 4 2 6 2" xfId="32056"/>
    <cellStyle name="Normal 7 4 4 2 6 2 2" xfId="32057"/>
    <cellStyle name="Normal 7 4 4 2 6 2 2 2" xfId="32058"/>
    <cellStyle name="Normal 7 4 4 2 6 2 2 2 2" xfId="32059"/>
    <cellStyle name="Normal 7 4 4 2 6 2 2 3" xfId="32060"/>
    <cellStyle name="Normal 7 4 4 2 6 2 2 3 2" xfId="32061"/>
    <cellStyle name="Normal 7 4 4 2 6 2 2 4" xfId="32062"/>
    <cellStyle name="Normal 7 4 4 2 6 2 2 4 2" xfId="32063"/>
    <cellStyle name="Normal 7 4 4 2 6 2 2 5" xfId="32064"/>
    <cellStyle name="Normal 7 4 4 2 6 2 3" xfId="32065"/>
    <cellStyle name="Normal 7 4 4 2 6 2 3 2" xfId="32066"/>
    <cellStyle name="Normal 7 4 4 2 6 2 3 2 2" xfId="32067"/>
    <cellStyle name="Normal 7 4 4 2 6 2 3 3" xfId="32068"/>
    <cellStyle name="Normal 7 4 4 2 6 2 3 3 2" xfId="32069"/>
    <cellStyle name="Normal 7 4 4 2 6 2 3 4" xfId="32070"/>
    <cellStyle name="Normal 7 4 4 2 6 2 3 4 2" xfId="32071"/>
    <cellStyle name="Normal 7 4 4 2 6 2 3 5" xfId="32072"/>
    <cellStyle name="Normal 7 4 4 2 6 2 4" xfId="32073"/>
    <cellStyle name="Normal 7 4 4 2 6 2 4 2" xfId="32074"/>
    <cellStyle name="Normal 7 4 4 2 6 2 5" xfId="32075"/>
    <cellStyle name="Normal 7 4 4 2 6 2 5 2" xfId="32076"/>
    <cellStyle name="Normal 7 4 4 2 6 2 6" xfId="32077"/>
    <cellStyle name="Normal 7 4 4 2 6 2 6 2" xfId="32078"/>
    <cellStyle name="Normal 7 4 4 2 6 2 7" xfId="32079"/>
    <cellStyle name="Normal 7 4 4 2 6 3" xfId="32080"/>
    <cellStyle name="Normal 7 4 4 2 6 3 2" xfId="32081"/>
    <cellStyle name="Normal 7 4 4 2 6 3 2 2" xfId="32082"/>
    <cellStyle name="Normal 7 4 4 2 6 3 3" xfId="32083"/>
    <cellStyle name="Normal 7 4 4 2 6 3 3 2" xfId="32084"/>
    <cellStyle name="Normal 7 4 4 2 6 3 4" xfId="32085"/>
    <cellStyle name="Normal 7 4 4 2 6 3 4 2" xfId="32086"/>
    <cellStyle name="Normal 7 4 4 2 6 3 5" xfId="32087"/>
    <cellStyle name="Normal 7 4 4 2 6 4" xfId="32088"/>
    <cellStyle name="Normal 7 4 4 2 6 4 2" xfId="32089"/>
    <cellStyle name="Normal 7 4 4 2 6 4 2 2" xfId="32090"/>
    <cellStyle name="Normal 7 4 4 2 6 4 3" xfId="32091"/>
    <cellStyle name="Normal 7 4 4 2 6 4 3 2" xfId="32092"/>
    <cellStyle name="Normal 7 4 4 2 6 4 4" xfId="32093"/>
    <cellStyle name="Normal 7 4 4 2 6 4 4 2" xfId="32094"/>
    <cellStyle name="Normal 7 4 4 2 6 4 5" xfId="32095"/>
    <cellStyle name="Normal 7 4 4 2 6 5" xfId="32096"/>
    <cellStyle name="Normal 7 4 4 2 6 5 2" xfId="32097"/>
    <cellStyle name="Normal 7 4 4 2 6 6" xfId="32098"/>
    <cellStyle name="Normal 7 4 4 2 6 6 2" xfId="32099"/>
    <cellStyle name="Normal 7 4 4 2 6 7" xfId="32100"/>
    <cellStyle name="Normal 7 4 4 2 6 7 2" xfId="32101"/>
    <cellStyle name="Normal 7 4 4 2 6 8" xfId="32102"/>
    <cellStyle name="Normal 7 4 4 2 7" xfId="32103"/>
    <cellStyle name="Normal 7 4 4 2 7 2" xfId="32104"/>
    <cellStyle name="Normal 7 4 4 2 7 2 2" xfId="32105"/>
    <cellStyle name="Normal 7 4 4 2 7 2 2 2" xfId="32106"/>
    <cellStyle name="Normal 7 4 4 2 7 2 3" xfId="32107"/>
    <cellStyle name="Normal 7 4 4 2 7 2 3 2" xfId="32108"/>
    <cellStyle name="Normal 7 4 4 2 7 2 4" xfId="32109"/>
    <cellStyle name="Normal 7 4 4 2 7 2 4 2" xfId="32110"/>
    <cellStyle name="Normal 7 4 4 2 7 2 5" xfId="32111"/>
    <cellStyle name="Normal 7 4 4 2 7 3" xfId="32112"/>
    <cellStyle name="Normal 7 4 4 2 7 3 2" xfId="32113"/>
    <cellStyle name="Normal 7 4 4 2 7 3 2 2" xfId="32114"/>
    <cellStyle name="Normal 7 4 4 2 7 3 3" xfId="32115"/>
    <cellStyle name="Normal 7 4 4 2 7 3 3 2" xfId="32116"/>
    <cellStyle name="Normal 7 4 4 2 7 3 4" xfId="32117"/>
    <cellStyle name="Normal 7 4 4 2 7 3 4 2" xfId="32118"/>
    <cellStyle name="Normal 7 4 4 2 7 3 5" xfId="32119"/>
    <cellStyle name="Normal 7 4 4 2 7 4" xfId="32120"/>
    <cellStyle name="Normal 7 4 4 2 7 4 2" xfId="32121"/>
    <cellStyle name="Normal 7 4 4 2 7 5" xfId="32122"/>
    <cellStyle name="Normal 7 4 4 2 7 5 2" xfId="32123"/>
    <cellStyle name="Normal 7 4 4 2 7 6" xfId="32124"/>
    <cellStyle name="Normal 7 4 4 2 7 6 2" xfId="32125"/>
    <cellStyle name="Normal 7 4 4 2 7 7" xfId="32126"/>
    <cellStyle name="Normal 7 4 4 2 8" xfId="32127"/>
    <cellStyle name="Normal 7 4 4 2 8 2" xfId="32128"/>
    <cellStyle name="Normal 7 4 4 2 8 2 2" xfId="32129"/>
    <cellStyle name="Normal 7 4 4 2 8 3" xfId="32130"/>
    <cellStyle name="Normal 7 4 4 2 8 3 2" xfId="32131"/>
    <cellStyle name="Normal 7 4 4 2 8 4" xfId="32132"/>
    <cellStyle name="Normal 7 4 4 2 8 4 2" xfId="32133"/>
    <cellStyle name="Normal 7 4 4 2 8 5" xfId="32134"/>
    <cellStyle name="Normal 7 4 4 2 9" xfId="32135"/>
    <cellStyle name="Normal 7 4 4 2 9 2" xfId="32136"/>
    <cellStyle name="Normal 7 4 4 2 9 2 2" xfId="32137"/>
    <cellStyle name="Normal 7 4 4 2 9 3" xfId="32138"/>
    <cellStyle name="Normal 7 4 4 2 9 3 2" xfId="32139"/>
    <cellStyle name="Normal 7 4 4 2 9 4" xfId="32140"/>
    <cellStyle name="Normal 7 4 4 2 9 4 2" xfId="32141"/>
    <cellStyle name="Normal 7 4 4 2 9 5" xfId="32142"/>
    <cellStyle name="Normal 7 4 4 3" xfId="32143"/>
    <cellStyle name="Normal 7 4 4 3 2" xfId="32144"/>
    <cellStyle name="Normal 7 4 4 3 2 2" xfId="32145"/>
    <cellStyle name="Normal 7 4 4 3 2 2 2" xfId="32146"/>
    <cellStyle name="Normal 7 4 4 3 2 2 2 2" xfId="32147"/>
    <cellStyle name="Normal 7 4 4 3 2 2 3" xfId="32148"/>
    <cellStyle name="Normal 7 4 4 3 2 2 3 2" xfId="32149"/>
    <cellStyle name="Normal 7 4 4 3 2 2 4" xfId="32150"/>
    <cellStyle name="Normal 7 4 4 3 2 2 4 2" xfId="32151"/>
    <cellStyle name="Normal 7 4 4 3 2 2 5" xfId="32152"/>
    <cellStyle name="Normal 7 4 4 3 2 3" xfId="32153"/>
    <cellStyle name="Normal 7 4 4 3 2 3 2" xfId="32154"/>
    <cellStyle name="Normal 7 4 4 3 2 3 2 2" xfId="32155"/>
    <cellStyle name="Normal 7 4 4 3 2 3 3" xfId="32156"/>
    <cellStyle name="Normal 7 4 4 3 2 3 3 2" xfId="32157"/>
    <cellStyle name="Normal 7 4 4 3 2 3 4" xfId="32158"/>
    <cellStyle name="Normal 7 4 4 3 2 3 4 2" xfId="32159"/>
    <cellStyle name="Normal 7 4 4 3 2 3 5" xfId="32160"/>
    <cellStyle name="Normal 7 4 4 3 2 4" xfId="32161"/>
    <cellStyle name="Normal 7 4 4 3 2 4 2" xfId="32162"/>
    <cellStyle name="Normal 7 4 4 3 2 5" xfId="32163"/>
    <cellStyle name="Normal 7 4 4 3 2 5 2" xfId="32164"/>
    <cellStyle name="Normal 7 4 4 3 2 6" xfId="32165"/>
    <cellStyle name="Normal 7 4 4 3 2 6 2" xfId="32166"/>
    <cellStyle name="Normal 7 4 4 3 2 7" xfId="32167"/>
    <cellStyle name="Normal 7 4 4 3 3" xfId="32168"/>
    <cellStyle name="Normal 7 4 4 3 3 2" xfId="32169"/>
    <cellStyle name="Normal 7 4 4 3 3 2 2" xfId="32170"/>
    <cellStyle name="Normal 7 4 4 3 3 3" xfId="32171"/>
    <cellStyle name="Normal 7 4 4 3 3 3 2" xfId="32172"/>
    <cellStyle name="Normal 7 4 4 3 3 4" xfId="32173"/>
    <cellStyle name="Normal 7 4 4 3 3 4 2" xfId="32174"/>
    <cellStyle name="Normal 7 4 4 3 3 5" xfId="32175"/>
    <cellStyle name="Normal 7 4 4 3 4" xfId="32176"/>
    <cellStyle name="Normal 7 4 4 3 4 2" xfId="32177"/>
    <cellStyle name="Normal 7 4 4 3 4 2 2" xfId="32178"/>
    <cellStyle name="Normal 7 4 4 3 4 3" xfId="32179"/>
    <cellStyle name="Normal 7 4 4 3 4 3 2" xfId="32180"/>
    <cellStyle name="Normal 7 4 4 3 4 4" xfId="32181"/>
    <cellStyle name="Normal 7 4 4 3 4 4 2" xfId="32182"/>
    <cellStyle name="Normal 7 4 4 3 4 5" xfId="32183"/>
    <cellStyle name="Normal 7 4 4 3 5" xfId="32184"/>
    <cellStyle name="Normal 7 4 4 3 5 2" xfId="32185"/>
    <cellStyle name="Normal 7 4 4 3 6" xfId="32186"/>
    <cellStyle name="Normal 7 4 4 3 6 2" xfId="32187"/>
    <cellStyle name="Normal 7 4 4 3 7" xfId="32188"/>
    <cellStyle name="Normal 7 4 4 3 7 2" xfId="32189"/>
    <cellStyle name="Normal 7 4 4 3 8" xfId="32190"/>
    <cellStyle name="Normal 7 4 4 4" xfId="32191"/>
    <cellStyle name="Normal 7 4 4 4 2" xfId="32192"/>
    <cellStyle name="Normal 7 4 4 4 2 2" xfId="32193"/>
    <cellStyle name="Normal 7 4 4 4 2 2 2" xfId="32194"/>
    <cellStyle name="Normal 7 4 4 4 2 2 2 2" xfId="32195"/>
    <cellStyle name="Normal 7 4 4 4 2 2 3" xfId="32196"/>
    <cellStyle name="Normal 7 4 4 4 2 2 3 2" xfId="32197"/>
    <cellStyle name="Normal 7 4 4 4 2 2 4" xfId="32198"/>
    <cellStyle name="Normal 7 4 4 4 2 2 4 2" xfId="32199"/>
    <cellStyle name="Normal 7 4 4 4 2 2 5" xfId="32200"/>
    <cellStyle name="Normal 7 4 4 4 2 3" xfId="32201"/>
    <cellStyle name="Normal 7 4 4 4 2 3 2" xfId="32202"/>
    <cellStyle name="Normal 7 4 4 4 2 3 2 2" xfId="32203"/>
    <cellStyle name="Normal 7 4 4 4 2 3 3" xfId="32204"/>
    <cellStyle name="Normal 7 4 4 4 2 3 3 2" xfId="32205"/>
    <cellStyle name="Normal 7 4 4 4 2 3 4" xfId="32206"/>
    <cellStyle name="Normal 7 4 4 4 2 3 4 2" xfId="32207"/>
    <cellStyle name="Normal 7 4 4 4 2 3 5" xfId="32208"/>
    <cellStyle name="Normal 7 4 4 4 2 4" xfId="32209"/>
    <cellStyle name="Normal 7 4 4 4 2 4 2" xfId="32210"/>
    <cellStyle name="Normal 7 4 4 4 2 5" xfId="32211"/>
    <cellStyle name="Normal 7 4 4 4 2 5 2" xfId="32212"/>
    <cellStyle name="Normal 7 4 4 4 2 6" xfId="32213"/>
    <cellStyle name="Normal 7 4 4 4 2 6 2" xfId="32214"/>
    <cellStyle name="Normal 7 4 4 4 2 7" xfId="32215"/>
    <cellStyle name="Normal 7 4 4 4 3" xfId="32216"/>
    <cellStyle name="Normal 7 4 4 4 3 2" xfId="32217"/>
    <cellStyle name="Normal 7 4 4 4 3 2 2" xfId="32218"/>
    <cellStyle name="Normal 7 4 4 4 3 3" xfId="32219"/>
    <cellStyle name="Normal 7 4 4 4 3 3 2" xfId="32220"/>
    <cellStyle name="Normal 7 4 4 4 3 4" xfId="32221"/>
    <cellStyle name="Normal 7 4 4 4 3 4 2" xfId="32222"/>
    <cellStyle name="Normal 7 4 4 4 3 5" xfId="32223"/>
    <cellStyle name="Normal 7 4 4 4 4" xfId="32224"/>
    <cellStyle name="Normal 7 4 4 4 4 2" xfId="32225"/>
    <cellStyle name="Normal 7 4 4 4 4 2 2" xfId="32226"/>
    <cellStyle name="Normal 7 4 4 4 4 3" xfId="32227"/>
    <cellStyle name="Normal 7 4 4 4 4 3 2" xfId="32228"/>
    <cellStyle name="Normal 7 4 4 4 4 4" xfId="32229"/>
    <cellStyle name="Normal 7 4 4 4 4 4 2" xfId="32230"/>
    <cellStyle name="Normal 7 4 4 4 4 5" xfId="32231"/>
    <cellStyle name="Normal 7 4 4 4 5" xfId="32232"/>
    <cellStyle name="Normal 7 4 4 4 5 2" xfId="32233"/>
    <cellStyle name="Normal 7 4 4 4 6" xfId="32234"/>
    <cellStyle name="Normal 7 4 4 4 6 2" xfId="32235"/>
    <cellStyle name="Normal 7 4 4 4 7" xfId="32236"/>
    <cellStyle name="Normal 7 4 4 4 7 2" xfId="32237"/>
    <cellStyle name="Normal 7 4 4 4 8" xfId="32238"/>
    <cellStyle name="Normal 7 4 4 5" xfId="32239"/>
    <cellStyle name="Normal 7 4 4 5 2" xfId="32240"/>
    <cellStyle name="Normal 7 4 4 5 2 2" xfId="32241"/>
    <cellStyle name="Normal 7 4 4 5 2 2 2" xfId="32242"/>
    <cellStyle name="Normal 7 4 4 5 2 2 2 2" xfId="32243"/>
    <cellStyle name="Normal 7 4 4 5 2 2 3" xfId="32244"/>
    <cellStyle name="Normal 7 4 4 5 2 2 3 2" xfId="32245"/>
    <cellStyle name="Normal 7 4 4 5 2 2 4" xfId="32246"/>
    <cellStyle name="Normal 7 4 4 5 2 2 4 2" xfId="32247"/>
    <cellStyle name="Normal 7 4 4 5 2 2 5" xfId="32248"/>
    <cellStyle name="Normal 7 4 4 5 2 3" xfId="32249"/>
    <cellStyle name="Normal 7 4 4 5 2 3 2" xfId="32250"/>
    <cellStyle name="Normal 7 4 4 5 2 3 2 2" xfId="32251"/>
    <cellStyle name="Normal 7 4 4 5 2 3 3" xfId="32252"/>
    <cellStyle name="Normal 7 4 4 5 2 3 3 2" xfId="32253"/>
    <cellStyle name="Normal 7 4 4 5 2 3 4" xfId="32254"/>
    <cellStyle name="Normal 7 4 4 5 2 3 4 2" xfId="32255"/>
    <cellStyle name="Normal 7 4 4 5 2 3 5" xfId="32256"/>
    <cellStyle name="Normal 7 4 4 5 2 4" xfId="32257"/>
    <cellStyle name="Normal 7 4 4 5 2 4 2" xfId="32258"/>
    <cellStyle name="Normal 7 4 4 5 2 5" xfId="32259"/>
    <cellStyle name="Normal 7 4 4 5 2 5 2" xfId="32260"/>
    <cellStyle name="Normal 7 4 4 5 2 6" xfId="32261"/>
    <cellStyle name="Normal 7 4 4 5 2 6 2" xfId="32262"/>
    <cellStyle name="Normal 7 4 4 5 2 7" xfId="32263"/>
    <cellStyle name="Normal 7 4 4 5 3" xfId="32264"/>
    <cellStyle name="Normal 7 4 4 5 3 2" xfId="32265"/>
    <cellStyle name="Normal 7 4 4 5 3 2 2" xfId="32266"/>
    <cellStyle name="Normal 7 4 4 5 3 3" xfId="32267"/>
    <cellStyle name="Normal 7 4 4 5 3 3 2" xfId="32268"/>
    <cellStyle name="Normal 7 4 4 5 3 4" xfId="32269"/>
    <cellStyle name="Normal 7 4 4 5 3 4 2" xfId="32270"/>
    <cellStyle name="Normal 7 4 4 5 3 5" xfId="32271"/>
    <cellStyle name="Normal 7 4 4 5 4" xfId="32272"/>
    <cellStyle name="Normal 7 4 4 5 4 2" xfId="32273"/>
    <cellStyle name="Normal 7 4 4 5 4 2 2" xfId="32274"/>
    <cellStyle name="Normal 7 4 4 5 4 3" xfId="32275"/>
    <cellStyle name="Normal 7 4 4 5 4 3 2" xfId="32276"/>
    <cellStyle name="Normal 7 4 4 5 4 4" xfId="32277"/>
    <cellStyle name="Normal 7 4 4 5 4 4 2" xfId="32278"/>
    <cellStyle name="Normal 7 4 4 5 4 5" xfId="32279"/>
    <cellStyle name="Normal 7 4 4 5 5" xfId="32280"/>
    <cellStyle name="Normal 7 4 4 5 5 2" xfId="32281"/>
    <cellStyle name="Normal 7 4 4 5 6" xfId="32282"/>
    <cellStyle name="Normal 7 4 4 5 6 2" xfId="32283"/>
    <cellStyle name="Normal 7 4 4 5 7" xfId="32284"/>
    <cellStyle name="Normal 7 4 4 5 7 2" xfId="32285"/>
    <cellStyle name="Normal 7 4 4 5 8" xfId="32286"/>
    <cellStyle name="Normal 7 4 4 6" xfId="32287"/>
    <cellStyle name="Normal 7 4 4 6 2" xfId="32288"/>
    <cellStyle name="Normal 7 4 4 6 2 2" xfId="32289"/>
    <cellStyle name="Normal 7 4 4 6 2 2 2" xfId="32290"/>
    <cellStyle name="Normal 7 4 4 6 2 2 2 2" xfId="32291"/>
    <cellStyle name="Normal 7 4 4 6 2 2 3" xfId="32292"/>
    <cellStyle name="Normal 7 4 4 6 2 2 3 2" xfId="32293"/>
    <cellStyle name="Normal 7 4 4 6 2 2 4" xfId="32294"/>
    <cellStyle name="Normal 7 4 4 6 2 2 4 2" xfId="32295"/>
    <cellStyle name="Normal 7 4 4 6 2 2 5" xfId="32296"/>
    <cellStyle name="Normal 7 4 4 6 2 3" xfId="32297"/>
    <cellStyle name="Normal 7 4 4 6 2 3 2" xfId="32298"/>
    <cellStyle name="Normal 7 4 4 6 2 3 2 2" xfId="32299"/>
    <cellStyle name="Normal 7 4 4 6 2 3 3" xfId="32300"/>
    <cellStyle name="Normal 7 4 4 6 2 3 3 2" xfId="32301"/>
    <cellStyle name="Normal 7 4 4 6 2 3 4" xfId="32302"/>
    <cellStyle name="Normal 7 4 4 6 2 3 4 2" xfId="32303"/>
    <cellStyle name="Normal 7 4 4 6 2 3 5" xfId="32304"/>
    <cellStyle name="Normal 7 4 4 6 2 4" xfId="32305"/>
    <cellStyle name="Normal 7 4 4 6 2 4 2" xfId="32306"/>
    <cellStyle name="Normal 7 4 4 6 2 5" xfId="32307"/>
    <cellStyle name="Normal 7 4 4 6 2 5 2" xfId="32308"/>
    <cellStyle name="Normal 7 4 4 6 2 6" xfId="32309"/>
    <cellStyle name="Normal 7 4 4 6 2 6 2" xfId="32310"/>
    <cellStyle name="Normal 7 4 4 6 2 7" xfId="32311"/>
    <cellStyle name="Normal 7 4 4 6 3" xfId="32312"/>
    <cellStyle name="Normal 7 4 4 6 3 2" xfId="32313"/>
    <cellStyle name="Normal 7 4 4 6 3 2 2" xfId="32314"/>
    <cellStyle name="Normal 7 4 4 6 3 3" xfId="32315"/>
    <cellStyle name="Normal 7 4 4 6 3 3 2" xfId="32316"/>
    <cellStyle name="Normal 7 4 4 6 3 4" xfId="32317"/>
    <cellStyle name="Normal 7 4 4 6 3 4 2" xfId="32318"/>
    <cellStyle name="Normal 7 4 4 6 3 5" xfId="32319"/>
    <cellStyle name="Normal 7 4 4 6 4" xfId="32320"/>
    <cellStyle name="Normal 7 4 4 6 4 2" xfId="32321"/>
    <cellStyle name="Normal 7 4 4 6 4 2 2" xfId="32322"/>
    <cellStyle name="Normal 7 4 4 6 4 3" xfId="32323"/>
    <cellStyle name="Normal 7 4 4 6 4 3 2" xfId="32324"/>
    <cellStyle name="Normal 7 4 4 6 4 4" xfId="32325"/>
    <cellStyle name="Normal 7 4 4 6 4 4 2" xfId="32326"/>
    <cellStyle name="Normal 7 4 4 6 4 5" xfId="32327"/>
    <cellStyle name="Normal 7 4 4 6 5" xfId="32328"/>
    <cellStyle name="Normal 7 4 4 6 5 2" xfId="32329"/>
    <cellStyle name="Normal 7 4 4 6 6" xfId="32330"/>
    <cellStyle name="Normal 7 4 4 6 6 2" xfId="32331"/>
    <cellStyle name="Normal 7 4 4 6 7" xfId="32332"/>
    <cellStyle name="Normal 7 4 4 6 7 2" xfId="32333"/>
    <cellStyle name="Normal 7 4 4 6 8" xfId="32334"/>
    <cellStyle name="Normal 7 4 4 7" xfId="32335"/>
    <cellStyle name="Normal 7 4 4 7 2" xfId="32336"/>
    <cellStyle name="Normal 7 4 4 7 2 2" xfId="32337"/>
    <cellStyle name="Normal 7 4 4 7 2 2 2" xfId="32338"/>
    <cellStyle name="Normal 7 4 4 7 2 2 2 2" xfId="32339"/>
    <cellStyle name="Normal 7 4 4 7 2 2 3" xfId="32340"/>
    <cellStyle name="Normal 7 4 4 7 2 2 3 2" xfId="32341"/>
    <cellStyle name="Normal 7 4 4 7 2 2 4" xfId="32342"/>
    <cellStyle name="Normal 7 4 4 7 2 2 4 2" xfId="32343"/>
    <cellStyle name="Normal 7 4 4 7 2 2 5" xfId="32344"/>
    <cellStyle name="Normal 7 4 4 7 2 3" xfId="32345"/>
    <cellStyle name="Normal 7 4 4 7 2 3 2" xfId="32346"/>
    <cellStyle name="Normal 7 4 4 7 2 3 2 2" xfId="32347"/>
    <cellStyle name="Normal 7 4 4 7 2 3 3" xfId="32348"/>
    <cellStyle name="Normal 7 4 4 7 2 3 3 2" xfId="32349"/>
    <cellStyle name="Normal 7 4 4 7 2 3 4" xfId="32350"/>
    <cellStyle name="Normal 7 4 4 7 2 3 4 2" xfId="32351"/>
    <cellStyle name="Normal 7 4 4 7 2 3 5" xfId="32352"/>
    <cellStyle name="Normal 7 4 4 7 2 4" xfId="32353"/>
    <cellStyle name="Normal 7 4 4 7 2 4 2" xfId="32354"/>
    <cellStyle name="Normal 7 4 4 7 2 5" xfId="32355"/>
    <cellStyle name="Normal 7 4 4 7 2 5 2" xfId="32356"/>
    <cellStyle name="Normal 7 4 4 7 2 6" xfId="32357"/>
    <cellStyle name="Normal 7 4 4 7 2 6 2" xfId="32358"/>
    <cellStyle name="Normal 7 4 4 7 2 7" xfId="32359"/>
    <cellStyle name="Normal 7 4 4 7 3" xfId="32360"/>
    <cellStyle name="Normal 7 4 4 7 3 2" xfId="32361"/>
    <cellStyle name="Normal 7 4 4 7 3 2 2" xfId="32362"/>
    <cellStyle name="Normal 7 4 4 7 3 3" xfId="32363"/>
    <cellStyle name="Normal 7 4 4 7 3 3 2" xfId="32364"/>
    <cellStyle name="Normal 7 4 4 7 3 4" xfId="32365"/>
    <cellStyle name="Normal 7 4 4 7 3 4 2" xfId="32366"/>
    <cellStyle name="Normal 7 4 4 7 3 5" xfId="32367"/>
    <cellStyle name="Normal 7 4 4 7 4" xfId="32368"/>
    <cellStyle name="Normal 7 4 4 7 4 2" xfId="32369"/>
    <cellStyle name="Normal 7 4 4 7 4 2 2" xfId="32370"/>
    <cellStyle name="Normal 7 4 4 7 4 3" xfId="32371"/>
    <cellStyle name="Normal 7 4 4 7 4 3 2" xfId="32372"/>
    <cellStyle name="Normal 7 4 4 7 4 4" xfId="32373"/>
    <cellStyle name="Normal 7 4 4 7 4 4 2" xfId="32374"/>
    <cellStyle name="Normal 7 4 4 7 4 5" xfId="32375"/>
    <cellStyle name="Normal 7 4 4 7 5" xfId="32376"/>
    <cellStyle name="Normal 7 4 4 7 5 2" xfId="32377"/>
    <cellStyle name="Normal 7 4 4 7 6" xfId="32378"/>
    <cellStyle name="Normal 7 4 4 7 6 2" xfId="32379"/>
    <cellStyle name="Normal 7 4 4 7 7" xfId="32380"/>
    <cellStyle name="Normal 7 4 4 7 7 2" xfId="32381"/>
    <cellStyle name="Normal 7 4 4 7 8" xfId="32382"/>
    <cellStyle name="Normal 7 4 4 8" xfId="32383"/>
    <cellStyle name="Normal 7 4 4 8 2" xfId="32384"/>
    <cellStyle name="Normal 7 4 4 8 2 2" xfId="32385"/>
    <cellStyle name="Normal 7 4 4 8 2 2 2" xfId="32386"/>
    <cellStyle name="Normal 7 4 4 8 2 3" xfId="32387"/>
    <cellStyle name="Normal 7 4 4 8 2 3 2" xfId="32388"/>
    <cellStyle name="Normal 7 4 4 8 2 4" xfId="32389"/>
    <cellStyle name="Normal 7 4 4 8 2 4 2" xfId="32390"/>
    <cellStyle name="Normal 7 4 4 8 2 5" xfId="32391"/>
    <cellStyle name="Normal 7 4 4 8 3" xfId="32392"/>
    <cellStyle name="Normal 7 4 4 8 3 2" xfId="32393"/>
    <cellStyle name="Normal 7 4 4 8 3 2 2" xfId="32394"/>
    <cellStyle name="Normal 7 4 4 8 3 3" xfId="32395"/>
    <cellStyle name="Normal 7 4 4 8 3 3 2" xfId="32396"/>
    <cellStyle name="Normal 7 4 4 8 3 4" xfId="32397"/>
    <cellStyle name="Normal 7 4 4 8 3 4 2" xfId="32398"/>
    <cellStyle name="Normal 7 4 4 8 3 5" xfId="32399"/>
    <cellStyle name="Normal 7 4 4 8 4" xfId="32400"/>
    <cellStyle name="Normal 7 4 4 8 4 2" xfId="32401"/>
    <cellStyle name="Normal 7 4 4 8 5" xfId="32402"/>
    <cellStyle name="Normal 7 4 4 8 5 2" xfId="32403"/>
    <cellStyle name="Normal 7 4 4 8 6" xfId="32404"/>
    <cellStyle name="Normal 7 4 4 8 6 2" xfId="32405"/>
    <cellStyle name="Normal 7 4 4 8 7" xfId="32406"/>
    <cellStyle name="Normal 7 4 4 9" xfId="32407"/>
    <cellStyle name="Normal 7 4 4 9 2" xfId="32408"/>
    <cellStyle name="Normal 7 4 4 9 2 2" xfId="32409"/>
    <cellStyle name="Normal 7 4 4 9 3" xfId="32410"/>
    <cellStyle name="Normal 7 4 4 9 3 2" xfId="32411"/>
    <cellStyle name="Normal 7 4 4 9 4" xfId="32412"/>
    <cellStyle name="Normal 7 4 4 9 4 2" xfId="32413"/>
    <cellStyle name="Normal 7 4 4 9 5" xfId="32414"/>
    <cellStyle name="Normal 7 4 5" xfId="32415"/>
    <cellStyle name="Normal 7 4 5 10" xfId="32416"/>
    <cellStyle name="Normal 7 4 5 10 2" xfId="32417"/>
    <cellStyle name="Normal 7 4 5 10 2 2" xfId="32418"/>
    <cellStyle name="Normal 7 4 5 10 3" xfId="32419"/>
    <cellStyle name="Normal 7 4 5 10 3 2" xfId="32420"/>
    <cellStyle name="Normal 7 4 5 10 4" xfId="32421"/>
    <cellStyle name="Normal 7 4 5 10 4 2" xfId="32422"/>
    <cellStyle name="Normal 7 4 5 10 5" xfId="32423"/>
    <cellStyle name="Normal 7 4 5 11" xfId="32424"/>
    <cellStyle name="Normal 7 4 5 11 2" xfId="32425"/>
    <cellStyle name="Normal 7 4 5 12" xfId="32426"/>
    <cellStyle name="Normal 7 4 5 12 2" xfId="32427"/>
    <cellStyle name="Normal 7 4 5 13" xfId="32428"/>
    <cellStyle name="Normal 7 4 5 13 2" xfId="32429"/>
    <cellStyle name="Normal 7 4 5 14" xfId="32430"/>
    <cellStyle name="Normal 7 4 5 2" xfId="32431"/>
    <cellStyle name="Normal 7 4 5 2 10" xfId="32432"/>
    <cellStyle name="Normal 7 4 5 2 10 2" xfId="32433"/>
    <cellStyle name="Normal 7 4 5 2 11" xfId="32434"/>
    <cellStyle name="Normal 7 4 5 2 11 2" xfId="32435"/>
    <cellStyle name="Normal 7 4 5 2 12" xfId="32436"/>
    <cellStyle name="Normal 7 4 5 2 12 2" xfId="32437"/>
    <cellStyle name="Normal 7 4 5 2 13" xfId="32438"/>
    <cellStyle name="Normal 7 4 5 2 2" xfId="32439"/>
    <cellStyle name="Normal 7 4 5 2 2 2" xfId="32440"/>
    <cellStyle name="Normal 7 4 5 2 2 2 2" xfId="32441"/>
    <cellStyle name="Normal 7 4 5 2 2 2 2 2" xfId="32442"/>
    <cellStyle name="Normal 7 4 5 2 2 2 2 2 2" xfId="32443"/>
    <cellStyle name="Normal 7 4 5 2 2 2 2 3" xfId="32444"/>
    <cellStyle name="Normal 7 4 5 2 2 2 2 3 2" xfId="32445"/>
    <cellStyle name="Normal 7 4 5 2 2 2 2 4" xfId="32446"/>
    <cellStyle name="Normal 7 4 5 2 2 2 2 4 2" xfId="32447"/>
    <cellStyle name="Normal 7 4 5 2 2 2 2 5" xfId="32448"/>
    <cellStyle name="Normal 7 4 5 2 2 2 3" xfId="32449"/>
    <cellStyle name="Normal 7 4 5 2 2 2 3 2" xfId="32450"/>
    <cellStyle name="Normal 7 4 5 2 2 2 3 2 2" xfId="32451"/>
    <cellStyle name="Normal 7 4 5 2 2 2 3 3" xfId="32452"/>
    <cellStyle name="Normal 7 4 5 2 2 2 3 3 2" xfId="32453"/>
    <cellStyle name="Normal 7 4 5 2 2 2 3 4" xfId="32454"/>
    <cellStyle name="Normal 7 4 5 2 2 2 3 4 2" xfId="32455"/>
    <cellStyle name="Normal 7 4 5 2 2 2 3 5" xfId="32456"/>
    <cellStyle name="Normal 7 4 5 2 2 2 4" xfId="32457"/>
    <cellStyle name="Normal 7 4 5 2 2 2 4 2" xfId="32458"/>
    <cellStyle name="Normal 7 4 5 2 2 2 5" xfId="32459"/>
    <cellStyle name="Normal 7 4 5 2 2 2 5 2" xfId="32460"/>
    <cellStyle name="Normal 7 4 5 2 2 2 6" xfId="32461"/>
    <cellStyle name="Normal 7 4 5 2 2 2 6 2" xfId="32462"/>
    <cellStyle name="Normal 7 4 5 2 2 2 7" xfId="32463"/>
    <cellStyle name="Normal 7 4 5 2 2 3" xfId="32464"/>
    <cellStyle name="Normal 7 4 5 2 2 3 2" xfId="32465"/>
    <cellStyle name="Normal 7 4 5 2 2 3 2 2" xfId="32466"/>
    <cellStyle name="Normal 7 4 5 2 2 3 3" xfId="32467"/>
    <cellStyle name="Normal 7 4 5 2 2 3 3 2" xfId="32468"/>
    <cellStyle name="Normal 7 4 5 2 2 3 4" xfId="32469"/>
    <cellStyle name="Normal 7 4 5 2 2 3 4 2" xfId="32470"/>
    <cellStyle name="Normal 7 4 5 2 2 3 5" xfId="32471"/>
    <cellStyle name="Normal 7 4 5 2 2 4" xfId="32472"/>
    <cellStyle name="Normal 7 4 5 2 2 4 2" xfId="32473"/>
    <cellStyle name="Normal 7 4 5 2 2 4 2 2" xfId="32474"/>
    <cellStyle name="Normal 7 4 5 2 2 4 3" xfId="32475"/>
    <cellStyle name="Normal 7 4 5 2 2 4 3 2" xfId="32476"/>
    <cellStyle name="Normal 7 4 5 2 2 4 4" xfId="32477"/>
    <cellStyle name="Normal 7 4 5 2 2 4 4 2" xfId="32478"/>
    <cellStyle name="Normal 7 4 5 2 2 4 5" xfId="32479"/>
    <cellStyle name="Normal 7 4 5 2 2 5" xfId="32480"/>
    <cellStyle name="Normal 7 4 5 2 2 5 2" xfId="32481"/>
    <cellStyle name="Normal 7 4 5 2 2 6" xfId="32482"/>
    <cellStyle name="Normal 7 4 5 2 2 6 2" xfId="32483"/>
    <cellStyle name="Normal 7 4 5 2 2 7" xfId="32484"/>
    <cellStyle name="Normal 7 4 5 2 2 7 2" xfId="32485"/>
    <cellStyle name="Normal 7 4 5 2 2 8" xfId="32486"/>
    <cellStyle name="Normal 7 4 5 2 3" xfId="32487"/>
    <cellStyle name="Normal 7 4 5 2 3 2" xfId="32488"/>
    <cellStyle name="Normal 7 4 5 2 3 2 2" xfId="32489"/>
    <cellStyle name="Normal 7 4 5 2 3 2 2 2" xfId="32490"/>
    <cellStyle name="Normal 7 4 5 2 3 2 2 2 2" xfId="32491"/>
    <cellStyle name="Normal 7 4 5 2 3 2 2 3" xfId="32492"/>
    <cellStyle name="Normal 7 4 5 2 3 2 2 3 2" xfId="32493"/>
    <cellStyle name="Normal 7 4 5 2 3 2 2 4" xfId="32494"/>
    <cellStyle name="Normal 7 4 5 2 3 2 2 4 2" xfId="32495"/>
    <cellStyle name="Normal 7 4 5 2 3 2 2 5" xfId="32496"/>
    <cellStyle name="Normal 7 4 5 2 3 2 3" xfId="32497"/>
    <cellStyle name="Normal 7 4 5 2 3 2 3 2" xfId="32498"/>
    <cellStyle name="Normal 7 4 5 2 3 2 3 2 2" xfId="32499"/>
    <cellStyle name="Normal 7 4 5 2 3 2 3 3" xfId="32500"/>
    <cellStyle name="Normal 7 4 5 2 3 2 3 3 2" xfId="32501"/>
    <cellStyle name="Normal 7 4 5 2 3 2 3 4" xfId="32502"/>
    <cellStyle name="Normal 7 4 5 2 3 2 3 4 2" xfId="32503"/>
    <cellStyle name="Normal 7 4 5 2 3 2 3 5" xfId="32504"/>
    <cellStyle name="Normal 7 4 5 2 3 2 4" xfId="32505"/>
    <cellStyle name="Normal 7 4 5 2 3 2 4 2" xfId="32506"/>
    <cellStyle name="Normal 7 4 5 2 3 2 5" xfId="32507"/>
    <cellStyle name="Normal 7 4 5 2 3 2 5 2" xfId="32508"/>
    <cellStyle name="Normal 7 4 5 2 3 2 6" xfId="32509"/>
    <cellStyle name="Normal 7 4 5 2 3 2 6 2" xfId="32510"/>
    <cellStyle name="Normal 7 4 5 2 3 2 7" xfId="32511"/>
    <cellStyle name="Normal 7 4 5 2 3 3" xfId="32512"/>
    <cellStyle name="Normal 7 4 5 2 3 3 2" xfId="32513"/>
    <cellStyle name="Normal 7 4 5 2 3 3 2 2" xfId="32514"/>
    <cellStyle name="Normal 7 4 5 2 3 3 3" xfId="32515"/>
    <cellStyle name="Normal 7 4 5 2 3 3 3 2" xfId="32516"/>
    <cellStyle name="Normal 7 4 5 2 3 3 4" xfId="32517"/>
    <cellStyle name="Normal 7 4 5 2 3 3 4 2" xfId="32518"/>
    <cellStyle name="Normal 7 4 5 2 3 3 5" xfId="32519"/>
    <cellStyle name="Normal 7 4 5 2 3 4" xfId="32520"/>
    <cellStyle name="Normal 7 4 5 2 3 4 2" xfId="32521"/>
    <cellStyle name="Normal 7 4 5 2 3 4 2 2" xfId="32522"/>
    <cellStyle name="Normal 7 4 5 2 3 4 3" xfId="32523"/>
    <cellStyle name="Normal 7 4 5 2 3 4 3 2" xfId="32524"/>
    <cellStyle name="Normal 7 4 5 2 3 4 4" xfId="32525"/>
    <cellStyle name="Normal 7 4 5 2 3 4 4 2" xfId="32526"/>
    <cellStyle name="Normal 7 4 5 2 3 4 5" xfId="32527"/>
    <cellStyle name="Normal 7 4 5 2 3 5" xfId="32528"/>
    <cellStyle name="Normal 7 4 5 2 3 5 2" xfId="32529"/>
    <cellStyle name="Normal 7 4 5 2 3 6" xfId="32530"/>
    <cellStyle name="Normal 7 4 5 2 3 6 2" xfId="32531"/>
    <cellStyle name="Normal 7 4 5 2 3 7" xfId="32532"/>
    <cellStyle name="Normal 7 4 5 2 3 7 2" xfId="32533"/>
    <cellStyle name="Normal 7 4 5 2 3 8" xfId="32534"/>
    <cellStyle name="Normal 7 4 5 2 4" xfId="32535"/>
    <cellStyle name="Normal 7 4 5 2 4 2" xfId="32536"/>
    <cellStyle name="Normal 7 4 5 2 4 2 2" xfId="32537"/>
    <cellStyle name="Normal 7 4 5 2 4 2 2 2" xfId="32538"/>
    <cellStyle name="Normal 7 4 5 2 4 2 2 2 2" xfId="32539"/>
    <cellStyle name="Normal 7 4 5 2 4 2 2 3" xfId="32540"/>
    <cellStyle name="Normal 7 4 5 2 4 2 2 3 2" xfId="32541"/>
    <cellStyle name="Normal 7 4 5 2 4 2 2 4" xfId="32542"/>
    <cellStyle name="Normal 7 4 5 2 4 2 2 4 2" xfId="32543"/>
    <cellStyle name="Normal 7 4 5 2 4 2 2 5" xfId="32544"/>
    <cellStyle name="Normal 7 4 5 2 4 2 3" xfId="32545"/>
    <cellStyle name="Normal 7 4 5 2 4 2 3 2" xfId="32546"/>
    <cellStyle name="Normal 7 4 5 2 4 2 3 2 2" xfId="32547"/>
    <cellStyle name="Normal 7 4 5 2 4 2 3 3" xfId="32548"/>
    <cellStyle name="Normal 7 4 5 2 4 2 3 3 2" xfId="32549"/>
    <cellStyle name="Normal 7 4 5 2 4 2 3 4" xfId="32550"/>
    <cellStyle name="Normal 7 4 5 2 4 2 3 4 2" xfId="32551"/>
    <cellStyle name="Normal 7 4 5 2 4 2 3 5" xfId="32552"/>
    <cellStyle name="Normal 7 4 5 2 4 2 4" xfId="32553"/>
    <cellStyle name="Normal 7 4 5 2 4 2 4 2" xfId="32554"/>
    <cellStyle name="Normal 7 4 5 2 4 2 5" xfId="32555"/>
    <cellStyle name="Normal 7 4 5 2 4 2 5 2" xfId="32556"/>
    <cellStyle name="Normal 7 4 5 2 4 2 6" xfId="32557"/>
    <cellStyle name="Normal 7 4 5 2 4 2 6 2" xfId="32558"/>
    <cellStyle name="Normal 7 4 5 2 4 2 7" xfId="32559"/>
    <cellStyle name="Normal 7 4 5 2 4 3" xfId="32560"/>
    <cellStyle name="Normal 7 4 5 2 4 3 2" xfId="32561"/>
    <cellStyle name="Normal 7 4 5 2 4 3 2 2" xfId="32562"/>
    <cellStyle name="Normal 7 4 5 2 4 3 3" xfId="32563"/>
    <cellStyle name="Normal 7 4 5 2 4 3 3 2" xfId="32564"/>
    <cellStyle name="Normal 7 4 5 2 4 3 4" xfId="32565"/>
    <cellStyle name="Normal 7 4 5 2 4 3 4 2" xfId="32566"/>
    <cellStyle name="Normal 7 4 5 2 4 3 5" xfId="32567"/>
    <cellStyle name="Normal 7 4 5 2 4 4" xfId="32568"/>
    <cellStyle name="Normal 7 4 5 2 4 4 2" xfId="32569"/>
    <cellStyle name="Normal 7 4 5 2 4 4 2 2" xfId="32570"/>
    <cellStyle name="Normal 7 4 5 2 4 4 3" xfId="32571"/>
    <cellStyle name="Normal 7 4 5 2 4 4 3 2" xfId="32572"/>
    <cellStyle name="Normal 7 4 5 2 4 4 4" xfId="32573"/>
    <cellStyle name="Normal 7 4 5 2 4 4 4 2" xfId="32574"/>
    <cellStyle name="Normal 7 4 5 2 4 4 5" xfId="32575"/>
    <cellStyle name="Normal 7 4 5 2 4 5" xfId="32576"/>
    <cellStyle name="Normal 7 4 5 2 4 5 2" xfId="32577"/>
    <cellStyle name="Normal 7 4 5 2 4 6" xfId="32578"/>
    <cellStyle name="Normal 7 4 5 2 4 6 2" xfId="32579"/>
    <cellStyle name="Normal 7 4 5 2 4 7" xfId="32580"/>
    <cellStyle name="Normal 7 4 5 2 4 7 2" xfId="32581"/>
    <cellStyle name="Normal 7 4 5 2 4 8" xfId="32582"/>
    <cellStyle name="Normal 7 4 5 2 5" xfId="32583"/>
    <cellStyle name="Normal 7 4 5 2 5 2" xfId="32584"/>
    <cellStyle name="Normal 7 4 5 2 5 2 2" xfId="32585"/>
    <cellStyle name="Normal 7 4 5 2 5 2 2 2" xfId="32586"/>
    <cellStyle name="Normal 7 4 5 2 5 2 2 2 2" xfId="32587"/>
    <cellStyle name="Normal 7 4 5 2 5 2 2 3" xfId="32588"/>
    <cellStyle name="Normal 7 4 5 2 5 2 2 3 2" xfId="32589"/>
    <cellStyle name="Normal 7 4 5 2 5 2 2 4" xfId="32590"/>
    <cellStyle name="Normal 7 4 5 2 5 2 2 4 2" xfId="32591"/>
    <cellStyle name="Normal 7 4 5 2 5 2 2 5" xfId="32592"/>
    <cellStyle name="Normal 7 4 5 2 5 2 3" xfId="32593"/>
    <cellStyle name="Normal 7 4 5 2 5 2 3 2" xfId="32594"/>
    <cellStyle name="Normal 7 4 5 2 5 2 3 2 2" xfId="32595"/>
    <cellStyle name="Normal 7 4 5 2 5 2 3 3" xfId="32596"/>
    <cellStyle name="Normal 7 4 5 2 5 2 3 3 2" xfId="32597"/>
    <cellStyle name="Normal 7 4 5 2 5 2 3 4" xfId="32598"/>
    <cellStyle name="Normal 7 4 5 2 5 2 3 4 2" xfId="32599"/>
    <cellStyle name="Normal 7 4 5 2 5 2 3 5" xfId="32600"/>
    <cellStyle name="Normal 7 4 5 2 5 2 4" xfId="32601"/>
    <cellStyle name="Normal 7 4 5 2 5 2 4 2" xfId="32602"/>
    <cellStyle name="Normal 7 4 5 2 5 2 5" xfId="32603"/>
    <cellStyle name="Normal 7 4 5 2 5 2 5 2" xfId="32604"/>
    <cellStyle name="Normal 7 4 5 2 5 2 6" xfId="32605"/>
    <cellStyle name="Normal 7 4 5 2 5 2 6 2" xfId="32606"/>
    <cellStyle name="Normal 7 4 5 2 5 2 7" xfId="32607"/>
    <cellStyle name="Normal 7 4 5 2 5 3" xfId="32608"/>
    <cellStyle name="Normal 7 4 5 2 5 3 2" xfId="32609"/>
    <cellStyle name="Normal 7 4 5 2 5 3 2 2" xfId="32610"/>
    <cellStyle name="Normal 7 4 5 2 5 3 3" xfId="32611"/>
    <cellStyle name="Normal 7 4 5 2 5 3 3 2" xfId="32612"/>
    <cellStyle name="Normal 7 4 5 2 5 3 4" xfId="32613"/>
    <cellStyle name="Normal 7 4 5 2 5 3 4 2" xfId="32614"/>
    <cellStyle name="Normal 7 4 5 2 5 3 5" xfId="32615"/>
    <cellStyle name="Normal 7 4 5 2 5 4" xfId="32616"/>
    <cellStyle name="Normal 7 4 5 2 5 4 2" xfId="32617"/>
    <cellStyle name="Normal 7 4 5 2 5 4 2 2" xfId="32618"/>
    <cellStyle name="Normal 7 4 5 2 5 4 3" xfId="32619"/>
    <cellStyle name="Normal 7 4 5 2 5 4 3 2" xfId="32620"/>
    <cellStyle name="Normal 7 4 5 2 5 4 4" xfId="32621"/>
    <cellStyle name="Normal 7 4 5 2 5 4 4 2" xfId="32622"/>
    <cellStyle name="Normal 7 4 5 2 5 4 5" xfId="32623"/>
    <cellStyle name="Normal 7 4 5 2 5 5" xfId="32624"/>
    <cellStyle name="Normal 7 4 5 2 5 5 2" xfId="32625"/>
    <cellStyle name="Normal 7 4 5 2 5 6" xfId="32626"/>
    <cellStyle name="Normal 7 4 5 2 5 6 2" xfId="32627"/>
    <cellStyle name="Normal 7 4 5 2 5 7" xfId="32628"/>
    <cellStyle name="Normal 7 4 5 2 5 7 2" xfId="32629"/>
    <cellStyle name="Normal 7 4 5 2 5 8" xfId="32630"/>
    <cellStyle name="Normal 7 4 5 2 6" xfId="32631"/>
    <cellStyle name="Normal 7 4 5 2 6 2" xfId="32632"/>
    <cellStyle name="Normal 7 4 5 2 6 2 2" xfId="32633"/>
    <cellStyle name="Normal 7 4 5 2 6 2 2 2" xfId="32634"/>
    <cellStyle name="Normal 7 4 5 2 6 2 2 2 2" xfId="32635"/>
    <cellStyle name="Normal 7 4 5 2 6 2 2 3" xfId="32636"/>
    <cellStyle name="Normal 7 4 5 2 6 2 2 3 2" xfId="32637"/>
    <cellStyle name="Normal 7 4 5 2 6 2 2 4" xfId="32638"/>
    <cellStyle name="Normal 7 4 5 2 6 2 2 4 2" xfId="32639"/>
    <cellStyle name="Normal 7 4 5 2 6 2 2 5" xfId="32640"/>
    <cellStyle name="Normal 7 4 5 2 6 2 3" xfId="32641"/>
    <cellStyle name="Normal 7 4 5 2 6 2 3 2" xfId="32642"/>
    <cellStyle name="Normal 7 4 5 2 6 2 3 2 2" xfId="32643"/>
    <cellStyle name="Normal 7 4 5 2 6 2 3 3" xfId="32644"/>
    <cellStyle name="Normal 7 4 5 2 6 2 3 3 2" xfId="32645"/>
    <cellStyle name="Normal 7 4 5 2 6 2 3 4" xfId="32646"/>
    <cellStyle name="Normal 7 4 5 2 6 2 3 4 2" xfId="32647"/>
    <cellStyle name="Normal 7 4 5 2 6 2 3 5" xfId="32648"/>
    <cellStyle name="Normal 7 4 5 2 6 2 4" xfId="32649"/>
    <cellStyle name="Normal 7 4 5 2 6 2 4 2" xfId="32650"/>
    <cellStyle name="Normal 7 4 5 2 6 2 5" xfId="32651"/>
    <cellStyle name="Normal 7 4 5 2 6 2 5 2" xfId="32652"/>
    <cellStyle name="Normal 7 4 5 2 6 2 6" xfId="32653"/>
    <cellStyle name="Normal 7 4 5 2 6 2 6 2" xfId="32654"/>
    <cellStyle name="Normal 7 4 5 2 6 2 7" xfId="32655"/>
    <cellStyle name="Normal 7 4 5 2 6 3" xfId="32656"/>
    <cellStyle name="Normal 7 4 5 2 6 3 2" xfId="32657"/>
    <cellStyle name="Normal 7 4 5 2 6 3 2 2" xfId="32658"/>
    <cellStyle name="Normal 7 4 5 2 6 3 3" xfId="32659"/>
    <cellStyle name="Normal 7 4 5 2 6 3 3 2" xfId="32660"/>
    <cellStyle name="Normal 7 4 5 2 6 3 4" xfId="32661"/>
    <cellStyle name="Normal 7 4 5 2 6 3 4 2" xfId="32662"/>
    <cellStyle name="Normal 7 4 5 2 6 3 5" xfId="32663"/>
    <cellStyle name="Normal 7 4 5 2 6 4" xfId="32664"/>
    <cellStyle name="Normal 7 4 5 2 6 4 2" xfId="32665"/>
    <cellStyle name="Normal 7 4 5 2 6 4 2 2" xfId="32666"/>
    <cellStyle name="Normal 7 4 5 2 6 4 3" xfId="32667"/>
    <cellStyle name="Normal 7 4 5 2 6 4 3 2" xfId="32668"/>
    <cellStyle name="Normal 7 4 5 2 6 4 4" xfId="32669"/>
    <cellStyle name="Normal 7 4 5 2 6 4 4 2" xfId="32670"/>
    <cellStyle name="Normal 7 4 5 2 6 4 5" xfId="32671"/>
    <cellStyle name="Normal 7 4 5 2 6 5" xfId="32672"/>
    <cellStyle name="Normal 7 4 5 2 6 5 2" xfId="32673"/>
    <cellStyle name="Normal 7 4 5 2 6 6" xfId="32674"/>
    <cellStyle name="Normal 7 4 5 2 6 6 2" xfId="32675"/>
    <cellStyle name="Normal 7 4 5 2 6 7" xfId="32676"/>
    <cellStyle name="Normal 7 4 5 2 6 7 2" xfId="32677"/>
    <cellStyle name="Normal 7 4 5 2 6 8" xfId="32678"/>
    <cellStyle name="Normal 7 4 5 2 7" xfId="32679"/>
    <cellStyle name="Normal 7 4 5 2 7 2" xfId="32680"/>
    <cellStyle name="Normal 7 4 5 2 7 2 2" xfId="32681"/>
    <cellStyle name="Normal 7 4 5 2 7 2 2 2" xfId="32682"/>
    <cellStyle name="Normal 7 4 5 2 7 2 3" xfId="32683"/>
    <cellStyle name="Normal 7 4 5 2 7 2 3 2" xfId="32684"/>
    <cellStyle name="Normal 7 4 5 2 7 2 4" xfId="32685"/>
    <cellStyle name="Normal 7 4 5 2 7 2 4 2" xfId="32686"/>
    <cellStyle name="Normal 7 4 5 2 7 2 5" xfId="32687"/>
    <cellStyle name="Normal 7 4 5 2 7 3" xfId="32688"/>
    <cellStyle name="Normal 7 4 5 2 7 3 2" xfId="32689"/>
    <cellStyle name="Normal 7 4 5 2 7 3 2 2" xfId="32690"/>
    <cellStyle name="Normal 7 4 5 2 7 3 3" xfId="32691"/>
    <cellStyle name="Normal 7 4 5 2 7 3 3 2" xfId="32692"/>
    <cellStyle name="Normal 7 4 5 2 7 3 4" xfId="32693"/>
    <cellStyle name="Normal 7 4 5 2 7 3 4 2" xfId="32694"/>
    <cellStyle name="Normal 7 4 5 2 7 3 5" xfId="32695"/>
    <cellStyle name="Normal 7 4 5 2 7 4" xfId="32696"/>
    <cellStyle name="Normal 7 4 5 2 7 4 2" xfId="32697"/>
    <cellStyle name="Normal 7 4 5 2 7 5" xfId="32698"/>
    <cellStyle name="Normal 7 4 5 2 7 5 2" xfId="32699"/>
    <cellStyle name="Normal 7 4 5 2 7 6" xfId="32700"/>
    <cellStyle name="Normal 7 4 5 2 7 6 2" xfId="32701"/>
    <cellStyle name="Normal 7 4 5 2 7 7" xfId="32702"/>
    <cellStyle name="Normal 7 4 5 2 8" xfId="32703"/>
    <cellStyle name="Normal 7 4 5 2 8 2" xfId="32704"/>
    <cellStyle name="Normal 7 4 5 2 8 2 2" xfId="32705"/>
    <cellStyle name="Normal 7 4 5 2 8 3" xfId="32706"/>
    <cellStyle name="Normal 7 4 5 2 8 3 2" xfId="32707"/>
    <cellStyle name="Normal 7 4 5 2 8 4" xfId="32708"/>
    <cellStyle name="Normal 7 4 5 2 8 4 2" xfId="32709"/>
    <cellStyle name="Normal 7 4 5 2 8 5" xfId="32710"/>
    <cellStyle name="Normal 7 4 5 2 9" xfId="32711"/>
    <cellStyle name="Normal 7 4 5 2 9 2" xfId="32712"/>
    <cellStyle name="Normal 7 4 5 2 9 2 2" xfId="32713"/>
    <cellStyle name="Normal 7 4 5 2 9 3" xfId="32714"/>
    <cellStyle name="Normal 7 4 5 2 9 3 2" xfId="32715"/>
    <cellStyle name="Normal 7 4 5 2 9 4" xfId="32716"/>
    <cellStyle name="Normal 7 4 5 2 9 4 2" xfId="32717"/>
    <cellStyle name="Normal 7 4 5 2 9 5" xfId="32718"/>
    <cellStyle name="Normal 7 4 5 3" xfId="32719"/>
    <cellStyle name="Normal 7 4 5 3 2" xfId="32720"/>
    <cellStyle name="Normal 7 4 5 3 2 2" xfId="32721"/>
    <cellStyle name="Normal 7 4 5 3 2 2 2" xfId="32722"/>
    <cellStyle name="Normal 7 4 5 3 2 2 2 2" xfId="32723"/>
    <cellStyle name="Normal 7 4 5 3 2 2 3" xfId="32724"/>
    <cellStyle name="Normal 7 4 5 3 2 2 3 2" xfId="32725"/>
    <cellStyle name="Normal 7 4 5 3 2 2 4" xfId="32726"/>
    <cellStyle name="Normal 7 4 5 3 2 2 4 2" xfId="32727"/>
    <cellStyle name="Normal 7 4 5 3 2 2 5" xfId="32728"/>
    <cellStyle name="Normal 7 4 5 3 2 3" xfId="32729"/>
    <cellStyle name="Normal 7 4 5 3 2 3 2" xfId="32730"/>
    <cellStyle name="Normal 7 4 5 3 2 3 2 2" xfId="32731"/>
    <cellStyle name="Normal 7 4 5 3 2 3 3" xfId="32732"/>
    <cellStyle name="Normal 7 4 5 3 2 3 3 2" xfId="32733"/>
    <cellStyle name="Normal 7 4 5 3 2 3 4" xfId="32734"/>
    <cellStyle name="Normal 7 4 5 3 2 3 4 2" xfId="32735"/>
    <cellStyle name="Normal 7 4 5 3 2 3 5" xfId="32736"/>
    <cellStyle name="Normal 7 4 5 3 2 4" xfId="32737"/>
    <cellStyle name="Normal 7 4 5 3 2 4 2" xfId="32738"/>
    <cellStyle name="Normal 7 4 5 3 2 5" xfId="32739"/>
    <cellStyle name="Normal 7 4 5 3 2 5 2" xfId="32740"/>
    <cellStyle name="Normal 7 4 5 3 2 6" xfId="32741"/>
    <cellStyle name="Normal 7 4 5 3 2 6 2" xfId="32742"/>
    <cellStyle name="Normal 7 4 5 3 2 7" xfId="32743"/>
    <cellStyle name="Normal 7 4 5 3 3" xfId="32744"/>
    <cellStyle name="Normal 7 4 5 3 3 2" xfId="32745"/>
    <cellStyle name="Normal 7 4 5 3 3 2 2" xfId="32746"/>
    <cellStyle name="Normal 7 4 5 3 3 3" xfId="32747"/>
    <cellStyle name="Normal 7 4 5 3 3 3 2" xfId="32748"/>
    <cellStyle name="Normal 7 4 5 3 3 4" xfId="32749"/>
    <cellStyle name="Normal 7 4 5 3 3 4 2" xfId="32750"/>
    <cellStyle name="Normal 7 4 5 3 3 5" xfId="32751"/>
    <cellStyle name="Normal 7 4 5 3 4" xfId="32752"/>
    <cellStyle name="Normal 7 4 5 3 4 2" xfId="32753"/>
    <cellStyle name="Normal 7 4 5 3 4 2 2" xfId="32754"/>
    <cellStyle name="Normal 7 4 5 3 4 3" xfId="32755"/>
    <cellStyle name="Normal 7 4 5 3 4 3 2" xfId="32756"/>
    <cellStyle name="Normal 7 4 5 3 4 4" xfId="32757"/>
    <cellStyle name="Normal 7 4 5 3 4 4 2" xfId="32758"/>
    <cellStyle name="Normal 7 4 5 3 4 5" xfId="32759"/>
    <cellStyle name="Normal 7 4 5 3 5" xfId="32760"/>
    <cellStyle name="Normal 7 4 5 3 5 2" xfId="32761"/>
    <cellStyle name="Normal 7 4 5 3 6" xfId="32762"/>
    <cellStyle name="Normal 7 4 5 3 6 2" xfId="32763"/>
    <cellStyle name="Normal 7 4 5 3 7" xfId="32764"/>
    <cellStyle name="Normal 7 4 5 3 7 2" xfId="32765"/>
    <cellStyle name="Normal 7 4 5 3 8" xfId="32766"/>
    <cellStyle name="Normal 7 4 5 4" xfId="32767"/>
    <cellStyle name="Normal 7 4 5 4 2" xfId="32768"/>
    <cellStyle name="Normal 7 4 5 4 2 2" xfId="32769"/>
    <cellStyle name="Normal 7 4 5 4 2 2 2" xfId="32770"/>
    <cellStyle name="Normal 7 4 5 4 2 2 2 2" xfId="32771"/>
    <cellStyle name="Normal 7 4 5 4 2 2 3" xfId="32772"/>
    <cellStyle name="Normal 7 4 5 4 2 2 3 2" xfId="32773"/>
    <cellStyle name="Normal 7 4 5 4 2 2 4" xfId="32774"/>
    <cellStyle name="Normal 7 4 5 4 2 2 4 2" xfId="32775"/>
    <cellStyle name="Normal 7 4 5 4 2 2 5" xfId="32776"/>
    <cellStyle name="Normal 7 4 5 4 2 3" xfId="32777"/>
    <cellStyle name="Normal 7 4 5 4 2 3 2" xfId="32778"/>
    <cellStyle name="Normal 7 4 5 4 2 3 2 2" xfId="32779"/>
    <cellStyle name="Normal 7 4 5 4 2 3 3" xfId="32780"/>
    <cellStyle name="Normal 7 4 5 4 2 3 3 2" xfId="32781"/>
    <cellStyle name="Normal 7 4 5 4 2 3 4" xfId="32782"/>
    <cellStyle name="Normal 7 4 5 4 2 3 4 2" xfId="32783"/>
    <cellStyle name="Normal 7 4 5 4 2 3 5" xfId="32784"/>
    <cellStyle name="Normal 7 4 5 4 2 4" xfId="32785"/>
    <cellStyle name="Normal 7 4 5 4 2 4 2" xfId="32786"/>
    <cellStyle name="Normal 7 4 5 4 2 5" xfId="32787"/>
    <cellStyle name="Normal 7 4 5 4 2 5 2" xfId="32788"/>
    <cellStyle name="Normal 7 4 5 4 2 6" xfId="32789"/>
    <cellStyle name="Normal 7 4 5 4 2 6 2" xfId="32790"/>
    <cellStyle name="Normal 7 4 5 4 2 7" xfId="32791"/>
    <cellStyle name="Normal 7 4 5 4 3" xfId="32792"/>
    <cellStyle name="Normal 7 4 5 4 3 2" xfId="32793"/>
    <cellStyle name="Normal 7 4 5 4 3 2 2" xfId="32794"/>
    <cellStyle name="Normal 7 4 5 4 3 3" xfId="32795"/>
    <cellStyle name="Normal 7 4 5 4 3 3 2" xfId="32796"/>
    <cellStyle name="Normal 7 4 5 4 3 4" xfId="32797"/>
    <cellStyle name="Normal 7 4 5 4 3 4 2" xfId="32798"/>
    <cellStyle name="Normal 7 4 5 4 3 5" xfId="32799"/>
    <cellStyle name="Normal 7 4 5 4 4" xfId="32800"/>
    <cellStyle name="Normal 7 4 5 4 4 2" xfId="32801"/>
    <cellStyle name="Normal 7 4 5 4 4 2 2" xfId="32802"/>
    <cellStyle name="Normal 7 4 5 4 4 3" xfId="32803"/>
    <cellStyle name="Normal 7 4 5 4 4 3 2" xfId="32804"/>
    <cellStyle name="Normal 7 4 5 4 4 4" xfId="32805"/>
    <cellStyle name="Normal 7 4 5 4 4 4 2" xfId="32806"/>
    <cellStyle name="Normal 7 4 5 4 4 5" xfId="32807"/>
    <cellStyle name="Normal 7 4 5 4 5" xfId="32808"/>
    <cellStyle name="Normal 7 4 5 4 5 2" xfId="32809"/>
    <cellStyle name="Normal 7 4 5 4 6" xfId="32810"/>
    <cellStyle name="Normal 7 4 5 4 6 2" xfId="32811"/>
    <cellStyle name="Normal 7 4 5 4 7" xfId="32812"/>
    <cellStyle name="Normal 7 4 5 4 7 2" xfId="32813"/>
    <cellStyle name="Normal 7 4 5 4 8" xfId="32814"/>
    <cellStyle name="Normal 7 4 5 5" xfId="32815"/>
    <cellStyle name="Normal 7 4 5 5 2" xfId="32816"/>
    <cellStyle name="Normal 7 4 5 5 2 2" xfId="32817"/>
    <cellStyle name="Normal 7 4 5 5 2 2 2" xfId="32818"/>
    <cellStyle name="Normal 7 4 5 5 2 2 2 2" xfId="32819"/>
    <cellStyle name="Normal 7 4 5 5 2 2 3" xfId="32820"/>
    <cellStyle name="Normal 7 4 5 5 2 2 3 2" xfId="32821"/>
    <cellStyle name="Normal 7 4 5 5 2 2 4" xfId="32822"/>
    <cellStyle name="Normal 7 4 5 5 2 2 4 2" xfId="32823"/>
    <cellStyle name="Normal 7 4 5 5 2 2 5" xfId="32824"/>
    <cellStyle name="Normal 7 4 5 5 2 3" xfId="32825"/>
    <cellStyle name="Normal 7 4 5 5 2 3 2" xfId="32826"/>
    <cellStyle name="Normal 7 4 5 5 2 3 2 2" xfId="32827"/>
    <cellStyle name="Normal 7 4 5 5 2 3 3" xfId="32828"/>
    <cellStyle name="Normal 7 4 5 5 2 3 3 2" xfId="32829"/>
    <cellStyle name="Normal 7 4 5 5 2 3 4" xfId="32830"/>
    <cellStyle name="Normal 7 4 5 5 2 3 4 2" xfId="32831"/>
    <cellStyle name="Normal 7 4 5 5 2 3 5" xfId="32832"/>
    <cellStyle name="Normal 7 4 5 5 2 4" xfId="32833"/>
    <cellStyle name="Normal 7 4 5 5 2 4 2" xfId="32834"/>
    <cellStyle name="Normal 7 4 5 5 2 5" xfId="32835"/>
    <cellStyle name="Normal 7 4 5 5 2 5 2" xfId="32836"/>
    <cellStyle name="Normal 7 4 5 5 2 6" xfId="32837"/>
    <cellStyle name="Normal 7 4 5 5 2 6 2" xfId="32838"/>
    <cellStyle name="Normal 7 4 5 5 2 7" xfId="32839"/>
    <cellStyle name="Normal 7 4 5 5 3" xfId="32840"/>
    <cellStyle name="Normal 7 4 5 5 3 2" xfId="32841"/>
    <cellStyle name="Normal 7 4 5 5 3 2 2" xfId="32842"/>
    <cellStyle name="Normal 7 4 5 5 3 3" xfId="32843"/>
    <cellStyle name="Normal 7 4 5 5 3 3 2" xfId="32844"/>
    <cellStyle name="Normal 7 4 5 5 3 4" xfId="32845"/>
    <cellStyle name="Normal 7 4 5 5 3 4 2" xfId="32846"/>
    <cellStyle name="Normal 7 4 5 5 3 5" xfId="32847"/>
    <cellStyle name="Normal 7 4 5 5 4" xfId="32848"/>
    <cellStyle name="Normal 7 4 5 5 4 2" xfId="32849"/>
    <cellStyle name="Normal 7 4 5 5 4 2 2" xfId="32850"/>
    <cellStyle name="Normal 7 4 5 5 4 3" xfId="32851"/>
    <cellStyle name="Normal 7 4 5 5 4 3 2" xfId="32852"/>
    <cellStyle name="Normal 7 4 5 5 4 4" xfId="32853"/>
    <cellStyle name="Normal 7 4 5 5 4 4 2" xfId="32854"/>
    <cellStyle name="Normal 7 4 5 5 4 5" xfId="32855"/>
    <cellStyle name="Normal 7 4 5 5 5" xfId="32856"/>
    <cellStyle name="Normal 7 4 5 5 5 2" xfId="32857"/>
    <cellStyle name="Normal 7 4 5 5 6" xfId="32858"/>
    <cellStyle name="Normal 7 4 5 5 6 2" xfId="32859"/>
    <cellStyle name="Normal 7 4 5 5 7" xfId="32860"/>
    <cellStyle name="Normal 7 4 5 5 7 2" xfId="32861"/>
    <cellStyle name="Normal 7 4 5 5 8" xfId="32862"/>
    <cellStyle name="Normal 7 4 5 6" xfId="32863"/>
    <cellStyle name="Normal 7 4 5 6 2" xfId="32864"/>
    <cellStyle name="Normal 7 4 5 6 2 2" xfId="32865"/>
    <cellStyle name="Normal 7 4 5 6 2 2 2" xfId="32866"/>
    <cellStyle name="Normal 7 4 5 6 2 2 2 2" xfId="32867"/>
    <cellStyle name="Normal 7 4 5 6 2 2 3" xfId="32868"/>
    <cellStyle name="Normal 7 4 5 6 2 2 3 2" xfId="32869"/>
    <cellStyle name="Normal 7 4 5 6 2 2 4" xfId="32870"/>
    <cellStyle name="Normal 7 4 5 6 2 2 4 2" xfId="32871"/>
    <cellStyle name="Normal 7 4 5 6 2 2 5" xfId="32872"/>
    <cellStyle name="Normal 7 4 5 6 2 3" xfId="32873"/>
    <cellStyle name="Normal 7 4 5 6 2 3 2" xfId="32874"/>
    <cellStyle name="Normal 7 4 5 6 2 3 2 2" xfId="32875"/>
    <cellStyle name="Normal 7 4 5 6 2 3 3" xfId="32876"/>
    <cellStyle name="Normal 7 4 5 6 2 3 3 2" xfId="32877"/>
    <cellStyle name="Normal 7 4 5 6 2 3 4" xfId="32878"/>
    <cellStyle name="Normal 7 4 5 6 2 3 4 2" xfId="32879"/>
    <cellStyle name="Normal 7 4 5 6 2 3 5" xfId="32880"/>
    <cellStyle name="Normal 7 4 5 6 2 4" xfId="32881"/>
    <cellStyle name="Normal 7 4 5 6 2 4 2" xfId="32882"/>
    <cellStyle name="Normal 7 4 5 6 2 5" xfId="32883"/>
    <cellStyle name="Normal 7 4 5 6 2 5 2" xfId="32884"/>
    <cellStyle name="Normal 7 4 5 6 2 6" xfId="32885"/>
    <cellStyle name="Normal 7 4 5 6 2 6 2" xfId="32886"/>
    <cellStyle name="Normal 7 4 5 6 2 7" xfId="32887"/>
    <cellStyle name="Normal 7 4 5 6 3" xfId="32888"/>
    <cellStyle name="Normal 7 4 5 6 3 2" xfId="32889"/>
    <cellStyle name="Normal 7 4 5 6 3 2 2" xfId="32890"/>
    <cellStyle name="Normal 7 4 5 6 3 3" xfId="32891"/>
    <cellStyle name="Normal 7 4 5 6 3 3 2" xfId="32892"/>
    <cellStyle name="Normal 7 4 5 6 3 4" xfId="32893"/>
    <cellStyle name="Normal 7 4 5 6 3 4 2" xfId="32894"/>
    <cellStyle name="Normal 7 4 5 6 3 5" xfId="32895"/>
    <cellStyle name="Normal 7 4 5 6 4" xfId="32896"/>
    <cellStyle name="Normal 7 4 5 6 4 2" xfId="32897"/>
    <cellStyle name="Normal 7 4 5 6 4 2 2" xfId="32898"/>
    <cellStyle name="Normal 7 4 5 6 4 3" xfId="32899"/>
    <cellStyle name="Normal 7 4 5 6 4 3 2" xfId="32900"/>
    <cellStyle name="Normal 7 4 5 6 4 4" xfId="32901"/>
    <cellStyle name="Normal 7 4 5 6 4 4 2" xfId="32902"/>
    <cellStyle name="Normal 7 4 5 6 4 5" xfId="32903"/>
    <cellStyle name="Normal 7 4 5 6 5" xfId="32904"/>
    <cellStyle name="Normal 7 4 5 6 5 2" xfId="32905"/>
    <cellStyle name="Normal 7 4 5 6 6" xfId="32906"/>
    <cellStyle name="Normal 7 4 5 6 6 2" xfId="32907"/>
    <cellStyle name="Normal 7 4 5 6 7" xfId="32908"/>
    <cellStyle name="Normal 7 4 5 6 7 2" xfId="32909"/>
    <cellStyle name="Normal 7 4 5 6 8" xfId="32910"/>
    <cellStyle name="Normal 7 4 5 7" xfId="32911"/>
    <cellStyle name="Normal 7 4 5 7 2" xfId="32912"/>
    <cellStyle name="Normal 7 4 5 7 2 2" xfId="32913"/>
    <cellStyle name="Normal 7 4 5 7 2 2 2" xfId="32914"/>
    <cellStyle name="Normal 7 4 5 7 2 2 2 2" xfId="32915"/>
    <cellStyle name="Normal 7 4 5 7 2 2 3" xfId="32916"/>
    <cellStyle name="Normal 7 4 5 7 2 2 3 2" xfId="32917"/>
    <cellStyle name="Normal 7 4 5 7 2 2 4" xfId="32918"/>
    <cellStyle name="Normal 7 4 5 7 2 2 4 2" xfId="32919"/>
    <cellStyle name="Normal 7 4 5 7 2 2 5" xfId="32920"/>
    <cellStyle name="Normal 7 4 5 7 2 3" xfId="32921"/>
    <cellStyle name="Normal 7 4 5 7 2 3 2" xfId="32922"/>
    <cellStyle name="Normal 7 4 5 7 2 3 2 2" xfId="32923"/>
    <cellStyle name="Normal 7 4 5 7 2 3 3" xfId="32924"/>
    <cellStyle name="Normal 7 4 5 7 2 3 3 2" xfId="32925"/>
    <cellStyle name="Normal 7 4 5 7 2 3 4" xfId="32926"/>
    <cellStyle name="Normal 7 4 5 7 2 3 4 2" xfId="32927"/>
    <cellStyle name="Normal 7 4 5 7 2 3 5" xfId="32928"/>
    <cellStyle name="Normal 7 4 5 7 2 4" xfId="32929"/>
    <cellStyle name="Normal 7 4 5 7 2 4 2" xfId="32930"/>
    <cellStyle name="Normal 7 4 5 7 2 5" xfId="32931"/>
    <cellStyle name="Normal 7 4 5 7 2 5 2" xfId="32932"/>
    <cellStyle name="Normal 7 4 5 7 2 6" xfId="32933"/>
    <cellStyle name="Normal 7 4 5 7 2 6 2" xfId="32934"/>
    <cellStyle name="Normal 7 4 5 7 2 7" xfId="32935"/>
    <cellStyle name="Normal 7 4 5 7 3" xfId="32936"/>
    <cellStyle name="Normal 7 4 5 7 3 2" xfId="32937"/>
    <cellStyle name="Normal 7 4 5 7 3 2 2" xfId="32938"/>
    <cellStyle name="Normal 7 4 5 7 3 3" xfId="32939"/>
    <cellStyle name="Normal 7 4 5 7 3 3 2" xfId="32940"/>
    <cellStyle name="Normal 7 4 5 7 3 4" xfId="32941"/>
    <cellStyle name="Normal 7 4 5 7 3 4 2" xfId="32942"/>
    <cellStyle name="Normal 7 4 5 7 3 5" xfId="32943"/>
    <cellStyle name="Normal 7 4 5 7 4" xfId="32944"/>
    <cellStyle name="Normal 7 4 5 7 4 2" xfId="32945"/>
    <cellStyle name="Normal 7 4 5 7 4 2 2" xfId="32946"/>
    <cellStyle name="Normal 7 4 5 7 4 3" xfId="32947"/>
    <cellStyle name="Normal 7 4 5 7 4 3 2" xfId="32948"/>
    <cellStyle name="Normal 7 4 5 7 4 4" xfId="32949"/>
    <cellStyle name="Normal 7 4 5 7 4 4 2" xfId="32950"/>
    <cellStyle name="Normal 7 4 5 7 4 5" xfId="32951"/>
    <cellStyle name="Normal 7 4 5 7 5" xfId="32952"/>
    <cellStyle name="Normal 7 4 5 7 5 2" xfId="32953"/>
    <cellStyle name="Normal 7 4 5 7 6" xfId="32954"/>
    <cellStyle name="Normal 7 4 5 7 6 2" xfId="32955"/>
    <cellStyle name="Normal 7 4 5 7 7" xfId="32956"/>
    <cellStyle name="Normal 7 4 5 7 7 2" xfId="32957"/>
    <cellStyle name="Normal 7 4 5 7 8" xfId="32958"/>
    <cellStyle name="Normal 7 4 5 8" xfId="32959"/>
    <cellStyle name="Normal 7 4 5 8 2" xfId="32960"/>
    <cellStyle name="Normal 7 4 5 8 2 2" xfId="32961"/>
    <cellStyle name="Normal 7 4 5 8 2 2 2" xfId="32962"/>
    <cellStyle name="Normal 7 4 5 8 2 3" xfId="32963"/>
    <cellStyle name="Normal 7 4 5 8 2 3 2" xfId="32964"/>
    <cellStyle name="Normal 7 4 5 8 2 4" xfId="32965"/>
    <cellStyle name="Normal 7 4 5 8 2 4 2" xfId="32966"/>
    <cellStyle name="Normal 7 4 5 8 2 5" xfId="32967"/>
    <cellStyle name="Normal 7 4 5 8 3" xfId="32968"/>
    <cellStyle name="Normal 7 4 5 8 3 2" xfId="32969"/>
    <cellStyle name="Normal 7 4 5 8 3 2 2" xfId="32970"/>
    <cellStyle name="Normal 7 4 5 8 3 3" xfId="32971"/>
    <cellStyle name="Normal 7 4 5 8 3 3 2" xfId="32972"/>
    <cellStyle name="Normal 7 4 5 8 3 4" xfId="32973"/>
    <cellStyle name="Normal 7 4 5 8 3 4 2" xfId="32974"/>
    <cellStyle name="Normal 7 4 5 8 3 5" xfId="32975"/>
    <cellStyle name="Normal 7 4 5 8 4" xfId="32976"/>
    <cellStyle name="Normal 7 4 5 8 4 2" xfId="32977"/>
    <cellStyle name="Normal 7 4 5 8 5" xfId="32978"/>
    <cellStyle name="Normal 7 4 5 8 5 2" xfId="32979"/>
    <cellStyle name="Normal 7 4 5 8 6" xfId="32980"/>
    <cellStyle name="Normal 7 4 5 8 6 2" xfId="32981"/>
    <cellStyle name="Normal 7 4 5 8 7" xfId="32982"/>
    <cellStyle name="Normal 7 4 5 9" xfId="32983"/>
    <cellStyle name="Normal 7 4 5 9 2" xfId="32984"/>
    <cellStyle name="Normal 7 4 5 9 2 2" xfId="32985"/>
    <cellStyle name="Normal 7 4 5 9 3" xfId="32986"/>
    <cellStyle name="Normal 7 4 5 9 3 2" xfId="32987"/>
    <cellStyle name="Normal 7 4 5 9 4" xfId="32988"/>
    <cellStyle name="Normal 7 4 5 9 4 2" xfId="32989"/>
    <cellStyle name="Normal 7 4 5 9 5" xfId="32990"/>
    <cellStyle name="Normal 7 4 6" xfId="32991"/>
    <cellStyle name="Normal 7 4 6 10" xfId="32992"/>
    <cellStyle name="Normal 7 4 6 10 2" xfId="32993"/>
    <cellStyle name="Normal 7 4 6 10 2 2" xfId="32994"/>
    <cellStyle name="Normal 7 4 6 10 3" xfId="32995"/>
    <cellStyle name="Normal 7 4 6 10 3 2" xfId="32996"/>
    <cellStyle name="Normal 7 4 6 10 4" xfId="32997"/>
    <cellStyle name="Normal 7 4 6 10 4 2" xfId="32998"/>
    <cellStyle name="Normal 7 4 6 10 5" xfId="32999"/>
    <cellStyle name="Normal 7 4 6 11" xfId="33000"/>
    <cellStyle name="Normal 7 4 6 11 2" xfId="33001"/>
    <cellStyle name="Normal 7 4 6 12" xfId="33002"/>
    <cellStyle name="Normal 7 4 6 12 2" xfId="33003"/>
    <cellStyle name="Normal 7 4 6 13" xfId="33004"/>
    <cellStyle name="Normal 7 4 6 13 2" xfId="33005"/>
    <cellStyle name="Normal 7 4 6 14" xfId="33006"/>
    <cellStyle name="Normal 7 4 6 2" xfId="33007"/>
    <cellStyle name="Normal 7 4 6 2 10" xfId="33008"/>
    <cellStyle name="Normal 7 4 6 2 10 2" xfId="33009"/>
    <cellStyle name="Normal 7 4 6 2 11" xfId="33010"/>
    <cellStyle name="Normal 7 4 6 2 11 2" xfId="33011"/>
    <cellStyle name="Normal 7 4 6 2 12" xfId="33012"/>
    <cellStyle name="Normal 7 4 6 2 12 2" xfId="33013"/>
    <cellStyle name="Normal 7 4 6 2 13" xfId="33014"/>
    <cellStyle name="Normal 7 4 6 2 2" xfId="33015"/>
    <cellStyle name="Normal 7 4 6 2 2 2" xfId="33016"/>
    <cellStyle name="Normal 7 4 6 2 2 2 2" xfId="33017"/>
    <cellStyle name="Normal 7 4 6 2 2 2 2 2" xfId="33018"/>
    <cellStyle name="Normal 7 4 6 2 2 2 2 2 2" xfId="33019"/>
    <cellStyle name="Normal 7 4 6 2 2 2 2 3" xfId="33020"/>
    <cellStyle name="Normal 7 4 6 2 2 2 2 3 2" xfId="33021"/>
    <cellStyle name="Normal 7 4 6 2 2 2 2 4" xfId="33022"/>
    <cellStyle name="Normal 7 4 6 2 2 2 2 4 2" xfId="33023"/>
    <cellStyle name="Normal 7 4 6 2 2 2 2 5" xfId="33024"/>
    <cellStyle name="Normal 7 4 6 2 2 2 3" xfId="33025"/>
    <cellStyle name="Normal 7 4 6 2 2 2 3 2" xfId="33026"/>
    <cellStyle name="Normal 7 4 6 2 2 2 3 2 2" xfId="33027"/>
    <cellStyle name="Normal 7 4 6 2 2 2 3 3" xfId="33028"/>
    <cellStyle name="Normal 7 4 6 2 2 2 3 3 2" xfId="33029"/>
    <cellStyle name="Normal 7 4 6 2 2 2 3 4" xfId="33030"/>
    <cellStyle name="Normal 7 4 6 2 2 2 3 4 2" xfId="33031"/>
    <cellStyle name="Normal 7 4 6 2 2 2 3 5" xfId="33032"/>
    <cellStyle name="Normal 7 4 6 2 2 2 4" xfId="33033"/>
    <cellStyle name="Normal 7 4 6 2 2 2 4 2" xfId="33034"/>
    <cellStyle name="Normal 7 4 6 2 2 2 5" xfId="33035"/>
    <cellStyle name="Normal 7 4 6 2 2 2 5 2" xfId="33036"/>
    <cellStyle name="Normal 7 4 6 2 2 2 6" xfId="33037"/>
    <cellStyle name="Normal 7 4 6 2 2 2 6 2" xfId="33038"/>
    <cellStyle name="Normal 7 4 6 2 2 2 7" xfId="33039"/>
    <cellStyle name="Normal 7 4 6 2 2 3" xfId="33040"/>
    <cellStyle name="Normal 7 4 6 2 2 3 2" xfId="33041"/>
    <cellStyle name="Normal 7 4 6 2 2 3 2 2" xfId="33042"/>
    <cellStyle name="Normal 7 4 6 2 2 3 3" xfId="33043"/>
    <cellStyle name="Normal 7 4 6 2 2 3 3 2" xfId="33044"/>
    <cellStyle name="Normal 7 4 6 2 2 3 4" xfId="33045"/>
    <cellStyle name="Normal 7 4 6 2 2 3 4 2" xfId="33046"/>
    <cellStyle name="Normal 7 4 6 2 2 3 5" xfId="33047"/>
    <cellStyle name="Normal 7 4 6 2 2 4" xfId="33048"/>
    <cellStyle name="Normal 7 4 6 2 2 4 2" xfId="33049"/>
    <cellStyle name="Normal 7 4 6 2 2 4 2 2" xfId="33050"/>
    <cellStyle name="Normal 7 4 6 2 2 4 3" xfId="33051"/>
    <cellStyle name="Normal 7 4 6 2 2 4 3 2" xfId="33052"/>
    <cellStyle name="Normal 7 4 6 2 2 4 4" xfId="33053"/>
    <cellStyle name="Normal 7 4 6 2 2 4 4 2" xfId="33054"/>
    <cellStyle name="Normal 7 4 6 2 2 4 5" xfId="33055"/>
    <cellStyle name="Normal 7 4 6 2 2 5" xfId="33056"/>
    <cellStyle name="Normal 7 4 6 2 2 5 2" xfId="33057"/>
    <cellStyle name="Normal 7 4 6 2 2 6" xfId="33058"/>
    <cellStyle name="Normal 7 4 6 2 2 6 2" xfId="33059"/>
    <cellStyle name="Normal 7 4 6 2 2 7" xfId="33060"/>
    <cellStyle name="Normal 7 4 6 2 2 7 2" xfId="33061"/>
    <cellStyle name="Normal 7 4 6 2 2 8" xfId="33062"/>
    <cellStyle name="Normal 7 4 6 2 3" xfId="33063"/>
    <cellStyle name="Normal 7 4 6 2 3 2" xfId="33064"/>
    <cellStyle name="Normal 7 4 6 2 3 2 2" xfId="33065"/>
    <cellStyle name="Normal 7 4 6 2 3 2 2 2" xfId="33066"/>
    <cellStyle name="Normal 7 4 6 2 3 2 2 2 2" xfId="33067"/>
    <cellStyle name="Normal 7 4 6 2 3 2 2 3" xfId="33068"/>
    <cellStyle name="Normal 7 4 6 2 3 2 2 3 2" xfId="33069"/>
    <cellStyle name="Normal 7 4 6 2 3 2 2 4" xfId="33070"/>
    <cellStyle name="Normal 7 4 6 2 3 2 2 4 2" xfId="33071"/>
    <cellStyle name="Normal 7 4 6 2 3 2 2 5" xfId="33072"/>
    <cellStyle name="Normal 7 4 6 2 3 2 3" xfId="33073"/>
    <cellStyle name="Normal 7 4 6 2 3 2 3 2" xfId="33074"/>
    <cellStyle name="Normal 7 4 6 2 3 2 3 2 2" xfId="33075"/>
    <cellStyle name="Normal 7 4 6 2 3 2 3 3" xfId="33076"/>
    <cellStyle name="Normal 7 4 6 2 3 2 3 3 2" xfId="33077"/>
    <cellStyle name="Normal 7 4 6 2 3 2 3 4" xfId="33078"/>
    <cellStyle name="Normal 7 4 6 2 3 2 3 4 2" xfId="33079"/>
    <cellStyle name="Normal 7 4 6 2 3 2 3 5" xfId="33080"/>
    <cellStyle name="Normal 7 4 6 2 3 2 4" xfId="33081"/>
    <cellStyle name="Normal 7 4 6 2 3 2 4 2" xfId="33082"/>
    <cellStyle name="Normal 7 4 6 2 3 2 5" xfId="33083"/>
    <cellStyle name="Normal 7 4 6 2 3 2 5 2" xfId="33084"/>
    <cellStyle name="Normal 7 4 6 2 3 2 6" xfId="33085"/>
    <cellStyle name="Normal 7 4 6 2 3 2 6 2" xfId="33086"/>
    <cellStyle name="Normal 7 4 6 2 3 2 7" xfId="33087"/>
    <cellStyle name="Normal 7 4 6 2 3 3" xfId="33088"/>
    <cellStyle name="Normal 7 4 6 2 3 3 2" xfId="33089"/>
    <cellStyle name="Normal 7 4 6 2 3 3 2 2" xfId="33090"/>
    <cellStyle name="Normal 7 4 6 2 3 3 3" xfId="33091"/>
    <cellStyle name="Normal 7 4 6 2 3 3 3 2" xfId="33092"/>
    <cellStyle name="Normal 7 4 6 2 3 3 4" xfId="33093"/>
    <cellStyle name="Normal 7 4 6 2 3 3 4 2" xfId="33094"/>
    <cellStyle name="Normal 7 4 6 2 3 3 5" xfId="33095"/>
    <cellStyle name="Normal 7 4 6 2 3 4" xfId="33096"/>
    <cellStyle name="Normal 7 4 6 2 3 4 2" xfId="33097"/>
    <cellStyle name="Normal 7 4 6 2 3 4 2 2" xfId="33098"/>
    <cellStyle name="Normal 7 4 6 2 3 4 3" xfId="33099"/>
    <cellStyle name="Normal 7 4 6 2 3 4 3 2" xfId="33100"/>
    <cellStyle name="Normal 7 4 6 2 3 4 4" xfId="33101"/>
    <cellStyle name="Normal 7 4 6 2 3 4 4 2" xfId="33102"/>
    <cellStyle name="Normal 7 4 6 2 3 4 5" xfId="33103"/>
    <cellStyle name="Normal 7 4 6 2 3 5" xfId="33104"/>
    <cellStyle name="Normal 7 4 6 2 3 5 2" xfId="33105"/>
    <cellStyle name="Normal 7 4 6 2 3 6" xfId="33106"/>
    <cellStyle name="Normal 7 4 6 2 3 6 2" xfId="33107"/>
    <cellStyle name="Normal 7 4 6 2 3 7" xfId="33108"/>
    <cellStyle name="Normal 7 4 6 2 3 7 2" xfId="33109"/>
    <cellStyle name="Normal 7 4 6 2 3 8" xfId="33110"/>
    <cellStyle name="Normal 7 4 6 2 4" xfId="33111"/>
    <cellStyle name="Normal 7 4 6 2 4 2" xfId="33112"/>
    <cellStyle name="Normal 7 4 6 2 4 2 2" xfId="33113"/>
    <cellStyle name="Normal 7 4 6 2 4 2 2 2" xfId="33114"/>
    <cellStyle name="Normal 7 4 6 2 4 2 2 2 2" xfId="33115"/>
    <cellStyle name="Normal 7 4 6 2 4 2 2 3" xfId="33116"/>
    <cellStyle name="Normal 7 4 6 2 4 2 2 3 2" xfId="33117"/>
    <cellStyle name="Normal 7 4 6 2 4 2 2 4" xfId="33118"/>
    <cellStyle name="Normal 7 4 6 2 4 2 2 4 2" xfId="33119"/>
    <cellStyle name="Normal 7 4 6 2 4 2 2 5" xfId="33120"/>
    <cellStyle name="Normal 7 4 6 2 4 2 3" xfId="33121"/>
    <cellStyle name="Normal 7 4 6 2 4 2 3 2" xfId="33122"/>
    <cellStyle name="Normal 7 4 6 2 4 2 3 2 2" xfId="33123"/>
    <cellStyle name="Normal 7 4 6 2 4 2 3 3" xfId="33124"/>
    <cellStyle name="Normal 7 4 6 2 4 2 3 3 2" xfId="33125"/>
    <cellStyle name="Normal 7 4 6 2 4 2 3 4" xfId="33126"/>
    <cellStyle name="Normal 7 4 6 2 4 2 3 4 2" xfId="33127"/>
    <cellStyle name="Normal 7 4 6 2 4 2 3 5" xfId="33128"/>
    <cellStyle name="Normal 7 4 6 2 4 2 4" xfId="33129"/>
    <cellStyle name="Normal 7 4 6 2 4 2 4 2" xfId="33130"/>
    <cellStyle name="Normal 7 4 6 2 4 2 5" xfId="33131"/>
    <cellStyle name="Normal 7 4 6 2 4 2 5 2" xfId="33132"/>
    <cellStyle name="Normal 7 4 6 2 4 2 6" xfId="33133"/>
    <cellStyle name="Normal 7 4 6 2 4 2 6 2" xfId="33134"/>
    <cellStyle name="Normal 7 4 6 2 4 2 7" xfId="33135"/>
    <cellStyle name="Normal 7 4 6 2 4 3" xfId="33136"/>
    <cellStyle name="Normal 7 4 6 2 4 3 2" xfId="33137"/>
    <cellStyle name="Normal 7 4 6 2 4 3 2 2" xfId="33138"/>
    <cellStyle name="Normal 7 4 6 2 4 3 3" xfId="33139"/>
    <cellStyle name="Normal 7 4 6 2 4 3 3 2" xfId="33140"/>
    <cellStyle name="Normal 7 4 6 2 4 3 4" xfId="33141"/>
    <cellStyle name="Normal 7 4 6 2 4 3 4 2" xfId="33142"/>
    <cellStyle name="Normal 7 4 6 2 4 3 5" xfId="33143"/>
    <cellStyle name="Normal 7 4 6 2 4 4" xfId="33144"/>
    <cellStyle name="Normal 7 4 6 2 4 4 2" xfId="33145"/>
    <cellStyle name="Normal 7 4 6 2 4 4 2 2" xfId="33146"/>
    <cellStyle name="Normal 7 4 6 2 4 4 3" xfId="33147"/>
    <cellStyle name="Normal 7 4 6 2 4 4 3 2" xfId="33148"/>
    <cellStyle name="Normal 7 4 6 2 4 4 4" xfId="33149"/>
    <cellStyle name="Normal 7 4 6 2 4 4 4 2" xfId="33150"/>
    <cellStyle name="Normal 7 4 6 2 4 4 5" xfId="33151"/>
    <cellStyle name="Normal 7 4 6 2 4 5" xfId="33152"/>
    <cellStyle name="Normal 7 4 6 2 4 5 2" xfId="33153"/>
    <cellStyle name="Normal 7 4 6 2 4 6" xfId="33154"/>
    <cellStyle name="Normal 7 4 6 2 4 6 2" xfId="33155"/>
    <cellStyle name="Normal 7 4 6 2 4 7" xfId="33156"/>
    <cellStyle name="Normal 7 4 6 2 4 7 2" xfId="33157"/>
    <cellStyle name="Normal 7 4 6 2 4 8" xfId="33158"/>
    <cellStyle name="Normal 7 4 6 2 5" xfId="33159"/>
    <cellStyle name="Normal 7 4 6 2 5 2" xfId="33160"/>
    <cellStyle name="Normal 7 4 6 2 5 2 2" xfId="33161"/>
    <cellStyle name="Normal 7 4 6 2 5 2 2 2" xfId="33162"/>
    <cellStyle name="Normal 7 4 6 2 5 2 2 2 2" xfId="33163"/>
    <cellStyle name="Normal 7 4 6 2 5 2 2 3" xfId="33164"/>
    <cellStyle name="Normal 7 4 6 2 5 2 2 3 2" xfId="33165"/>
    <cellStyle name="Normal 7 4 6 2 5 2 2 4" xfId="33166"/>
    <cellStyle name="Normal 7 4 6 2 5 2 2 4 2" xfId="33167"/>
    <cellStyle name="Normal 7 4 6 2 5 2 2 5" xfId="33168"/>
    <cellStyle name="Normal 7 4 6 2 5 2 3" xfId="33169"/>
    <cellStyle name="Normal 7 4 6 2 5 2 3 2" xfId="33170"/>
    <cellStyle name="Normal 7 4 6 2 5 2 3 2 2" xfId="33171"/>
    <cellStyle name="Normal 7 4 6 2 5 2 3 3" xfId="33172"/>
    <cellStyle name="Normal 7 4 6 2 5 2 3 3 2" xfId="33173"/>
    <cellStyle name="Normal 7 4 6 2 5 2 3 4" xfId="33174"/>
    <cellStyle name="Normal 7 4 6 2 5 2 3 4 2" xfId="33175"/>
    <cellStyle name="Normal 7 4 6 2 5 2 3 5" xfId="33176"/>
    <cellStyle name="Normal 7 4 6 2 5 2 4" xfId="33177"/>
    <cellStyle name="Normal 7 4 6 2 5 2 4 2" xfId="33178"/>
    <cellStyle name="Normal 7 4 6 2 5 2 5" xfId="33179"/>
    <cellStyle name="Normal 7 4 6 2 5 2 5 2" xfId="33180"/>
    <cellStyle name="Normal 7 4 6 2 5 2 6" xfId="33181"/>
    <cellStyle name="Normal 7 4 6 2 5 2 6 2" xfId="33182"/>
    <cellStyle name="Normal 7 4 6 2 5 2 7" xfId="33183"/>
    <cellStyle name="Normal 7 4 6 2 5 3" xfId="33184"/>
    <cellStyle name="Normal 7 4 6 2 5 3 2" xfId="33185"/>
    <cellStyle name="Normal 7 4 6 2 5 3 2 2" xfId="33186"/>
    <cellStyle name="Normal 7 4 6 2 5 3 3" xfId="33187"/>
    <cellStyle name="Normal 7 4 6 2 5 3 3 2" xfId="33188"/>
    <cellStyle name="Normal 7 4 6 2 5 3 4" xfId="33189"/>
    <cellStyle name="Normal 7 4 6 2 5 3 4 2" xfId="33190"/>
    <cellStyle name="Normal 7 4 6 2 5 3 5" xfId="33191"/>
    <cellStyle name="Normal 7 4 6 2 5 4" xfId="33192"/>
    <cellStyle name="Normal 7 4 6 2 5 4 2" xfId="33193"/>
    <cellStyle name="Normal 7 4 6 2 5 4 2 2" xfId="33194"/>
    <cellStyle name="Normal 7 4 6 2 5 4 3" xfId="33195"/>
    <cellStyle name="Normal 7 4 6 2 5 4 3 2" xfId="33196"/>
    <cellStyle name="Normal 7 4 6 2 5 4 4" xfId="33197"/>
    <cellStyle name="Normal 7 4 6 2 5 4 4 2" xfId="33198"/>
    <cellStyle name="Normal 7 4 6 2 5 4 5" xfId="33199"/>
    <cellStyle name="Normal 7 4 6 2 5 5" xfId="33200"/>
    <cellStyle name="Normal 7 4 6 2 5 5 2" xfId="33201"/>
    <cellStyle name="Normal 7 4 6 2 5 6" xfId="33202"/>
    <cellStyle name="Normal 7 4 6 2 5 6 2" xfId="33203"/>
    <cellStyle name="Normal 7 4 6 2 5 7" xfId="33204"/>
    <cellStyle name="Normal 7 4 6 2 5 7 2" xfId="33205"/>
    <cellStyle name="Normal 7 4 6 2 5 8" xfId="33206"/>
    <cellStyle name="Normal 7 4 6 2 6" xfId="33207"/>
    <cellStyle name="Normal 7 4 6 2 6 2" xfId="33208"/>
    <cellStyle name="Normal 7 4 6 2 6 2 2" xfId="33209"/>
    <cellStyle name="Normal 7 4 6 2 6 2 2 2" xfId="33210"/>
    <cellStyle name="Normal 7 4 6 2 6 2 2 2 2" xfId="33211"/>
    <cellStyle name="Normal 7 4 6 2 6 2 2 3" xfId="33212"/>
    <cellStyle name="Normal 7 4 6 2 6 2 2 3 2" xfId="33213"/>
    <cellStyle name="Normal 7 4 6 2 6 2 2 4" xfId="33214"/>
    <cellStyle name="Normal 7 4 6 2 6 2 2 4 2" xfId="33215"/>
    <cellStyle name="Normal 7 4 6 2 6 2 2 5" xfId="33216"/>
    <cellStyle name="Normal 7 4 6 2 6 2 3" xfId="33217"/>
    <cellStyle name="Normal 7 4 6 2 6 2 3 2" xfId="33218"/>
    <cellStyle name="Normal 7 4 6 2 6 2 3 2 2" xfId="33219"/>
    <cellStyle name="Normal 7 4 6 2 6 2 3 3" xfId="33220"/>
    <cellStyle name="Normal 7 4 6 2 6 2 3 3 2" xfId="33221"/>
    <cellStyle name="Normal 7 4 6 2 6 2 3 4" xfId="33222"/>
    <cellStyle name="Normal 7 4 6 2 6 2 3 4 2" xfId="33223"/>
    <cellStyle name="Normal 7 4 6 2 6 2 3 5" xfId="33224"/>
    <cellStyle name="Normal 7 4 6 2 6 2 4" xfId="33225"/>
    <cellStyle name="Normal 7 4 6 2 6 2 4 2" xfId="33226"/>
    <cellStyle name="Normal 7 4 6 2 6 2 5" xfId="33227"/>
    <cellStyle name="Normal 7 4 6 2 6 2 5 2" xfId="33228"/>
    <cellStyle name="Normal 7 4 6 2 6 2 6" xfId="33229"/>
    <cellStyle name="Normal 7 4 6 2 6 2 6 2" xfId="33230"/>
    <cellStyle name="Normal 7 4 6 2 6 2 7" xfId="33231"/>
    <cellStyle name="Normal 7 4 6 2 6 3" xfId="33232"/>
    <cellStyle name="Normal 7 4 6 2 6 3 2" xfId="33233"/>
    <cellStyle name="Normal 7 4 6 2 6 3 2 2" xfId="33234"/>
    <cellStyle name="Normal 7 4 6 2 6 3 3" xfId="33235"/>
    <cellStyle name="Normal 7 4 6 2 6 3 3 2" xfId="33236"/>
    <cellStyle name="Normal 7 4 6 2 6 3 4" xfId="33237"/>
    <cellStyle name="Normal 7 4 6 2 6 3 4 2" xfId="33238"/>
    <cellStyle name="Normal 7 4 6 2 6 3 5" xfId="33239"/>
    <cellStyle name="Normal 7 4 6 2 6 4" xfId="33240"/>
    <cellStyle name="Normal 7 4 6 2 6 4 2" xfId="33241"/>
    <cellStyle name="Normal 7 4 6 2 6 4 2 2" xfId="33242"/>
    <cellStyle name="Normal 7 4 6 2 6 4 3" xfId="33243"/>
    <cellStyle name="Normal 7 4 6 2 6 4 3 2" xfId="33244"/>
    <cellStyle name="Normal 7 4 6 2 6 4 4" xfId="33245"/>
    <cellStyle name="Normal 7 4 6 2 6 4 4 2" xfId="33246"/>
    <cellStyle name="Normal 7 4 6 2 6 4 5" xfId="33247"/>
    <cellStyle name="Normal 7 4 6 2 6 5" xfId="33248"/>
    <cellStyle name="Normal 7 4 6 2 6 5 2" xfId="33249"/>
    <cellStyle name="Normal 7 4 6 2 6 6" xfId="33250"/>
    <cellStyle name="Normal 7 4 6 2 6 6 2" xfId="33251"/>
    <cellStyle name="Normal 7 4 6 2 6 7" xfId="33252"/>
    <cellStyle name="Normal 7 4 6 2 6 7 2" xfId="33253"/>
    <cellStyle name="Normal 7 4 6 2 6 8" xfId="33254"/>
    <cellStyle name="Normal 7 4 6 2 7" xfId="33255"/>
    <cellStyle name="Normal 7 4 6 2 7 2" xfId="33256"/>
    <cellStyle name="Normal 7 4 6 2 7 2 2" xfId="33257"/>
    <cellStyle name="Normal 7 4 6 2 7 2 2 2" xfId="33258"/>
    <cellStyle name="Normal 7 4 6 2 7 2 3" xfId="33259"/>
    <cellStyle name="Normal 7 4 6 2 7 2 3 2" xfId="33260"/>
    <cellStyle name="Normal 7 4 6 2 7 2 4" xfId="33261"/>
    <cellStyle name="Normal 7 4 6 2 7 2 4 2" xfId="33262"/>
    <cellStyle name="Normal 7 4 6 2 7 2 5" xfId="33263"/>
    <cellStyle name="Normal 7 4 6 2 7 3" xfId="33264"/>
    <cellStyle name="Normal 7 4 6 2 7 3 2" xfId="33265"/>
    <cellStyle name="Normal 7 4 6 2 7 3 2 2" xfId="33266"/>
    <cellStyle name="Normal 7 4 6 2 7 3 3" xfId="33267"/>
    <cellStyle name="Normal 7 4 6 2 7 3 3 2" xfId="33268"/>
    <cellStyle name="Normal 7 4 6 2 7 3 4" xfId="33269"/>
    <cellStyle name="Normal 7 4 6 2 7 3 4 2" xfId="33270"/>
    <cellStyle name="Normal 7 4 6 2 7 3 5" xfId="33271"/>
    <cellStyle name="Normal 7 4 6 2 7 4" xfId="33272"/>
    <cellStyle name="Normal 7 4 6 2 7 4 2" xfId="33273"/>
    <cellStyle name="Normal 7 4 6 2 7 5" xfId="33274"/>
    <cellStyle name="Normal 7 4 6 2 7 5 2" xfId="33275"/>
    <cellStyle name="Normal 7 4 6 2 7 6" xfId="33276"/>
    <cellStyle name="Normal 7 4 6 2 7 6 2" xfId="33277"/>
    <cellStyle name="Normal 7 4 6 2 7 7" xfId="33278"/>
    <cellStyle name="Normal 7 4 6 2 8" xfId="33279"/>
    <cellStyle name="Normal 7 4 6 2 8 2" xfId="33280"/>
    <cellStyle name="Normal 7 4 6 2 8 2 2" xfId="33281"/>
    <cellStyle name="Normal 7 4 6 2 8 3" xfId="33282"/>
    <cellStyle name="Normal 7 4 6 2 8 3 2" xfId="33283"/>
    <cellStyle name="Normal 7 4 6 2 8 4" xfId="33284"/>
    <cellStyle name="Normal 7 4 6 2 8 4 2" xfId="33285"/>
    <cellStyle name="Normal 7 4 6 2 8 5" xfId="33286"/>
    <cellStyle name="Normal 7 4 6 2 9" xfId="33287"/>
    <cellStyle name="Normal 7 4 6 2 9 2" xfId="33288"/>
    <cellStyle name="Normal 7 4 6 2 9 2 2" xfId="33289"/>
    <cellStyle name="Normal 7 4 6 2 9 3" xfId="33290"/>
    <cellStyle name="Normal 7 4 6 2 9 3 2" xfId="33291"/>
    <cellStyle name="Normal 7 4 6 2 9 4" xfId="33292"/>
    <cellStyle name="Normal 7 4 6 2 9 4 2" xfId="33293"/>
    <cellStyle name="Normal 7 4 6 2 9 5" xfId="33294"/>
    <cellStyle name="Normal 7 4 6 3" xfId="33295"/>
    <cellStyle name="Normal 7 4 6 3 2" xfId="33296"/>
    <cellStyle name="Normal 7 4 6 3 2 2" xfId="33297"/>
    <cellStyle name="Normal 7 4 6 3 2 2 2" xfId="33298"/>
    <cellStyle name="Normal 7 4 6 3 2 2 2 2" xfId="33299"/>
    <cellStyle name="Normal 7 4 6 3 2 2 3" xfId="33300"/>
    <cellStyle name="Normal 7 4 6 3 2 2 3 2" xfId="33301"/>
    <cellStyle name="Normal 7 4 6 3 2 2 4" xfId="33302"/>
    <cellStyle name="Normal 7 4 6 3 2 2 4 2" xfId="33303"/>
    <cellStyle name="Normal 7 4 6 3 2 2 5" xfId="33304"/>
    <cellStyle name="Normal 7 4 6 3 2 3" xfId="33305"/>
    <cellStyle name="Normal 7 4 6 3 2 3 2" xfId="33306"/>
    <cellStyle name="Normal 7 4 6 3 2 3 2 2" xfId="33307"/>
    <cellStyle name="Normal 7 4 6 3 2 3 3" xfId="33308"/>
    <cellStyle name="Normal 7 4 6 3 2 3 3 2" xfId="33309"/>
    <cellStyle name="Normal 7 4 6 3 2 3 4" xfId="33310"/>
    <cellStyle name="Normal 7 4 6 3 2 3 4 2" xfId="33311"/>
    <cellStyle name="Normal 7 4 6 3 2 3 5" xfId="33312"/>
    <cellStyle name="Normal 7 4 6 3 2 4" xfId="33313"/>
    <cellStyle name="Normal 7 4 6 3 2 4 2" xfId="33314"/>
    <cellStyle name="Normal 7 4 6 3 2 5" xfId="33315"/>
    <cellStyle name="Normal 7 4 6 3 2 5 2" xfId="33316"/>
    <cellStyle name="Normal 7 4 6 3 2 6" xfId="33317"/>
    <cellStyle name="Normal 7 4 6 3 2 6 2" xfId="33318"/>
    <cellStyle name="Normal 7 4 6 3 2 7" xfId="33319"/>
    <cellStyle name="Normal 7 4 6 3 3" xfId="33320"/>
    <cellStyle name="Normal 7 4 6 3 3 2" xfId="33321"/>
    <cellStyle name="Normal 7 4 6 3 3 2 2" xfId="33322"/>
    <cellStyle name="Normal 7 4 6 3 3 3" xfId="33323"/>
    <cellStyle name="Normal 7 4 6 3 3 3 2" xfId="33324"/>
    <cellStyle name="Normal 7 4 6 3 3 4" xfId="33325"/>
    <cellStyle name="Normal 7 4 6 3 3 4 2" xfId="33326"/>
    <cellStyle name="Normal 7 4 6 3 3 5" xfId="33327"/>
    <cellStyle name="Normal 7 4 6 3 4" xfId="33328"/>
    <cellStyle name="Normal 7 4 6 3 4 2" xfId="33329"/>
    <cellStyle name="Normal 7 4 6 3 4 2 2" xfId="33330"/>
    <cellStyle name="Normal 7 4 6 3 4 3" xfId="33331"/>
    <cellStyle name="Normal 7 4 6 3 4 3 2" xfId="33332"/>
    <cellStyle name="Normal 7 4 6 3 4 4" xfId="33333"/>
    <cellStyle name="Normal 7 4 6 3 4 4 2" xfId="33334"/>
    <cellStyle name="Normal 7 4 6 3 4 5" xfId="33335"/>
    <cellStyle name="Normal 7 4 6 3 5" xfId="33336"/>
    <cellStyle name="Normal 7 4 6 3 5 2" xfId="33337"/>
    <cellStyle name="Normal 7 4 6 3 6" xfId="33338"/>
    <cellStyle name="Normal 7 4 6 3 6 2" xfId="33339"/>
    <cellStyle name="Normal 7 4 6 3 7" xfId="33340"/>
    <cellStyle name="Normal 7 4 6 3 7 2" xfId="33341"/>
    <cellStyle name="Normal 7 4 6 3 8" xfId="33342"/>
    <cellStyle name="Normal 7 4 6 4" xfId="33343"/>
    <cellStyle name="Normal 7 4 6 4 2" xfId="33344"/>
    <cellStyle name="Normal 7 4 6 4 2 2" xfId="33345"/>
    <cellStyle name="Normal 7 4 6 4 2 2 2" xfId="33346"/>
    <cellStyle name="Normal 7 4 6 4 2 2 2 2" xfId="33347"/>
    <cellStyle name="Normal 7 4 6 4 2 2 3" xfId="33348"/>
    <cellStyle name="Normal 7 4 6 4 2 2 3 2" xfId="33349"/>
    <cellStyle name="Normal 7 4 6 4 2 2 4" xfId="33350"/>
    <cellStyle name="Normal 7 4 6 4 2 2 4 2" xfId="33351"/>
    <cellStyle name="Normal 7 4 6 4 2 2 5" xfId="33352"/>
    <cellStyle name="Normal 7 4 6 4 2 3" xfId="33353"/>
    <cellStyle name="Normal 7 4 6 4 2 3 2" xfId="33354"/>
    <cellStyle name="Normal 7 4 6 4 2 3 2 2" xfId="33355"/>
    <cellStyle name="Normal 7 4 6 4 2 3 3" xfId="33356"/>
    <cellStyle name="Normal 7 4 6 4 2 3 3 2" xfId="33357"/>
    <cellStyle name="Normal 7 4 6 4 2 3 4" xfId="33358"/>
    <cellStyle name="Normal 7 4 6 4 2 3 4 2" xfId="33359"/>
    <cellStyle name="Normal 7 4 6 4 2 3 5" xfId="33360"/>
    <cellStyle name="Normal 7 4 6 4 2 4" xfId="33361"/>
    <cellStyle name="Normal 7 4 6 4 2 4 2" xfId="33362"/>
    <cellStyle name="Normal 7 4 6 4 2 5" xfId="33363"/>
    <cellStyle name="Normal 7 4 6 4 2 5 2" xfId="33364"/>
    <cellStyle name="Normal 7 4 6 4 2 6" xfId="33365"/>
    <cellStyle name="Normal 7 4 6 4 2 6 2" xfId="33366"/>
    <cellStyle name="Normal 7 4 6 4 2 7" xfId="33367"/>
    <cellStyle name="Normal 7 4 6 4 3" xfId="33368"/>
    <cellStyle name="Normal 7 4 6 4 3 2" xfId="33369"/>
    <cellStyle name="Normal 7 4 6 4 3 2 2" xfId="33370"/>
    <cellStyle name="Normal 7 4 6 4 3 3" xfId="33371"/>
    <cellStyle name="Normal 7 4 6 4 3 3 2" xfId="33372"/>
    <cellStyle name="Normal 7 4 6 4 3 4" xfId="33373"/>
    <cellStyle name="Normal 7 4 6 4 3 4 2" xfId="33374"/>
    <cellStyle name="Normal 7 4 6 4 3 5" xfId="33375"/>
    <cellStyle name="Normal 7 4 6 4 4" xfId="33376"/>
    <cellStyle name="Normal 7 4 6 4 4 2" xfId="33377"/>
    <cellStyle name="Normal 7 4 6 4 4 2 2" xfId="33378"/>
    <cellStyle name="Normal 7 4 6 4 4 3" xfId="33379"/>
    <cellStyle name="Normal 7 4 6 4 4 3 2" xfId="33380"/>
    <cellStyle name="Normal 7 4 6 4 4 4" xfId="33381"/>
    <cellStyle name="Normal 7 4 6 4 4 4 2" xfId="33382"/>
    <cellStyle name="Normal 7 4 6 4 4 5" xfId="33383"/>
    <cellStyle name="Normal 7 4 6 4 5" xfId="33384"/>
    <cellStyle name="Normal 7 4 6 4 5 2" xfId="33385"/>
    <cellStyle name="Normal 7 4 6 4 6" xfId="33386"/>
    <cellStyle name="Normal 7 4 6 4 6 2" xfId="33387"/>
    <cellStyle name="Normal 7 4 6 4 7" xfId="33388"/>
    <cellStyle name="Normal 7 4 6 4 7 2" xfId="33389"/>
    <cellStyle name="Normal 7 4 6 4 8" xfId="33390"/>
    <cellStyle name="Normal 7 4 6 5" xfId="33391"/>
    <cellStyle name="Normal 7 4 6 5 2" xfId="33392"/>
    <cellStyle name="Normal 7 4 6 5 2 2" xfId="33393"/>
    <cellStyle name="Normal 7 4 6 5 2 2 2" xfId="33394"/>
    <cellStyle name="Normal 7 4 6 5 2 2 2 2" xfId="33395"/>
    <cellStyle name="Normal 7 4 6 5 2 2 3" xfId="33396"/>
    <cellStyle name="Normal 7 4 6 5 2 2 3 2" xfId="33397"/>
    <cellStyle name="Normal 7 4 6 5 2 2 4" xfId="33398"/>
    <cellStyle name="Normal 7 4 6 5 2 2 4 2" xfId="33399"/>
    <cellStyle name="Normal 7 4 6 5 2 2 5" xfId="33400"/>
    <cellStyle name="Normal 7 4 6 5 2 3" xfId="33401"/>
    <cellStyle name="Normal 7 4 6 5 2 3 2" xfId="33402"/>
    <cellStyle name="Normal 7 4 6 5 2 3 2 2" xfId="33403"/>
    <cellStyle name="Normal 7 4 6 5 2 3 3" xfId="33404"/>
    <cellStyle name="Normal 7 4 6 5 2 3 3 2" xfId="33405"/>
    <cellStyle name="Normal 7 4 6 5 2 3 4" xfId="33406"/>
    <cellStyle name="Normal 7 4 6 5 2 3 4 2" xfId="33407"/>
    <cellStyle name="Normal 7 4 6 5 2 3 5" xfId="33408"/>
    <cellStyle name="Normal 7 4 6 5 2 4" xfId="33409"/>
    <cellStyle name="Normal 7 4 6 5 2 4 2" xfId="33410"/>
    <cellStyle name="Normal 7 4 6 5 2 5" xfId="33411"/>
    <cellStyle name="Normal 7 4 6 5 2 5 2" xfId="33412"/>
    <cellStyle name="Normal 7 4 6 5 2 6" xfId="33413"/>
    <cellStyle name="Normal 7 4 6 5 2 6 2" xfId="33414"/>
    <cellStyle name="Normal 7 4 6 5 2 7" xfId="33415"/>
    <cellStyle name="Normal 7 4 6 5 3" xfId="33416"/>
    <cellStyle name="Normal 7 4 6 5 3 2" xfId="33417"/>
    <cellStyle name="Normal 7 4 6 5 3 2 2" xfId="33418"/>
    <cellStyle name="Normal 7 4 6 5 3 3" xfId="33419"/>
    <cellStyle name="Normal 7 4 6 5 3 3 2" xfId="33420"/>
    <cellStyle name="Normal 7 4 6 5 3 4" xfId="33421"/>
    <cellStyle name="Normal 7 4 6 5 3 4 2" xfId="33422"/>
    <cellStyle name="Normal 7 4 6 5 3 5" xfId="33423"/>
    <cellStyle name="Normal 7 4 6 5 4" xfId="33424"/>
    <cellStyle name="Normal 7 4 6 5 4 2" xfId="33425"/>
    <cellStyle name="Normal 7 4 6 5 4 2 2" xfId="33426"/>
    <cellStyle name="Normal 7 4 6 5 4 3" xfId="33427"/>
    <cellStyle name="Normal 7 4 6 5 4 3 2" xfId="33428"/>
    <cellStyle name="Normal 7 4 6 5 4 4" xfId="33429"/>
    <cellStyle name="Normal 7 4 6 5 4 4 2" xfId="33430"/>
    <cellStyle name="Normal 7 4 6 5 4 5" xfId="33431"/>
    <cellStyle name="Normal 7 4 6 5 5" xfId="33432"/>
    <cellStyle name="Normal 7 4 6 5 5 2" xfId="33433"/>
    <cellStyle name="Normal 7 4 6 5 6" xfId="33434"/>
    <cellStyle name="Normal 7 4 6 5 6 2" xfId="33435"/>
    <cellStyle name="Normal 7 4 6 5 7" xfId="33436"/>
    <cellStyle name="Normal 7 4 6 5 7 2" xfId="33437"/>
    <cellStyle name="Normal 7 4 6 5 8" xfId="33438"/>
    <cellStyle name="Normal 7 4 6 6" xfId="33439"/>
    <cellStyle name="Normal 7 4 6 6 2" xfId="33440"/>
    <cellStyle name="Normal 7 4 6 6 2 2" xfId="33441"/>
    <cellStyle name="Normal 7 4 6 6 2 2 2" xfId="33442"/>
    <cellStyle name="Normal 7 4 6 6 2 2 2 2" xfId="33443"/>
    <cellStyle name="Normal 7 4 6 6 2 2 3" xfId="33444"/>
    <cellStyle name="Normal 7 4 6 6 2 2 3 2" xfId="33445"/>
    <cellStyle name="Normal 7 4 6 6 2 2 4" xfId="33446"/>
    <cellStyle name="Normal 7 4 6 6 2 2 4 2" xfId="33447"/>
    <cellStyle name="Normal 7 4 6 6 2 2 5" xfId="33448"/>
    <cellStyle name="Normal 7 4 6 6 2 3" xfId="33449"/>
    <cellStyle name="Normal 7 4 6 6 2 3 2" xfId="33450"/>
    <cellStyle name="Normal 7 4 6 6 2 3 2 2" xfId="33451"/>
    <cellStyle name="Normal 7 4 6 6 2 3 3" xfId="33452"/>
    <cellStyle name="Normal 7 4 6 6 2 3 3 2" xfId="33453"/>
    <cellStyle name="Normal 7 4 6 6 2 3 4" xfId="33454"/>
    <cellStyle name="Normal 7 4 6 6 2 3 4 2" xfId="33455"/>
    <cellStyle name="Normal 7 4 6 6 2 3 5" xfId="33456"/>
    <cellStyle name="Normal 7 4 6 6 2 4" xfId="33457"/>
    <cellStyle name="Normal 7 4 6 6 2 4 2" xfId="33458"/>
    <cellStyle name="Normal 7 4 6 6 2 5" xfId="33459"/>
    <cellStyle name="Normal 7 4 6 6 2 5 2" xfId="33460"/>
    <cellStyle name="Normal 7 4 6 6 2 6" xfId="33461"/>
    <cellStyle name="Normal 7 4 6 6 2 6 2" xfId="33462"/>
    <cellStyle name="Normal 7 4 6 6 2 7" xfId="33463"/>
    <cellStyle name="Normal 7 4 6 6 3" xfId="33464"/>
    <cellStyle name="Normal 7 4 6 6 3 2" xfId="33465"/>
    <cellStyle name="Normal 7 4 6 6 3 2 2" xfId="33466"/>
    <cellStyle name="Normal 7 4 6 6 3 3" xfId="33467"/>
    <cellStyle name="Normal 7 4 6 6 3 3 2" xfId="33468"/>
    <cellStyle name="Normal 7 4 6 6 3 4" xfId="33469"/>
    <cellStyle name="Normal 7 4 6 6 3 4 2" xfId="33470"/>
    <cellStyle name="Normal 7 4 6 6 3 5" xfId="33471"/>
    <cellStyle name="Normal 7 4 6 6 4" xfId="33472"/>
    <cellStyle name="Normal 7 4 6 6 4 2" xfId="33473"/>
    <cellStyle name="Normal 7 4 6 6 4 2 2" xfId="33474"/>
    <cellStyle name="Normal 7 4 6 6 4 3" xfId="33475"/>
    <cellStyle name="Normal 7 4 6 6 4 3 2" xfId="33476"/>
    <cellStyle name="Normal 7 4 6 6 4 4" xfId="33477"/>
    <cellStyle name="Normal 7 4 6 6 4 4 2" xfId="33478"/>
    <cellStyle name="Normal 7 4 6 6 4 5" xfId="33479"/>
    <cellStyle name="Normal 7 4 6 6 5" xfId="33480"/>
    <cellStyle name="Normal 7 4 6 6 5 2" xfId="33481"/>
    <cellStyle name="Normal 7 4 6 6 6" xfId="33482"/>
    <cellStyle name="Normal 7 4 6 6 6 2" xfId="33483"/>
    <cellStyle name="Normal 7 4 6 6 7" xfId="33484"/>
    <cellStyle name="Normal 7 4 6 6 7 2" xfId="33485"/>
    <cellStyle name="Normal 7 4 6 6 8" xfId="33486"/>
    <cellStyle name="Normal 7 4 6 7" xfId="33487"/>
    <cellStyle name="Normal 7 4 6 7 2" xfId="33488"/>
    <cellStyle name="Normal 7 4 6 7 2 2" xfId="33489"/>
    <cellStyle name="Normal 7 4 6 7 2 2 2" xfId="33490"/>
    <cellStyle name="Normal 7 4 6 7 2 2 2 2" xfId="33491"/>
    <cellStyle name="Normal 7 4 6 7 2 2 3" xfId="33492"/>
    <cellStyle name="Normal 7 4 6 7 2 2 3 2" xfId="33493"/>
    <cellStyle name="Normal 7 4 6 7 2 2 4" xfId="33494"/>
    <cellStyle name="Normal 7 4 6 7 2 2 4 2" xfId="33495"/>
    <cellStyle name="Normal 7 4 6 7 2 2 5" xfId="33496"/>
    <cellStyle name="Normal 7 4 6 7 2 3" xfId="33497"/>
    <cellStyle name="Normal 7 4 6 7 2 3 2" xfId="33498"/>
    <cellStyle name="Normal 7 4 6 7 2 3 2 2" xfId="33499"/>
    <cellStyle name="Normal 7 4 6 7 2 3 3" xfId="33500"/>
    <cellStyle name="Normal 7 4 6 7 2 3 3 2" xfId="33501"/>
    <cellStyle name="Normal 7 4 6 7 2 3 4" xfId="33502"/>
    <cellStyle name="Normal 7 4 6 7 2 3 4 2" xfId="33503"/>
    <cellStyle name="Normal 7 4 6 7 2 3 5" xfId="33504"/>
    <cellStyle name="Normal 7 4 6 7 2 4" xfId="33505"/>
    <cellStyle name="Normal 7 4 6 7 2 4 2" xfId="33506"/>
    <cellStyle name="Normal 7 4 6 7 2 5" xfId="33507"/>
    <cellStyle name="Normal 7 4 6 7 2 5 2" xfId="33508"/>
    <cellStyle name="Normal 7 4 6 7 2 6" xfId="33509"/>
    <cellStyle name="Normal 7 4 6 7 2 6 2" xfId="33510"/>
    <cellStyle name="Normal 7 4 6 7 2 7" xfId="33511"/>
    <cellStyle name="Normal 7 4 6 7 3" xfId="33512"/>
    <cellStyle name="Normal 7 4 6 7 3 2" xfId="33513"/>
    <cellStyle name="Normal 7 4 6 7 3 2 2" xfId="33514"/>
    <cellStyle name="Normal 7 4 6 7 3 3" xfId="33515"/>
    <cellStyle name="Normal 7 4 6 7 3 3 2" xfId="33516"/>
    <cellStyle name="Normal 7 4 6 7 3 4" xfId="33517"/>
    <cellStyle name="Normal 7 4 6 7 3 4 2" xfId="33518"/>
    <cellStyle name="Normal 7 4 6 7 3 5" xfId="33519"/>
    <cellStyle name="Normal 7 4 6 7 4" xfId="33520"/>
    <cellStyle name="Normal 7 4 6 7 4 2" xfId="33521"/>
    <cellStyle name="Normal 7 4 6 7 4 2 2" xfId="33522"/>
    <cellStyle name="Normal 7 4 6 7 4 3" xfId="33523"/>
    <cellStyle name="Normal 7 4 6 7 4 3 2" xfId="33524"/>
    <cellStyle name="Normal 7 4 6 7 4 4" xfId="33525"/>
    <cellStyle name="Normal 7 4 6 7 4 4 2" xfId="33526"/>
    <cellStyle name="Normal 7 4 6 7 4 5" xfId="33527"/>
    <cellStyle name="Normal 7 4 6 7 5" xfId="33528"/>
    <cellStyle name="Normal 7 4 6 7 5 2" xfId="33529"/>
    <cellStyle name="Normal 7 4 6 7 6" xfId="33530"/>
    <cellStyle name="Normal 7 4 6 7 6 2" xfId="33531"/>
    <cellStyle name="Normal 7 4 6 7 7" xfId="33532"/>
    <cellStyle name="Normal 7 4 6 7 7 2" xfId="33533"/>
    <cellStyle name="Normal 7 4 6 7 8" xfId="33534"/>
    <cellStyle name="Normal 7 4 6 8" xfId="33535"/>
    <cellStyle name="Normal 7 4 6 8 2" xfId="33536"/>
    <cellStyle name="Normal 7 4 6 8 2 2" xfId="33537"/>
    <cellStyle name="Normal 7 4 6 8 2 2 2" xfId="33538"/>
    <cellStyle name="Normal 7 4 6 8 2 3" xfId="33539"/>
    <cellStyle name="Normal 7 4 6 8 2 3 2" xfId="33540"/>
    <cellStyle name="Normal 7 4 6 8 2 4" xfId="33541"/>
    <cellStyle name="Normal 7 4 6 8 2 4 2" xfId="33542"/>
    <cellStyle name="Normal 7 4 6 8 2 5" xfId="33543"/>
    <cellStyle name="Normal 7 4 6 8 3" xfId="33544"/>
    <cellStyle name="Normal 7 4 6 8 3 2" xfId="33545"/>
    <cellStyle name="Normal 7 4 6 8 3 2 2" xfId="33546"/>
    <cellStyle name="Normal 7 4 6 8 3 3" xfId="33547"/>
    <cellStyle name="Normal 7 4 6 8 3 3 2" xfId="33548"/>
    <cellStyle name="Normal 7 4 6 8 3 4" xfId="33549"/>
    <cellStyle name="Normal 7 4 6 8 3 4 2" xfId="33550"/>
    <cellStyle name="Normal 7 4 6 8 3 5" xfId="33551"/>
    <cellStyle name="Normal 7 4 6 8 4" xfId="33552"/>
    <cellStyle name="Normal 7 4 6 8 4 2" xfId="33553"/>
    <cellStyle name="Normal 7 4 6 8 5" xfId="33554"/>
    <cellStyle name="Normal 7 4 6 8 5 2" xfId="33555"/>
    <cellStyle name="Normal 7 4 6 8 6" xfId="33556"/>
    <cellStyle name="Normal 7 4 6 8 6 2" xfId="33557"/>
    <cellStyle name="Normal 7 4 6 8 7" xfId="33558"/>
    <cellStyle name="Normal 7 4 6 9" xfId="33559"/>
    <cellStyle name="Normal 7 4 6 9 2" xfId="33560"/>
    <cellStyle name="Normal 7 4 6 9 2 2" xfId="33561"/>
    <cellStyle name="Normal 7 4 6 9 3" xfId="33562"/>
    <cellStyle name="Normal 7 4 6 9 3 2" xfId="33563"/>
    <cellStyle name="Normal 7 4 6 9 4" xfId="33564"/>
    <cellStyle name="Normal 7 4 6 9 4 2" xfId="33565"/>
    <cellStyle name="Normal 7 4 6 9 5" xfId="33566"/>
    <cellStyle name="Normal 7 4 7" xfId="33567"/>
    <cellStyle name="Normal 7 4 7 10" xfId="33568"/>
    <cellStyle name="Normal 7 4 7 10 2" xfId="33569"/>
    <cellStyle name="Normal 7 4 7 11" xfId="33570"/>
    <cellStyle name="Normal 7 4 7 11 2" xfId="33571"/>
    <cellStyle name="Normal 7 4 7 12" xfId="33572"/>
    <cellStyle name="Normal 7 4 7 12 2" xfId="33573"/>
    <cellStyle name="Normal 7 4 7 13" xfId="33574"/>
    <cellStyle name="Normal 7 4 7 2" xfId="33575"/>
    <cellStyle name="Normal 7 4 7 2 2" xfId="33576"/>
    <cellStyle name="Normal 7 4 7 2 2 2" xfId="33577"/>
    <cellStyle name="Normal 7 4 7 2 2 2 2" xfId="33578"/>
    <cellStyle name="Normal 7 4 7 2 2 2 2 2" xfId="33579"/>
    <cellStyle name="Normal 7 4 7 2 2 2 3" xfId="33580"/>
    <cellStyle name="Normal 7 4 7 2 2 2 3 2" xfId="33581"/>
    <cellStyle name="Normal 7 4 7 2 2 2 4" xfId="33582"/>
    <cellStyle name="Normal 7 4 7 2 2 2 4 2" xfId="33583"/>
    <cellStyle name="Normal 7 4 7 2 2 2 5" xfId="33584"/>
    <cellStyle name="Normal 7 4 7 2 2 3" xfId="33585"/>
    <cellStyle name="Normal 7 4 7 2 2 3 2" xfId="33586"/>
    <cellStyle name="Normal 7 4 7 2 2 3 2 2" xfId="33587"/>
    <cellStyle name="Normal 7 4 7 2 2 3 3" xfId="33588"/>
    <cellStyle name="Normal 7 4 7 2 2 3 3 2" xfId="33589"/>
    <cellStyle name="Normal 7 4 7 2 2 3 4" xfId="33590"/>
    <cellStyle name="Normal 7 4 7 2 2 3 4 2" xfId="33591"/>
    <cellStyle name="Normal 7 4 7 2 2 3 5" xfId="33592"/>
    <cellStyle name="Normal 7 4 7 2 2 4" xfId="33593"/>
    <cellStyle name="Normal 7 4 7 2 2 4 2" xfId="33594"/>
    <cellStyle name="Normal 7 4 7 2 2 5" xfId="33595"/>
    <cellStyle name="Normal 7 4 7 2 2 5 2" xfId="33596"/>
    <cellStyle name="Normal 7 4 7 2 2 6" xfId="33597"/>
    <cellStyle name="Normal 7 4 7 2 2 6 2" xfId="33598"/>
    <cellStyle name="Normal 7 4 7 2 2 7" xfId="33599"/>
    <cellStyle name="Normal 7 4 7 2 3" xfId="33600"/>
    <cellStyle name="Normal 7 4 7 2 3 2" xfId="33601"/>
    <cellStyle name="Normal 7 4 7 2 3 2 2" xfId="33602"/>
    <cellStyle name="Normal 7 4 7 2 3 3" xfId="33603"/>
    <cellStyle name="Normal 7 4 7 2 3 3 2" xfId="33604"/>
    <cellStyle name="Normal 7 4 7 2 3 4" xfId="33605"/>
    <cellStyle name="Normal 7 4 7 2 3 4 2" xfId="33606"/>
    <cellStyle name="Normal 7 4 7 2 3 5" xfId="33607"/>
    <cellStyle name="Normal 7 4 7 2 4" xfId="33608"/>
    <cellStyle name="Normal 7 4 7 2 4 2" xfId="33609"/>
    <cellStyle name="Normal 7 4 7 2 4 2 2" xfId="33610"/>
    <cellStyle name="Normal 7 4 7 2 4 3" xfId="33611"/>
    <cellStyle name="Normal 7 4 7 2 4 3 2" xfId="33612"/>
    <cellStyle name="Normal 7 4 7 2 4 4" xfId="33613"/>
    <cellStyle name="Normal 7 4 7 2 4 4 2" xfId="33614"/>
    <cellStyle name="Normal 7 4 7 2 4 5" xfId="33615"/>
    <cellStyle name="Normal 7 4 7 2 5" xfId="33616"/>
    <cellStyle name="Normal 7 4 7 2 5 2" xfId="33617"/>
    <cellStyle name="Normal 7 4 7 2 6" xfId="33618"/>
    <cellStyle name="Normal 7 4 7 2 6 2" xfId="33619"/>
    <cellStyle name="Normal 7 4 7 2 7" xfId="33620"/>
    <cellStyle name="Normal 7 4 7 2 7 2" xfId="33621"/>
    <cellStyle name="Normal 7 4 7 2 8" xfId="33622"/>
    <cellStyle name="Normal 7 4 7 3" xfId="33623"/>
    <cellStyle name="Normal 7 4 7 3 2" xfId="33624"/>
    <cellStyle name="Normal 7 4 7 3 2 2" xfId="33625"/>
    <cellStyle name="Normal 7 4 7 3 2 2 2" xfId="33626"/>
    <cellStyle name="Normal 7 4 7 3 2 2 2 2" xfId="33627"/>
    <cellStyle name="Normal 7 4 7 3 2 2 3" xfId="33628"/>
    <cellStyle name="Normal 7 4 7 3 2 2 3 2" xfId="33629"/>
    <cellStyle name="Normal 7 4 7 3 2 2 4" xfId="33630"/>
    <cellStyle name="Normal 7 4 7 3 2 2 4 2" xfId="33631"/>
    <cellStyle name="Normal 7 4 7 3 2 2 5" xfId="33632"/>
    <cellStyle name="Normal 7 4 7 3 2 3" xfId="33633"/>
    <cellStyle name="Normal 7 4 7 3 2 3 2" xfId="33634"/>
    <cellStyle name="Normal 7 4 7 3 2 3 2 2" xfId="33635"/>
    <cellStyle name="Normal 7 4 7 3 2 3 3" xfId="33636"/>
    <cellStyle name="Normal 7 4 7 3 2 3 3 2" xfId="33637"/>
    <cellStyle name="Normal 7 4 7 3 2 3 4" xfId="33638"/>
    <cellStyle name="Normal 7 4 7 3 2 3 4 2" xfId="33639"/>
    <cellStyle name="Normal 7 4 7 3 2 3 5" xfId="33640"/>
    <cellStyle name="Normal 7 4 7 3 2 4" xfId="33641"/>
    <cellStyle name="Normal 7 4 7 3 2 4 2" xfId="33642"/>
    <cellStyle name="Normal 7 4 7 3 2 5" xfId="33643"/>
    <cellStyle name="Normal 7 4 7 3 2 5 2" xfId="33644"/>
    <cellStyle name="Normal 7 4 7 3 2 6" xfId="33645"/>
    <cellStyle name="Normal 7 4 7 3 2 6 2" xfId="33646"/>
    <cellStyle name="Normal 7 4 7 3 2 7" xfId="33647"/>
    <cellStyle name="Normal 7 4 7 3 3" xfId="33648"/>
    <cellStyle name="Normal 7 4 7 3 3 2" xfId="33649"/>
    <cellStyle name="Normal 7 4 7 3 3 2 2" xfId="33650"/>
    <cellStyle name="Normal 7 4 7 3 3 3" xfId="33651"/>
    <cellStyle name="Normal 7 4 7 3 3 3 2" xfId="33652"/>
    <cellStyle name="Normal 7 4 7 3 3 4" xfId="33653"/>
    <cellStyle name="Normal 7 4 7 3 3 4 2" xfId="33654"/>
    <cellStyle name="Normal 7 4 7 3 3 5" xfId="33655"/>
    <cellStyle name="Normal 7 4 7 3 4" xfId="33656"/>
    <cellStyle name="Normal 7 4 7 3 4 2" xfId="33657"/>
    <cellStyle name="Normal 7 4 7 3 4 2 2" xfId="33658"/>
    <cellStyle name="Normal 7 4 7 3 4 3" xfId="33659"/>
    <cellStyle name="Normal 7 4 7 3 4 3 2" xfId="33660"/>
    <cellStyle name="Normal 7 4 7 3 4 4" xfId="33661"/>
    <cellStyle name="Normal 7 4 7 3 4 4 2" xfId="33662"/>
    <cellStyle name="Normal 7 4 7 3 4 5" xfId="33663"/>
    <cellStyle name="Normal 7 4 7 3 5" xfId="33664"/>
    <cellStyle name="Normal 7 4 7 3 5 2" xfId="33665"/>
    <cellStyle name="Normal 7 4 7 3 6" xfId="33666"/>
    <cellStyle name="Normal 7 4 7 3 6 2" xfId="33667"/>
    <cellStyle name="Normal 7 4 7 3 7" xfId="33668"/>
    <cellStyle name="Normal 7 4 7 3 7 2" xfId="33669"/>
    <cellStyle name="Normal 7 4 7 3 8" xfId="33670"/>
    <cellStyle name="Normal 7 4 7 4" xfId="33671"/>
    <cellStyle name="Normal 7 4 7 4 2" xfId="33672"/>
    <cellStyle name="Normal 7 4 7 4 2 2" xfId="33673"/>
    <cellStyle name="Normal 7 4 7 4 2 2 2" xfId="33674"/>
    <cellStyle name="Normal 7 4 7 4 2 2 2 2" xfId="33675"/>
    <cellStyle name="Normal 7 4 7 4 2 2 3" xfId="33676"/>
    <cellStyle name="Normal 7 4 7 4 2 2 3 2" xfId="33677"/>
    <cellStyle name="Normal 7 4 7 4 2 2 4" xfId="33678"/>
    <cellStyle name="Normal 7 4 7 4 2 2 4 2" xfId="33679"/>
    <cellStyle name="Normal 7 4 7 4 2 2 5" xfId="33680"/>
    <cellStyle name="Normal 7 4 7 4 2 3" xfId="33681"/>
    <cellStyle name="Normal 7 4 7 4 2 3 2" xfId="33682"/>
    <cellStyle name="Normal 7 4 7 4 2 3 2 2" xfId="33683"/>
    <cellStyle name="Normal 7 4 7 4 2 3 3" xfId="33684"/>
    <cellStyle name="Normal 7 4 7 4 2 3 3 2" xfId="33685"/>
    <cellStyle name="Normal 7 4 7 4 2 3 4" xfId="33686"/>
    <cellStyle name="Normal 7 4 7 4 2 3 4 2" xfId="33687"/>
    <cellStyle name="Normal 7 4 7 4 2 3 5" xfId="33688"/>
    <cellStyle name="Normal 7 4 7 4 2 4" xfId="33689"/>
    <cellStyle name="Normal 7 4 7 4 2 4 2" xfId="33690"/>
    <cellStyle name="Normal 7 4 7 4 2 5" xfId="33691"/>
    <cellStyle name="Normal 7 4 7 4 2 5 2" xfId="33692"/>
    <cellStyle name="Normal 7 4 7 4 2 6" xfId="33693"/>
    <cellStyle name="Normal 7 4 7 4 2 6 2" xfId="33694"/>
    <cellStyle name="Normal 7 4 7 4 2 7" xfId="33695"/>
    <cellStyle name="Normal 7 4 7 4 3" xfId="33696"/>
    <cellStyle name="Normal 7 4 7 4 3 2" xfId="33697"/>
    <cellStyle name="Normal 7 4 7 4 3 2 2" xfId="33698"/>
    <cellStyle name="Normal 7 4 7 4 3 3" xfId="33699"/>
    <cellStyle name="Normal 7 4 7 4 3 3 2" xfId="33700"/>
    <cellStyle name="Normal 7 4 7 4 3 4" xfId="33701"/>
    <cellStyle name="Normal 7 4 7 4 3 4 2" xfId="33702"/>
    <cellStyle name="Normal 7 4 7 4 3 5" xfId="33703"/>
    <cellStyle name="Normal 7 4 7 4 4" xfId="33704"/>
    <cellStyle name="Normal 7 4 7 4 4 2" xfId="33705"/>
    <cellStyle name="Normal 7 4 7 4 4 2 2" xfId="33706"/>
    <cellStyle name="Normal 7 4 7 4 4 3" xfId="33707"/>
    <cellStyle name="Normal 7 4 7 4 4 3 2" xfId="33708"/>
    <cellStyle name="Normal 7 4 7 4 4 4" xfId="33709"/>
    <cellStyle name="Normal 7 4 7 4 4 4 2" xfId="33710"/>
    <cellStyle name="Normal 7 4 7 4 4 5" xfId="33711"/>
    <cellStyle name="Normal 7 4 7 4 5" xfId="33712"/>
    <cellStyle name="Normal 7 4 7 4 5 2" xfId="33713"/>
    <cellStyle name="Normal 7 4 7 4 6" xfId="33714"/>
    <cellStyle name="Normal 7 4 7 4 6 2" xfId="33715"/>
    <cellStyle name="Normal 7 4 7 4 7" xfId="33716"/>
    <cellStyle name="Normal 7 4 7 4 7 2" xfId="33717"/>
    <cellStyle name="Normal 7 4 7 4 8" xfId="33718"/>
    <cellStyle name="Normal 7 4 7 5" xfId="33719"/>
    <cellStyle name="Normal 7 4 7 5 2" xfId="33720"/>
    <cellStyle name="Normal 7 4 7 5 2 2" xfId="33721"/>
    <cellStyle name="Normal 7 4 7 5 2 2 2" xfId="33722"/>
    <cellStyle name="Normal 7 4 7 5 2 2 2 2" xfId="33723"/>
    <cellStyle name="Normal 7 4 7 5 2 2 3" xfId="33724"/>
    <cellStyle name="Normal 7 4 7 5 2 2 3 2" xfId="33725"/>
    <cellStyle name="Normal 7 4 7 5 2 2 4" xfId="33726"/>
    <cellStyle name="Normal 7 4 7 5 2 2 4 2" xfId="33727"/>
    <cellStyle name="Normal 7 4 7 5 2 2 5" xfId="33728"/>
    <cellStyle name="Normal 7 4 7 5 2 3" xfId="33729"/>
    <cellStyle name="Normal 7 4 7 5 2 3 2" xfId="33730"/>
    <cellStyle name="Normal 7 4 7 5 2 3 2 2" xfId="33731"/>
    <cellStyle name="Normal 7 4 7 5 2 3 3" xfId="33732"/>
    <cellStyle name="Normal 7 4 7 5 2 3 3 2" xfId="33733"/>
    <cellStyle name="Normal 7 4 7 5 2 3 4" xfId="33734"/>
    <cellStyle name="Normal 7 4 7 5 2 3 4 2" xfId="33735"/>
    <cellStyle name="Normal 7 4 7 5 2 3 5" xfId="33736"/>
    <cellStyle name="Normal 7 4 7 5 2 4" xfId="33737"/>
    <cellStyle name="Normal 7 4 7 5 2 4 2" xfId="33738"/>
    <cellStyle name="Normal 7 4 7 5 2 5" xfId="33739"/>
    <cellStyle name="Normal 7 4 7 5 2 5 2" xfId="33740"/>
    <cellStyle name="Normal 7 4 7 5 2 6" xfId="33741"/>
    <cellStyle name="Normal 7 4 7 5 2 6 2" xfId="33742"/>
    <cellStyle name="Normal 7 4 7 5 2 7" xfId="33743"/>
    <cellStyle name="Normal 7 4 7 5 3" xfId="33744"/>
    <cellStyle name="Normal 7 4 7 5 3 2" xfId="33745"/>
    <cellStyle name="Normal 7 4 7 5 3 2 2" xfId="33746"/>
    <cellStyle name="Normal 7 4 7 5 3 3" xfId="33747"/>
    <cellStyle name="Normal 7 4 7 5 3 3 2" xfId="33748"/>
    <cellStyle name="Normal 7 4 7 5 3 4" xfId="33749"/>
    <cellStyle name="Normal 7 4 7 5 3 4 2" xfId="33750"/>
    <cellStyle name="Normal 7 4 7 5 3 5" xfId="33751"/>
    <cellStyle name="Normal 7 4 7 5 4" xfId="33752"/>
    <cellStyle name="Normal 7 4 7 5 4 2" xfId="33753"/>
    <cellStyle name="Normal 7 4 7 5 4 2 2" xfId="33754"/>
    <cellStyle name="Normal 7 4 7 5 4 3" xfId="33755"/>
    <cellStyle name="Normal 7 4 7 5 4 3 2" xfId="33756"/>
    <cellStyle name="Normal 7 4 7 5 4 4" xfId="33757"/>
    <cellStyle name="Normal 7 4 7 5 4 4 2" xfId="33758"/>
    <cellStyle name="Normal 7 4 7 5 4 5" xfId="33759"/>
    <cellStyle name="Normal 7 4 7 5 5" xfId="33760"/>
    <cellStyle name="Normal 7 4 7 5 5 2" xfId="33761"/>
    <cellStyle name="Normal 7 4 7 5 6" xfId="33762"/>
    <cellStyle name="Normal 7 4 7 5 6 2" xfId="33763"/>
    <cellStyle name="Normal 7 4 7 5 7" xfId="33764"/>
    <cellStyle name="Normal 7 4 7 5 7 2" xfId="33765"/>
    <cellStyle name="Normal 7 4 7 5 8" xfId="33766"/>
    <cellStyle name="Normal 7 4 7 6" xfId="33767"/>
    <cellStyle name="Normal 7 4 7 6 2" xfId="33768"/>
    <cellStyle name="Normal 7 4 7 6 2 2" xfId="33769"/>
    <cellStyle name="Normal 7 4 7 6 2 2 2" xfId="33770"/>
    <cellStyle name="Normal 7 4 7 6 2 2 2 2" xfId="33771"/>
    <cellStyle name="Normal 7 4 7 6 2 2 3" xfId="33772"/>
    <cellStyle name="Normal 7 4 7 6 2 2 3 2" xfId="33773"/>
    <cellStyle name="Normal 7 4 7 6 2 2 4" xfId="33774"/>
    <cellStyle name="Normal 7 4 7 6 2 2 4 2" xfId="33775"/>
    <cellStyle name="Normal 7 4 7 6 2 2 5" xfId="33776"/>
    <cellStyle name="Normal 7 4 7 6 2 3" xfId="33777"/>
    <cellStyle name="Normal 7 4 7 6 2 3 2" xfId="33778"/>
    <cellStyle name="Normal 7 4 7 6 2 3 2 2" xfId="33779"/>
    <cellStyle name="Normal 7 4 7 6 2 3 3" xfId="33780"/>
    <cellStyle name="Normal 7 4 7 6 2 3 3 2" xfId="33781"/>
    <cellStyle name="Normal 7 4 7 6 2 3 4" xfId="33782"/>
    <cellStyle name="Normal 7 4 7 6 2 3 4 2" xfId="33783"/>
    <cellStyle name="Normal 7 4 7 6 2 3 5" xfId="33784"/>
    <cellStyle name="Normal 7 4 7 6 2 4" xfId="33785"/>
    <cellStyle name="Normal 7 4 7 6 2 4 2" xfId="33786"/>
    <cellStyle name="Normal 7 4 7 6 2 5" xfId="33787"/>
    <cellStyle name="Normal 7 4 7 6 2 5 2" xfId="33788"/>
    <cellStyle name="Normal 7 4 7 6 2 6" xfId="33789"/>
    <cellStyle name="Normal 7 4 7 6 2 6 2" xfId="33790"/>
    <cellStyle name="Normal 7 4 7 6 2 7" xfId="33791"/>
    <cellStyle name="Normal 7 4 7 6 3" xfId="33792"/>
    <cellStyle name="Normal 7 4 7 6 3 2" xfId="33793"/>
    <cellStyle name="Normal 7 4 7 6 3 2 2" xfId="33794"/>
    <cellStyle name="Normal 7 4 7 6 3 3" xfId="33795"/>
    <cellStyle name="Normal 7 4 7 6 3 3 2" xfId="33796"/>
    <cellStyle name="Normal 7 4 7 6 3 4" xfId="33797"/>
    <cellStyle name="Normal 7 4 7 6 3 4 2" xfId="33798"/>
    <cellStyle name="Normal 7 4 7 6 3 5" xfId="33799"/>
    <cellStyle name="Normal 7 4 7 6 4" xfId="33800"/>
    <cellStyle name="Normal 7 4 7 6 4 2" xfId="33801"/>
    <cellStyle name="Normal 7 4 7 6 4 2 2" xfId="33802"/>
    <cellStyle name="Normal 7 4 7 6 4 3" xfId="33803"/>
    <cellStyle name="Normal 7 4 7 6 4 3 2" xfId="33804"/>
    <cellStyle name="Normal 7 4 7 6 4 4" xfId="33805"/>
    <cellStyle name="Normal 7 4 7 6 4 4 2" xfId="33806"/>
    <cellStyle name="Normal 7 4 7 6 4 5" xfId="33807"/>
    <cellStyle name="Normal 7 4 7 6 5" xfId="33808"/>
    <cellStyle name="Normal 7 4 7 6 5 2" xfId="33809"/>
    <cellStyle name="Normal 7 4 7 6 6" xfId="33810"/>
    <cellStyle name="Normal 7 4 7 6 6 2" xfId="33811"/>
    <cellStyle name="Normal 7 4 7 6 7" xfId="33812"/>
    <cellStyle name="Normal 7 4 7 6 7 2" xfId="33813"/>
    <cellStyle name="Normal 7 4 7 6 8" xfId="33814"/>
    <cellStyle name="Normal 7 4 7 7" xfId="33815"/>
    <cellStyle name="Normal 7 4 7 7 2" xfId="33816"/>
    <cellStyle name="Normal 7 4 7 7 2 2" xfId="33817"/>
    <cellStyle name="Normal 7 4 7 7 2 2 2" xfId="33818"/>
    <cellStyle name="Normal 7 4 7 7 2 3" xfId="33819"/>
    <cellStyle name="Normal 7 4 7 7 2 3 2" xfId="33820"/>
    <cellStyle name="Normal 7 4 7 7 2 4" xfId="33821"/>
    <cellStyle name="Normal 7 4 7 7 2 4 2" xfId="33822"/>
    <cellStyle name="Normal 7 4 7 7 2 5" xfId="33823"/>
    <cellStyle name="Normal 7 4 7 7 3" xfId="33824"/>
    <cellStyle name="Normal 7 4 7 7 3 2" xfId="33825"/>
    <cellStyle name="Normal 7 4 7 7 3 2 2" xfId="33826"/>
    <cellStyle name="Normal 7 4 7 7 3 3" xfId="33827"/>
    <cellStyle name="Normal 7 4 7 7 3 3 2" xfId="33828"/>
    <cellStyle name="Normal 7 4 7 7 3 4" xfId="33829"/>
    <cellStyle name="Normal 7 4 7 7 3 4 2" xfId="33830"/>
    <cellStyle name="Normal 7 4 7 7 3 5" xfId="33831"/>
    <cellStyle name="Normal 7 4 7 7 4" xfId="33832"/>
    <cellStyle name="Normal 7 4 7 7 4 2" xfId="33833"/>
    <cellStyle name="Normal 7 4 7 7 5" xfId="33834"/>
    <cellStyle name="Normal 7 4 7 7 5 2" xfId="33835"/>
    <cellStyle name="Normal 7 4 7 7 6" xfId="33836"/>
    <cellStyle name="Normal 7 4 7 7 6 2" xfId="33837"/>
    <cellStyle name="Normal 7 4 7 7 7" xfId="33838"/>
    <cellStyle name="Normal 7 4 7 8" xfId="33839"/>
    <cellStyle name="Normal 7 4 7 8 2" xfId="33840"/>
    <cellStyle name="Normal 7 4 7 8 2 2" xfId="33841"/>
    <cellStyle name="Normal 7 4 7 8 3" xfId="33842"/>
    <cellStyle name="Normal 7 4 7 8 3 2" xfId="33843"/>
    <cellStyle name="Normal 7 4 7 8 4" xfId="33844"/>
    <cellStyle name="Normal 7 4 7 8 4 2" xfId="33845"/>
    <cellStyle name="Normal 7 4 7 8 5" xfId="33846"/>
    <cellStyle name="Normal 7 4 7 9" xfId="33847"/>
    <cellStyle name="Normal 7 4 7 9 2" xfId="33848"/>
    <cellStyle name="Normal 7 4 7 9 2 2" xfId="33849"/>
    <cellStyle name="Normal 7 4 7 9 3" xfId="33850"/>
    <cellStyle name="Normal 7 4 7 9 3 2" xfId="33851"/>
    <cellStyle name="Normal 7 4 7 9 4" xfId="33852"/>
    <cellStyle name="Normal 7 4 7 9 4 2" xfId="33853"/>
    <cellStyle name="Normal 7 4 7 9 5" xfId="33854"/>
    <cellStyle name="Normal 7 4 8" xfId="33855"/>
    <cellStyle name="Normal 7 4 8 2" xfId="33856"/>
    <cellStyle name="Normal 7 4 8 2 2" xfId="33857"/>
    <cellStyle name="Normal 7 4 8 2 2 2" xfId="33858"/>
    <cellStyle name="Normal 7 4 8 2 2 2 2" xfId="33859"/>
    <cellStyle name="Normal 7 4 8 2 2 3" xfId="33860"/>
    <cellStyle name="Normal 7 4 8 2 2 3 2" xfId="33861"/>
    <cellStyle name="Normal 7 4 8 2 2 4" xfId="33862"/>
    <cellStyle name="Normal 7 4 8 2 2 4 2" xfId="33863"/>
    <cellStyle name="Normal 7 4 8 2 2 5" xfId="33864"/>
    <cellStyle name="Normal 7 4 8 2 3" xfId="33865"/>
    <cellStyle name="Normal 7 4 8 2 3 2" xfId="33866"/>
    <cellStyle name="Normal 7 4 8 2 3 2 2" xfId="33867"/>
    <cellStyle name="Normal 7 4 8 2 3 3" xfId="33868"/>
    <cellStyle name="Normal 7 4 8 2 3 3 2" xfId="33869"/>
    <cellStyle name="Normal 7 4 8 2 3 4" xfId="33870"/>
    <cellStyle name="Normal 7 4 8 2 3 4 2" xfId="33871"/>
    <cellStyle name="Normal 7 4 8 2 3 5" xfId="33872"/>
    <cellStyle name="Normal 7 4 8 2 4" xfId="33873"/>
    <cellStyle name="Normal 7 4 8 2 4 2" xfId="33874"/>
    <cellStyle name="Normal 7 4 8 2 5" xfId="33875"/>
    <cellStyle name="Normal 7 4 8 2 5 2" xfId="33876"/>
    <cellStyle name="Normal 7 4 8 2 6" xfId="33877"/>
    <cellStyle name="Normal 7 4 8 2 6 2" xfId="33878"/>
    <cellStyle name="Normal 7 4 8 2 7" xfId="33879"/>
    <cellStyle name="Normal 7 4 8 3" xfId="33880"/>
    <cellStyle name="Normal 7 4 8 3 2" xfId="33881"/>
    <cellStyle name="Normal 7 4 8 3 2 2" xfId="33882"/>
    <cellStyle name="Normal 7 4 8 3 3" xfId="33883"/>
    <cellStyle name="Normal 7 4 8 3 3 2" xfId="33884"/>
    <cellStyle name="Normal 7 4 8 3 4" xfId="33885"/>
    <cellStyle name="Normal 7 4 8 3 4 2" xfId="33886"/>
    <cellStyle name="Normal 7 4 8 3 5" xfId="33887"/>
    <cellStyle name="Normal 7 4 8 4" xfId="33888"/>
    <cellStyle name="Normal 7 4 8 4 2" xfId="33889"/>
    <cellStyle name="Normal 7 4 8 4 2 2" xfId="33890"/>
    <cellStyle name="Normal 7 4 8 4 3" xfId="33891"/>
    <cellStyle name="Normal 7 4 8 4 3 2" xfId="33892"/>
    <cellStyle name="Normal 7 4 8 4 4" xfId="33893"/>
    <cellStyle name="Normal 7 4 8 4 4 2" xfId="33894"/>
    <cellStyle name="Normal 7 4 8 4 5" xfId="33895"/>
    <cellStyle name="Normal 7 4 8 5" xfId="33896"/>
    <cellStyle name="Normal 7 4 8 5 2" xfId="33897"/>
    <cellStyle name="Normal 7 4 8 6" xfId="33898"/>
    <cellStyle name="Normal 7 4 8 6 2" xfId="33899"/>
    <cellStyle name="Normal 7 4 8 7" xfId="33900"/>
    <cellStyle name="Normal 7 4 8 7 2" xfId="33901"/>
    <cellStyle name="Normal 7 4 8 8" xfId="33902"/>
    <cellStyle name="Normal 7 4 9" xfId="33903"/>
    <cellStyle name="Normal 7 4 9 2" xfId="33904"/>
    <cellStyle name="Normal 7 4 9 2 2" xfId="33905"/>
    <cellStyle name="Normal 7 4 9 2 2 2" xfId="33906"/>
    <cellStyle name="Normal 7 4 9 2 2 2 2" xfId="33907"/>
    <cellStyle name="Normal 7 4 9 2 2 3" xfId="33908"/>
    <cellStyle name="Normal 7 4 9 2 2 3 2" xfId="33909"/>
    <cellStyle name="Normal 7 4 9 2 2 4" xfId="33910"/>
    <cellStyle name="Normal 7 4 9 2 2 4 2" xfId="33911"/>
    <cellStyle name="Normal 7 4 9 2 2 5" xfId="33912"/>
    <cellStyle name="Normal 7 4 9 2 3" xfId="33913"/>
    <cellStyle name="Normal 7 4 9 2 3 2" xfId="33914"/>
    <cellStyle name="Normal 7 4 9 2 3 2 2" xfId="33915"/>
    <cellStyle name="Normal 7 4 9 2 3 3" xfId="33916"/>
    <cellStyle name="Normal 7 4 9 2 3 3 2" xfId="33917"/>
    <cellStyle name="Normal 7 4 9 2 3 4" xfId="33918"/>
    <cellStyle name="Normal 7 4 9 2 3 4 2" xfId="33919"/>
    <cellStyle name="Normal 7 4 9 2 3 5" xfId="33920"/>
    <cellStyle name="Normal 7 4 9 2 4" xfId="33921"/>
    <cellStyle name="Normal 7 4 9 2 4 2" xfId="33922"/>
    <cellStyle name="Normal 7 4 9 2 5" xfId="33923"/>
    <cellStyle name="Normal 7 4 9 2 5 2" xfId="33924"/>
    <cellStyle name="Normal 7 4 9 2 6" xfId="33925"/>
    <cellStyle name="Normal 7 4 9 2 6 2" xfId="33926"/>
    <cellStyle name="Normal 7 4 9 2 7" xfId="33927"/>
    <cellStyle name="Normal 7 4 9 3" xfId="33928"/>
    <cellStyle name="Normal 7 4 9 3 2" xfId="33929"/>
    <cellStyle name="Normal 7 4 9 3 2 2" xfId="33930"/>
    <cellStyle name="Normal 7 4 9 3 3" xfId="33931"/>
    <cellStyle name="Normal 7 4 9 3 3 2" xfId="33932"/>
    <cellStyle name="Normal 7 4 9 3 4" xfId="33933"/>
    <cellStyle name="Normal 7 4 9 3 4 2" xfId="33934"/>
    <cellStyle name="Normal 7 4 9 3 5" xfId="33935"/>
    <cellStyle name="Normal 7 4 9 4" xfId="33936"/>
    <cellStyle name="Normal 7 4 9 4 2" xfId="33937"/>
    <cellStyle name="Normal 7 4 9 4 2 2" xfId="33938"/>
    <cellStyle name="Normal 7 4 9 4 3" xfId="33939"/>
    <cellStyle name="Normal 7 4 9 4 3 2" xfId="33940"/>
    <cellStyle name="Normal 7 4 9 4 4" xfId="33941"/>
    <cellStyle name="Normal 7 4 9 4 4 2" xfId="33942"/>
    <cellStyle name="Normal 7 4 9 4 5" xfId="33943"/>
    <cellStyle name="Normal 7 4 9 5" xfId="33944"/>
    <cellStyle name="Normal 7 4 9 5 2" xfId="33945"/>
    <cellStyle name="Normal 7 4 9 6" xfId="33946"/>
    <cellStyle name="Normal 7 4 9 6 2" xfId="33947"/>
    <cellStyle name="Normal 7 4 9 7" xfId="33948"/>
    <cellStyle name="Normal 7 4 9 7 2" xfId="33949"/>
    <cellStyle name="Normal 7 4 9 8" xfId="33950"/>
    <cellStyle name="Normal 7 5" xfId="33951"/>
    <cellStyle name="Normal 7 5 10" xfId="33952"/>
    <cellStyle name="Normal 7 5 10 2" xfId="33953"/>
    <cellStyle name="Normal 7 5 10 2 2" xfId="33954"/>
    <cellStyle name="Normal 7 5 10 2 2 2" xfId="33955"/>
    <cellStyle name="Normal 7 5 10 2 2 2 2" xfId="33956"/>
    <cellStyle name="Normal 7 5 10 2 2 3" xfId="33957"/>
    <cellStyle name="Normal 7 5 10 2 2 3 2" xfId="33958"/>
    <cellStyle name="Normal 7 5 10 2 2 4" xfId="33959"/>
    <cellStyle name="Normal 7 5 10 2 2 4 2" xfId="33960"/>
    <cellStyle name="Normal 7 5 10 2 2 5" xfId="33961"/>
    <cellStyle name="Normal 7 5 10 2 3" xfId="33962"/>
    <cellStyle name="Normal 7 5 10 2 3 2" xfId="33963"/>
    <cellStyle name="Normal 7 5 10 2 3 2 2" xfId="33964"/>
    <cellStyle name="Normal 7 5 10 2 3 3" xfId="33965"/>
    <cellStyle name="Normal 7 5 10 2 3 3 2" xfId="33966"/>
    <cellStyle name="Normal 7 5 10 2 3 4" xfId="33967"/>
    <cellStyle name="Normal 7 5 10 2 3 4 2" xfId="33968"/>
    <cellStyle name="Normal 7 5 10 2 3 5" xfId="33969"/>
    <cellStyle name="Normal 7 5 10 2 4" xfId="33970"/>
    <cellStyle name="Normal 7 5 10 2 4 2" xfId="33971"/>
    <cellStyle name="Normal 7 5 10 2 5" xfId="33972"/>
    <cellStyle name="Normal 7 5 10 2 5 2" xfId="33973"/>
    <cellStyle name="Normal 7 5 10 2 6" xfId="33974"/>
    <cellStyle name="Normal 7 5 10 2 6 2" xfId="33975"/>
    <cellStyle name="Normal 7 5 10 2 7" xfId="33976"/>
    <cellStyle name="Normal 7 5 10 3" xfId="33977"/>
    <cellStyle name="Normal 7 5 10 3 2" xfId="33978"/>
    <cellStyle name="Normal 7 5 10 3 2 2" xfId="33979"/>
    <cellStyle name="Normal 7 5 10 3 3" xfId="33980"/>
    <cellStyle name="Normal 7 5 10 3 3 2" xfId="33981"/>
    <cellStyle name="Normal 7 5 10 3 4" xfId="33982"/>
    <cellStyle name="Normal 7 5 10 3 4 2" xfId="33983"/>
    <cellStyle name="Normal 7 5 10 3 5" xfId="33984"/>
    <cellStyle name="Normal 7 5 10 4" xfId="33985"/>
    <cellStyle name="Normal 7 5 10 4 2" xfId="33986"/>
    <cellStyle name="Normal 7 5 10 4 2 2" xfId="33987"/>
    <cellStyle name="Normal 7 5 10 4 3" xfId="33988"/>
    <cellStyle name="Normal 7 5 10 4 3 2" xfId="33989"/>
    <cellStyle name="Normal 7 5 10 4 4" xfId="33990"/>
    <cellStyle name="Normal 7 5 10 4 4 2" xfId="33991"/>
    <cellStyle name="Normal 7 5 10 4 5" xfId="33992"/>
    <cellStyle name="Normal 7 5 10 5" xfId="33993"/>
    <cellStyle name="Normal 7 5 10 5 2" xfId="33994"/>
    <cellStyle name="Normal 7 5 10 6" xfId="33995"/>
    <cellStyle name="Normal 7 5 10 6 2" xfId="33996"/>
    <cellStyle name="Normal 7 5 10 7" xfId="33997"/>
    <cellStyle name="Normal 7 5 10 7 2" xfId="33998"/>
    <cellStyle name="Normal 7 5 10 8" xfId="33999"/>
    <cellStyle name="Normal 7 5 11" xfId="34000"/>
    <cellStyle name="Normal 7 5 11 2" xfId="34001"/>
    <cellStyle name="Normal 7 5 11 2 2" xfId="34002"/>
    <cellStyle name="Normal 7 5 11 2 2 2" xfId="34003"/>
    <cellStyle name="Normal 7 5 11 2 2 2 2" xfId="34004"/>
    <cellStyle name="Normal 7 5 11 2 2 3" xfId="34005"/>
    <cellStyle name="Normal 7 5 11 2 2 3 2" xfId="34006"/>
    <cellStyle name="Normal 7 5 11 2 2 4" xfId="34007"/>
    <cellStyle name="Normal 7 5 11 2 2 4 2" xfId="34008"/>
    <cellStyle name="Normal 7 5 11 2 2 5" xfId="34009"/>
    <cellStyle name="Normal 7 5 11 2 3" xfId="34010"/>
    <cellStyle name="Normal 7 5 11 2 3 2" xfId="34011"/>
    <cellStyle name="Normal 7 5 11 2 3 2 2" xfId="34012"/>
    <cellStyle name="Normal 7 5 11 2 3 3" xfId="34013"/>
    <cellStyle name="Normal 7 5 11 2 3 3 2" xfId="34014"/>
    <cellStyle name="Normal 7 5 11 2 3 4" xfId="34015"/>
    <cellStyle name="Normal 7 5 11 2 3 4 2" xfId="34016"/>
    <cellStyle name="Normal 7 5 11 2 3 5" xfId="34017"/>
    <cellStyle name="Normal 7 5 11 2 4" xfId="34018"/>
    <cellStyle name="Normal 7 5 11 2 4 2" xfId="34019"/>
    <cellStyle name="Normal 7 5 11 2 5" xfId="34020"/>
    <cellStyle name="Normal 7 5 11 2 5 2" xfId="34021"/>
    <cellStyle name="Normal 7 5 11 2 6" xfId="34022"/>
    <cellStyle name="Normal 7 5 11 2 6 2" xfId="34023"/>
    <cellStyle name="Normal 7 5 11 2 7" xfId="34024"/>
    <cellStyle name="Normal 7 5 11 3" xfId="34025"/>
    <cellStyle name="Normal 7 5 11 3 2" xfId="34026"/>
    <cellStyle name="Normal 7 5 11 3 2 2" xfId="34027"/>
    <cellStyle name="Normal 7 5 11 3 3" xfId="34028"/>
    <cellStyle name="Normal 7 5 11 3 3 2" xfId="34029"/>
    <cellStyle name="Normal 7 5 11 3 4" xfId="34030"/>
    <cellStyle name="Normal 7 5 11 3 4 2" xfId="34031"/>
    <cellStyle name="Normal 7 5 11 3 5" xfId="34032"/>
    <cellStyle name="Normal 7 5 11 4" xfId="34033"/>
    <cellStyle name="Normal 7 5 11 4 2" xfId="34034"/>
    <cellStyle name="Normal 7 5 11 4 2 2" xfId="34035"/>
    <cellStyle name="Normal 7 5 11 4 3" xfId="34036"/>
    <cellStyle name="Normal 7 5 11 4 3 2" xfId="34037"/>
    <cellStyle name="Normal 7 5 11 4 4" xfId="34038"/>
    <cellStyle name="Normal 7 5 11 4 4 2" xfId="34039"/>
    <cellStyle name="Normal 7 5 11 4 5" xfId="34040"/>
    <cellStyle name="Normal 7 5 11 5" xfId="34041"/>
    <cellStyle name="Normal 7 5 11 5 2" xfId="34042"/>
    <cellStyle name="Normal 7 5 11 6" xfId="34043"/>
    <cellStyle name="Normal 7 5 11 6 2" xfId="34044"/>
    <cellStyle name="Normal 7 5 11 7" xfId="34045"/>
    <cellStyle name="Normal 7 5 11 7 2" xfId="34046"/>
    <cellStyle name="Normal 7 5 11 8" xfId="34047"/>
    <cellStyle name="Normal 7 5 12" xfId="34048"/>
    <cellStyle name="Normal 7 5 12 2" xfId="34049"/>
    <cellStyle name="Normal 7 5 12 2 2" xfId="34050"/>
    <cellStyle name="Normal 7 5 12 2 2 2" xfId="34051"/>
    <cellStyle name="Normal 7 5 12 2 3" xfId="34052"/>
    <cellStyle name="Normal 7 5 12 2 3 2" xfId="34053"/>
    <cellStyle name="Normal 7 5 12 2 4" xfId="34054"/>
    <cellStyle name="Normal 7 5 12 2 4 2" xfId="34055"/>
    <cellStyle name="Normal 7 5 12 2 5" xfId="34056"/>
    <cellStyle name="Normal 7 5 12 3" xfId="34057"/>
    <cellStyle name="Normal 7 5 12 3 2" xfId="34058"/>
    <cellStyle name="Normal 7 5 12 3 2 2" xfId="34059"/>
    <cellStyle name="Normal 7 5 12 3 3" xfId="34060"/>
    <cellStyle name="Normal 7 5 12 3 3 2" xfId="34061"/>
    <cellStyle name="Normal 7 5 12 3 4" xfId="34062"/>
    <cellStyle name="Normal 7 5 12 3 4 2" xfId="34063"/>
    <cellStyle name="Normal 7 5 12 3 5" xfId="34064"/>
    <cellStyle name="Normal 7 5 12 4" xfId="34065"/>
    <cellStyle name="Normal 7 5 12 4 2" xfId="34066"/>
    <cellStyle name="Normal 7 5 12 5" xfId="34067"/>
    <cellStyle name="Normal 7 5 12 5 2" xfId="34068"/>
    <cellStyle name="Normal 7 5 12 6" xfId="34069"/>
    <cellStyle name="Normal 7 5 12 6 2" xfId="34070"/>
    <cellStyle name="Normal 7 5 12 7" xfId="34071"/>
    <cellStyle name="Normal 7 5 13" xfId="34072"/>
    <cellStyle name="Normal 7 5 13 2" xfId="34073"/>
    <cellStyle name="Normal 7 5 13 2 2" xfId="34074"/>
    <cellStyle name="Normal 7 5 13 3" xfId="34075"/>
    <cellStyle name="Normal 7 5 13 3 2" xfId="34076"/>
    <cellStyle name="Normal 7 5 13 4" xfId="34077"/>
    <cellStyle name="Normal 7 5 13 4 2" xfId="34078"/>
    <cellStyle name="Normal 7 5 13 5" xfId="34079"/>
    <cellStyle name="Normal 7 5 14" xfId="34080"/>
    <cellStyle name="Normal 7 5 14 2" xfId="34081"/>
    <cellStyle name="Normal 7 5 14 2 2" xfId="34082"/>
    <cellStyle name="Normal 7 5 14 3" xfId="34083"/>
    <cellStyle name="Normal 7 5 14 3 2" xfId="34084"/>
    <cellStyle name="Normal 7 5 14 4" xfId="34085"/>
    <cellStyle name="Normal 7 5 14 4 2" xfId="34086"/>
    <cellStyle name="Normal 7 5 14 5" xfId="34087"/>
    <cellStyle name="Normal 7 5 15" xfId="34088"/>
    <cellStyle name="Normal 7 5 15 2" xfId="34089"/>
    <cellStyle name="Normal 7 5 16" xfId="34090"/>
    <cellStyle name="Normal 7 5 16 2" xfId="34091"/>
    <cellStyle name="Normal 7 5 17" xfId="34092"/>
    <cellStyle name="Normal 7 5 17 2" xfId="34093"/>
    <cellStyle name="Normal 7 5 18" xfId="34094"/>
    <cellStyle name="Normal 7 5 2" xfId="34095"/>
    <cellStyle name="Normal 7 5 2 10" xfId="34096"/>
    <cellStyle name="Normal 7 5 2 10 2" xfId="34097"/>
    <cellStyle name="Normal 7 5 2 10 2 2" xfId="34098"/>
    <cellStyle name="Normal 7 5 2 10 3" xfId="34099"/>
    <cellStyle name="Normal 7 5 2 10 3 2" xfId="34100"/>
    <cellStyle name="Normal 7 5 2 10 4" xfId="34101"/>
    <cellStyle name="Normal 7 5 2 10 4 2" xfId="34102"/>
    <cellStyle name="Normal 7 5 2 10 5" xfId="34103"/>
    <cellStyle name="Normal 7 5 2 11" xfId="34104"/>
    <cellStyle name="Normal 7 5 2 11 2" xfId="34105"/>
    <cellStyle name="Normal 7 5 2 12" xfId="34106"/>
    <cellStyle name="Normal 7 5 2 12 2" xfId="34107"/>
    <cellStyle name="Normal 7 5 2 13" xfId="34108"/>
    <cellStyle name="Normal 7 5 2 13 2" xfId="34109"/>
    <cellStyle name="Normal 7 5 2 14" xfId="34110"/>
    <cellStyle name="Normal 7 5 2 2" xfId="34111"/>
    <cellStyle name="Normal 7 5 2 2 10" xfId="34112"/>
    <cellStyle name="Normal 7 5 2 2 10 2" xfId="34113"/>
    <cellStyle name="Normal 7 5 2 2 11" xfId="34114"/>
    <cellStyle name="Normal 7 5 2 2 11 2" xfId="34115"/>
    <cellStyle name="Normal 7 5 2 2 12" xfId="34116"/>
    <cellStyle name="Normal 7 5 2 2 12 2" xfId="34117"/>
    <cellStyle name="Normal 7 5 2 2 13" xfId="34118"/>
    <cellStyle name="Normal 7 5 2 2 2" xfId="34119"/>
    <cellStyle name="Normal 7 5 2 2 2 2" xfId="34120"/>
    <cellStyle name="Normal 7 5 2 2 2 2 2" xfId="34121"/>
    <cellStyle name="Normal 7 5 2 2 2 2 2 2" xfId="34122"/>
    <cellStyle name="Normal 7 5 2 2 2 2 2 2 2" xfId="34123"/>
    <cellStyle name="Normal 7 5 2 2 2 2 2 3" xfId="34124"/>
    <cellStyle name="Normal 7 5 2 2 2 2 2 3 2" xfId="34125"/>
    <cellStyle name="Normal 7 5 2 2 2 2 2 4" xfId="34126"/>
    <cellStyle name="Normal 7 5 2 2 2 2 2 4 2" xfId="34127"/>
    <cellStyle name="Normal 7 5 2 2 2 2 2 5" xfId="34128"/>
    <cellStyle name="Normal 7 5 2 2 2 2 3" xfId="34129"/>
    <cellStyle name="Normal 7 5 2 2 2 2 3 2" xfId="34130"/>
    <cellStyle name="Normal 7 5 2 2 2 2 3 2 2" xfId="34131"/>
    <cellStyle name="Normal 7 5 2 2 2 2 3 3" xfId="34132"/>
    <cellStyle name="Normal 7 5 2 2 2 2 3 3 2" xfId="34133"/>
    <cellStyle name="Normal 7 5 2 2 2 2 3 4" xfId="34134"/>
    <cellStyle name="Normal 7 5 2 2 2 2 3 4 2" xfId="34135"/>
    <cellStyle name="Normal 7 5 2 2 2 2 3 5" xfId="34136"/>
    <cellStyle name="Normal 7 5 2 2 2 2 4" xfId="34137"/>
    <cellStyle name="Normal 7 5 2 2 2 2 4 2" xfId="34138"/>
    <cellStyle name="Normal 7 5 2 2 2 2 5" xfId="34139"/>
    <cellStyle name="Normal 7 5 2 2 2 2 5 2" xfId="34140"/>
    <cellStyle name="Normal 7 5 2 2 2 2 6" xfId="34141"/>
    <cellStyle name="Normal 7 5 2 2 2 2 6 2" xfId="34142"/>
    <cellStyle name="Normal 7 5 2 2 2 2 7" xfId="34143"/>
    <cellStyle name="Normal 7 5 2 2 2 3" xfId="34144"/>
    <cellStyle name="Normal 7 5 2 2 2 3 2" xfId="34145"/>
    <cellStyle name="Normal 7 5 2 2 2 3 2 2" xfId="34146"/>
    <cellStyle name="Normal 7 5 2 2 2 3 3" xfId="34147"/>
    <cellStyle name="Normal 7 5 2 2 2 3 3 2" xfId="34148"/>
    <cellStyle name="Normal 7 5 2 2 2 3 4" xfId="34149"/>
    <cellStyle name="Normal 7 5 2 2 2 3 4 2" xfId="34150"/>
    <cellStyle name="Normal 7 5 2 2 2 3 5" xfId="34151"/>
    <cellStyle name="Normal 7 5 2 2 2 4" xfId="34152"/>
    <cellStyle name="Normal 7 5 2 2 2 4 2" xfId="34153"/>
    <cellStyle name="Normal 7 5 2 2 2 4 2 2" xfId="34154"/>
    <cellStyle name="Normal 7 5 2 2 2 4 3" xfId="34155"/>
    <cellStyle name="Normal 7 5 2 2 2 4 3 2" xfId="34156"/>
    <cellStyle name="Normal 7 5 2 2 2 4 4" xfId="34157"/>
    <cellStyle name="Normal 7 5 2 2 2 4 4 2" xfId="34158"/>
    <cellStyle name="Normal 7 5 2 2 2 4 5" xfId="34159"/>
    <cellStyle name="Normal 7 5 2 2 2 5" xfId="34160"/>
    <cellStyle name="Normal 7 5 2 2 2 5 2" xfId="34161"/>
    <cellStyle name="Normal 7 5 2 2 2 6" xfId="34162"/>
    <cellStyle name="Normal 7 5 2 2 2 6 2" xfId="34163"/>
    <cellStyle name="Normal 7 5 2 2 2 7" xfId="34164"/>
    <cellStyle name="Normal 7 5 2 2 2 7 2" xfId="34165"/>
    <cellStyle name="Normal 7 5 2 2 2 8" xfId="34166"/>
    <cellStyle name="Normal 7 5 2 2 3" xfId="34167"/>
    <cellStyle name="Normal 7 5 2 2 3 2" xfId="34168"/>
    <cellStyle name="Normal 7 5 2 2 3 2 2" xfId="34169"/>
    <cellStyle name="Normal 7 5 2 2 3 2 2 2" xfId="34170"/>
    <cellStyle name="Normal 7 5 2 2 3 2 2 2 2" xfId="34171"/>
    <cellStyle name="Normal 7 5 2 2 3 2 2 3" xfId="34172"/>
    <cellStyle name="Normal 7 5 2 2 3 2 2 3 2" xfId="34173"/>
    <cellStyle name="Normal 7 5 2 2 3 2 2 4" xfId="34174"/>
    <cellStyle name="Normal 7 5 2 2 3 2 2 4 2" xfId="34175"/>
    <cellStyle name="Normal 7 5 2 2 3 2 2 5" xfId="34176"/>
    <cellStyle name="Normal 7 5 2 2 3 2 3" xfId="34177"/>
    <cellStyle name="Normal 7 5 2 2 3 2 3 2" xfId="34178"/>
    <cellStyle name="Normal 7 5 2 2 3 2 3 2 2" xfId="34179"/>
    <cellStyle name="Normal 7 5 2 2 3 2 3 3" xfId="34180"/>
    <cellStyle name="Normal 7 5 2 2 3 2 3 3 2" xfId="34181"/>
    <cellStyle name="Normal 7 5 2 2 3 2 3 4" xfId="34182"/>
    <cellStyle name="Normal 7 5 2 2 3 2 3 4 2" xfId="34183"/>
    <cellStyle name="Normal 7 5 2 2 3 2 3 5" xfId="34184"/>
    <cellStyle name="Normal 7 5 2 2 3 2 4" xfId="34185"/>
    <cellStyle name="Normal 7 5 2 2 3 2 4 2" xfId="34186"/>
    <cellStyle name="Normal 7 5 2 2 3 2 5" xfId="34187"/>
    <cellStyle name="Normal 7 5 2 2 3 2 5 2" xfId="34188"/>
    <cellStyle name="Normal 7 5 2 2 3 2 6" xfId="34189"/>
    <cellStyle name="Normal 7 5 2 2 3 2 6 2" xfId="34190"/>
    <cellStyle name="Normal 7 5 2 2 3 2 7" xfId="34191"/>
    <cellStyle name="Normal 7 5 2 2 3 3" xfId="34192"/>
    <cellStyle name="Normal 7 5 2 2 3 3 2" xfId="34193"/>
    <cellStyle name="Normal 7 5 2 2 3 3 2 2" xfId="34194"/>
    <cellStyle name="Normal 7 5 2 2 3 3 3" xfId="34195"/>
    <cellStyle name="Normal 7 5 2 2 3 3 3 2" xfId="34196"/>
    <cellStyle name="Normal 7 5 2 2 3 3 4" xfId="34197"/>
    <cellStyle name="Normal 7 5 2 2 3 3 4 2" xfId="34198"/>
    <cellStyle name="Normal 7 5 2 2 3 3 5" xfId="34199"/>
    <cellStyle name="Normal 7 5 2 2 3 4" xfId="34200"/>
    <cellStyle name="Normal 7 5 2 2 3 4 2" xfId="34201"/>
    <cellStyle name="Normal 7 5 2 2 3 4 2 2" xfId="34202"/>
    <cellStyle name="Normal 7 5 2 2 3 4 3" xfId="34203"/>
    <cellStyle name="Normal 7 5 2 2 3 4 3 2" xfId="34204"/>
    <cellStyle name="Normal 7 5 2 2 3 4 4" xfId="34205"/>
    <cellStyle name="Normal 7 5 2 2 3 4 4 2" xfId="34206"/>
    <cellStyle name="Normal 7 5 2 2 3 4 5" xfId="34207"/>
    <cellStyle name="Normal 7 5 2 2 3 5" xfId="34208"/>
    <cellStyle name="Normal 7 5 2 2 3 5 2" xfId="34209"/>
    <cellStyle name="Normal 7 5 2 2 3 6" xfId="34210"/>
    <cellStyle name="Normal 7 5 2 2 3 6 2" xfId="34211"/>
    <cellStyle name="Normal 7 5 2 2 3 7" xfId="34212"/>
    <cellStyle name="Normal 7 5 2 2 3 7 2" xfId="34213"/>
    <cellStyle name="Normal 7 5 2 2 3 8" xfId="34214"/>
    <cellStyle name="Normal 7 5 2 2 4" xfId="34215"/>
    <cellStyle name="Normal 7 5 2 2 4 2" xfId="34216"/>
    <cellStyle name="Normal 7 5 2 2 4 2 2" xfId="34217"/>
    <cellStyle name="Normal 7 5 2 2 4 2 2 2" xfId="34218"/>
    <cellStyle name="Normal 7 5 2 2 4 2 2 2 2" xfId="34219"/>
    <cellStyle name="Normal 7 5 2 2 4 2 2 3" xfId="34220"/>
    <cellStyle name="Normal 7 5 2 2 4 2 2 3 2" xfId="34221"/>
    <cellStyle name="Normal 7 5 2 2 4 2 2 4" xfId="34222"/>
    <cellStyle name="Normal 7 5 2 2 4 2 2 4 2" xfId="34223"/>
    <cellStyle name="Normal 7 5 2 2 4 2 2 5" xfId="34224"/>
    <cellStyle name="Normal 7 5 2 2 4 2 3" xfId="34225"/>
    <cellStyle name="Normal 7 5 2 2 4 2 3 2" xfId="34226"/>
    <cellStyle name="Normal 7 5 2 2 4 2 3 2 2" xfId="34227"/>
    <cellStyle name="Normal 7 5 2 2 4 2 3 3" xfId="34228"/>
    <cellStyle name="Normal 7 5 2 2 4 2 3 3 2" xfId="34229"/>
    <cellStyle name="Normal 7 5 2 2 4 2 3 4" xfId="34230"/>
    <cellStyle name="Normal 7 5 2 2 4 2 3 4 2" xfId="34231"/>
    <cellStyle name="Normal 7 5 2 2 4 2 3 5" xfId="34232"/>
    <cellStyle name="Normal 7 5 2 2 4 2 4" xfId="34233"/>
    <cellStyle name="Normal 7 5 2 2 4 2 4 2" xfId="34234"/>
    <cellStyle name="Normal 7 5 2 2 4 2 5" xfId="34235"/>
    <cellStyle name="Normal 7 5 2 2 4 2 5 2" xfId="34236"/>
    <cellStyle name="Normal 7 5 2 2 4 2 6" xfId="34237"/>
    <cellStyle name="Normal 7 5 2 2 4 2 6 2" xfId="34238"/>
    <cellStyle name="Normal 7 5 2 2 4 2 7" xfId="34239"/>
    <cellStyle name="Normal 7 5 2 2 4 3" xfId="34240"/>
    <cellStyle name="Normal 7 5 2 2 4 3 2" xfId="34241"/>
    <cellStyle name="Normal 7 5 2 2 4 3 2 2" xfId="34242"/>
    <cellStyle name="Normal 7 5 2 2 4 3 3" xfId="34243"/>
    <cellStyle name="Normal 7 5 2 2 4 3 3 2" xfId="34244"/>
    <cellStyle name="Normal 7 5 2 2 4 3 4" xfId="34245"/>
    <cellStyle name="Normal 7 5 2 2 4 3 4 2" xfId="34246"/>
    <cellStyle name="Normal 7 5 2 2 4 3 5" xfId="34247"/>
    <cellStyle name="Normal 7 5 2 2 4 4" xfId="34248"/>
    <cellStyle name="Normal 7 5 2 2 4 4 2" xfId="34249"/>
    <cellStyle name="Normal 7 5 2 2 4 4 2 2" xfId="34250"/>
    <cellStyle name="Normal 7 5 2 2 4 4 3" xfId="34251"/>
    <cellStyle name="Normal 7 5 2 2 4 4 3 2" xfId="34252"/>
    <cellStyle name="Normal 7 5 2 2 4 4 4" xfId="34253"/>
    <cellStyle name="Normal 7 5 2 2 4 4 4 2" xfId="34254"/>
    <cellStyle name="Normal 7 5 2 2 4 4 5" xfId="34255"/>
    <cellStyle name="Normal 7 5 2 2 4 5" xfId="34256"/>
    <cellStyle name="Normal 7 5 2 2 4 5 2" xfId="34257"/>
    <cellStyle name="Normal 7 5 2 2 4 6" xfId="34258"/>
    <cellStyle name="Normal 7 5 2 2 4 6 2" xfId="34259"/>
    <cellStyle name="Normal 7 5 2 2 4 7" xfId="34260"/>
    <cellStyle name="Normal 7 5 2 2 4 7 2" xfId="34261"/>
    <cellStyle name="Normal 7 5 2 2 4 8" xfId="34262"/>
    <cellStyle name="Normal 7 5 2 2 5" xfId="34263"/>
    <cellStyle name="Normal 7 5 2 2 5 2" xfId="34264"/>
    <cellStyle name="Normal 7 5 2 2 5 2 2" xfId="34265"/>
    <cellStyle name="Normal 7 5 2 2 5 2 2 2" xfId="34266"/>
    <cellStyle name="Normal 7 5 2 2 5 2 2 2 2" xfId="34267"/>
    <cellStyle name="Normal 7 5 2 2 5 2 2 3" xfId="34268"/>
    <cellStyle name="Normal 7 5 2 2 5 2 2 3 2" xfId="34269"/>
    <cellStyle name="Normal 7 5 2 2 5 2 2 4" xfId="34270"/>
    <cellStyle name="Normal 7 5 2 2 5 2 2 4 2" xfId="34271"/>
    <cellStyle name="Normal 7 5 2 2 5 2 2 5" xfId="34272"/>
    <cellStyle name="Normal 7 5 2 2 5 2 3" xfId="34273"/>
    <cellStyle name="Normal 7 5 2 2 5 2 3 2" xfId="34274"/>
    <cellStyle name="Normal 7 5 2 2 5 2 3 2 2" xfId="34275"/>
    <cellStyle name="Normal 7 5 2 2 5 2 3 3" xfId="34276"/>
    <cellStyle name="Normal 7 5 2 2 5 2 3 3 2" xfId="34277"/>
    <cellStyle name="Normal 7 5 2 2 5 2 3 4" xfId="34278"/>
    <cellStyle name="Normal 7 5 2 2 5 2 3 4 2" xfId="34279"/>
    <cellStyle name="Normal 7 5 2 2 5 2 3 5" xfId="34280"/>
    <cellStyle name="Normal 7 5 2 2 5 2 4" xfId="34281"/>
    <cellStyle name="Normal 7 5 2 2 5 2 4 2" xfId="34282"/>
    <cellStyle name="Normal 7 5 2 2 5 2 5" xfId="34283"/>
    <cellStyle name="Normal 7 5 2 2 5 2 5 2" xfId="34284"/>
    <cellStyle name="Normal 7 5 2 2 5 2 6" xfId="34285"/>
    <cellStyle name="Normal 7 5 2 2 5 2 6 2" xfId="34286"/>
    <cellStyle name="Normal 7 5 2 2 5 2 7" xfId="34287"/>
    <cellStyle name="Normal 7 5 2 2 5 3" xfId="34288"/>
    <cellStyle name="Normal 7 5 2 2 5 3 2" xfId="34289"/>
    <cellStyle name="Normal 7 5 2 2 5 3 2 2" xfId="34290"/>
    <cellStyle name="Normal 7 5 2 2 5 3 3" xfId="34291"/>
    <cellStyle name="Normal 7 5 2 2 5 3 3 2" xfId="34292"/>
    <cellStyle name="Normal 7 5 2 2 5 3 4" xfId="34293"/>
    <cellStyle name="Normal 7 5 2 2 5 3 4 2" xfId="34294"/>
    <cellStyle name="Normal 7 5 2 2 5 3 5" xfId="34295"/>
    <cellStyle name="Normal 7 5 2 2 5 4" xfId="34296"/>
    <cellStyle name="Normal 7 5 2 2 5 4 2" xfId="34297"/>
    <cellStyle name="Normal 7 5 2 2 5 4 2 2" xfId="34298"/>
    <cellStyle name="Normal 7 5 2 2 5 4 3" xfId="34299"/>
    <cellStyle name="Normal 7 5 2 2 5 4 3 2" xfId="34300"/>
    <cellStyle name="Normal 7 5 2 2 5 4 4" xfId="34301"/>
    <cellStyle name="Normal 7 5 2 2 5 4 4 2" xfId="34302"/>
    <cellStyle name="Normal 7 5 2 2 5 4 5" xfId="34303"/>
    <cellStyle name="Normal 7 5 2 2 5 5" xfId="34304"/>
    <cellStyle name="Normal 7 5 2 2 5 5 2" xfId="34305"/>
    <cellStyle name="Normal 7 5 2 2 5 6" xfId="34306"/>
    <cellStyle name="Normal 7 5 2 2 5 6 2" xfId="34307"/>
    <cellStyle name="Normal 7 5 2 2 5 7" xfId="34308"/>
    <cellStyle name="Normal 7 5 2 2 5 7 2" xfId="34309"/>
    <cellStyle name="Normal 7 5 2 2 5 8" xfId="34310"/>
    <cellStyle name="Normal 7 5 2 2 6" xfId="34311"/>
    <cellStyle name="Normal 7 5 2 2 6 2" xfId="34312"/>
    <cellStyle name="Normal 7 5 2 2 6 2 2" xfId="34313"/>
    <cellStyle name="Normal 7 5 2 2 6 2 2 2" xfId="34314"/>
    <cellStyle name="Normal 7 5 2 2 6 2 2 2 2" xfId="34315"/>
    <cellStyle name="Normal 7 5 2 2 6 2 2 3" xfId="34316"/>
    <cellStyle name="Normal 7 5 2 2 6 2 2 3 2" xfId="34317"/>
    <cellStyle name="Normal 7 5 2 2 6 2 2 4" xfId="34318"/>
    <cellStyle name="Normal 7 5 2 2 6 2 2 4 2" xfId="34319"/>
    <cellStyle name="Normal 7 5 2 2 6 2 2 5" xfId="34320"/>
    <cellStyle name="Normal 7 5 2 2 6 2 3" xfId="34321"/>
    <cellStyle name="Normal 7 5 2 2 6 2 3 2" xfId="34322"/>
    <cellStyle name="Normal 7 5 2 2 6 2 3 2 2" xfId="34323"/>
    <cellStyle name="Normal 7 5 2 2 6 2 3 3" xfId="34324"/>
    <cellStyle name="Normal 7 5 2 2 6 2 3 3 2" xfId="34325"/>
    <cellStyle name="Normal 7 5 2 2 6 2 3 4" xfId="34326"/>
    <cellStyle name="Normal 7 5 2 2 6 2 3 4 2" xfId="34327"/>
    <cellStyle name="Normal 7 5 2 2 6 2 3 5" xfId="34328"/>
    <cellStyle name="Normal 7 5 2 2 6 2 4" xfId="34329"/>
    <cellStyle name="Normal 7 5 2 2 6 2 4 2" xfId="34330"/>
    <cellStyle name="Normal 7 5 2 2 6 2 5" xfId="34331"/>
    <cellStyle name="Normal 7 5 2 2 6 2 5 2" xfId="34332"/>
    <cellStyle name="Normal 7 5 2 2 6 2 6" xfId="34333"/>
    <cellStyle name="Normal 7 5 2 2 6 2 6 2" xfId="34334"/>
    <cellStyle name="Normal 7 5 2 2 6 2 7" xfId="34335"/>
    <cellStyle name="Normal 7 5 2 2 6 3" xfId="34336"/>
    <cellStyle name="Normal 7 5 2 2 6 3 2" xfId="34337"/>
    <cellStyle name="Normal 7 5 2 2 6 3 2 2" xfId="34338"/>
    <cellStyle name="Normal 7 5 2 2 6 3 3" xfId="34339"/>
    <cellStyle name="Normal 7 5 2 2 6 3 3 2" xfId="34340"/>
    <cellStyle name="Normal 7 5 2 2 6 3 4" xfId="34341"/>
    <cellStyle name="Normal 7 5 2 2 6 3 4 2" xfId="34342"/>
    <cellStyle name="Normal 7 5 2 2 6 3 5" xfId="34343"/>
    <cellStyle name="Normal 7 5 2 2 6 4" xfId="34344"/>
    <cellStyle name="Normal 7 5 2 2 6 4 2" xfId="34345"/>
    <cellStyle name="Normal 7 5 2 2 6 4 2 2" xfId="34346"/>
    <cellStyle name="Normal 7 5 2 2 6 4 3" xfId="34347"/>
    <cellStyle name="Normal 7 5 2 2 6 4 3 2" xfId="34348"/>
    <cellStyle name="Normal 7 5 2 2 6 4 4" xfId="34349"/>
    <cellStyle name="Normal 7 5 2 2 6 4 4 2" xfId="34350"/>
    <cellStyle name="Normal 7 5 2 2 6 4 5" xfId="34351"/>
    <cellStyle name="Normal 7 5 2 2 6 5" xfId="34352"/>
    <cellStyle name="Normal 7 5 2 2 6 5 2" xfId="34353"/>
    <cellStyle name="Normal 7 5 2 2 6 6" xfId="34354"/>
    <cellStyle name="Normal 7 5 2 2 6 6 2" xfId="34355"/>
    <cellStyle name="Normal 7 5 2 2 6 7" xfId="34356"/>
    <cellStyle name="Normal 7 5 2 2 6 7 2" xfId="34357"/>
    <cellStyle name="Normal 7 5 2 2 6 8" xfId="34358"/>
    <cellStyle name="Normal 7 5 2 2 7" xfId="34359"/>
    <cellStyle name="Normal 7 5 2 2 7 2" xfId="34360"/>
    <cellStyle name="Normal 7 5 2 2 7 2 2" xfId="34361"/>
    <cellStyle name="Normal 7 5 2 2 7 2 2 2" xfId="34362"/>
    <cellStyle name="Normal 7 5 2 2 7 2 3" xfId="34363"/>
    <cellStyle name="Normal 7 5 2 2 7 2 3 2" xfId="34364"/>
    <cellStyle name="Normal 7 5 2 2 7 2 4" xfId="34365"/>
    <cellStyle name="Normal 7 5 2 2 7 2 4 2" xfId="34366"/>
    <cellStyle name="Normal 7 5 2 2 7 2 5" xfId="34367"/>
    <cellStyle name="Normal 7 5 2 2 7 3" xfId="34368"/>
    <cellStyle name="Normal 7 5 2 2 7 3 2" xfId="34369"/>
    <cellStyle name="Normal 7 5 2 2 7 3 2 2" xfId="34370"/>
    <cellStyle name="Normal 7 5 2 2 7 3 3" xfId="34371"/>
    <cellStyle name="Normal 7 5 2 2 7 3 3 2" xfId="34372"/>
    <cellStyle name="Normal 7 5 2 2 7 3 4" xfId="34373"/>
    <cellStyle name="Normal 7 5 2 2 7 3 4 2" xfId="34374"/>
    <cellStyle name="Normal 7 5 2 2 7 3 5" xfId="34375"/>
    <cellStyle name="Normal 7 5 2 2 7 4" xfId="34376"/>
    <cellStyle name="Normal 7 5 2 2 7 4 2" xfId="34377"/>
    <cellStyle name="Normal 7 5 2 2 7 5" xfId="34378"/>
    <cellStyle name="Normal 7 5 2 2 7 5 2" xfId="34379"/>
    <cellStyle name="Normal 7 5 2 2 7 6" xfId="34380"/>
    <cellStyle name="Normal 7 5 2 2 7 6 2" xfId="34381"/>
    <cellStyle name="Normal 7 5 2 2 7 7" xfId="34382"/>
    <cellStyle name="Normal 7 5 2 2 8" xfId="34383"/>
    <cellStyle name="Normal 7 5 2 2 8 2" xfId="34384"/>
    <cellStyle name="Normal 7 5 2 2 8 2 2" xfId="34385"/>
    <cellStyle name="Normal 7 5 2 2 8 3" xfId="34386"/>
    <cellStyle name="Normal 7 5 2 2 8 3 2" xfId="34387"/>
    <cellStyle name="Normal 7 5 2 2 8 4" xfId="34388"/>
    <cellStyle name="Normal 7 5 2 2 8 4 2" xfId="34389"/>
    <cellStyle name="Normal 7 5 2 2 8 5" xfId="34390"/>
    <cellStyle name="Normal 7 5 2 2 9" xfId="34391"/>
    <cellStyle name="Normal 7 5 2 2 9 2" xfId="34392"/>
    <cellStyle name="Normal 7 5 2 2 9 2 2" xfId="34393"/>
    <cellStyle name="Normal 7 5 2 2 9 3" xfId="34394"/>
    <cellStyle name="Normal 7 5 2 2 9 3 2" xfId="34395"/>
    <cellStyle name="Normal 7 5 2 2 9 4" xfId="34396"/>
    <cellStyle name="Normal 7 5 2 2 9 4 2" xfId="34397"/>
    <cellStyle name="Normal 7 5 2 2 9 5" xfId="34398"/>
    <cellStyle name="Normal 7 5 2 3" xfId="34399"/>
    <cellStyle name="Normal 7 5 2 3 2" xfId="34400"/>
    <cellStyle name="Normal 7 5 2 3 2 2" xfId="34401"/>
    <cellStyle name="Normal 7 5 2 3 2 2 2" xfId="34402"/>
    <cellStyle name="Normal 7 5 2 3 2 2 2 2" xfId="34403"/>
    <cellStyle name="Normal 7 5 2 3 2 2 3" xfId="34404"/>
    <cellStyle name="Normal 7 5 2 3 2 2 3 2" xfId="34405"/>
    <cellStyle name="Normal 7 5 2 3 2 2 4" xfId="34406"/>
    <cellStyle name="Normal 7 5 2 3 2 2 4 2" xfId="34407"/>
    <cellStyle name="Normal 7 5 2 3 2 2 5" xfId="34408"/>
    <cellStyle name="Normal 7 5 2 3 2 3" xfId="34409"/>
    <cellStyle name="Normal 7 5 2 3 2 3 2" xfId="34410"/>
    <cellStyle name="Normal 7 5 2 3 2 3 2 2" xfId="34411"/>
    <cellStyle name="Normal 7 5 2 3 2 3 3" xfId="34412"/>
    <cellStyle name="Normal 7 5 2 3 2 3 3 2" xfId="34413"/>
    <cellStyle name="Normal 7 5 2 3 2 3 4" xfId="34414"/>
    <cellStyle name="Normal 7 5 2 3 2 3 4 2" xfId="34415"/>
    <cellStyle name="Normal 7 5 2 3 2 3 5" xfId="34416"/>
    <cellStyle name="Normal 7 5 2 3 2 4" xfId="34417"/>
    <cellStyle name="Normal 7 5 2 3 2 4 2" xfId="34418"/>
    <cellStyle name="Normal 7 5 2 3 2 5" xfId="34419"/>
    <cellStyle name="Normal 7 5 2 3 2 5 2" xfId="34420"/>
    <cellStyle name="Normal 7 5 2 3 2 6" xfId="34421"/>
    <cellStyle name="Normal 7 5 2 3 2 6 2" xfId="34422"/>
    <cellStyle name="Normal 7 5 2 3 2 7" xfId="34423"/>
    <cellStyle name="Normal 7 5 2 3 3" xfId="34424"/>
    <cellStyle name="Normal 7 5 2 3 3 2" xfId="34425"/>
    <cellStyle name="Normal 7 5 2 3 3 2 2" xfId="34426"/>
    <cellStyle name="Normal 7 5 2 3 3 3" xfId="34427"/>
    <cellStyle name="Normal 7 5 2 3 3 3 2" xfId="34428"/>
    <cellStyle name="Normal 7 5 2 3 3 4" xfId="34429"/>
    <cellStyle name="Normal 7 5 2 3 3 4 2" xfId="34430"/>
    <cellStyle name="Normal 7 5 2 3 3 5" xfId="34431"/>
    <cellStyle name="Normal 7 5 2 3 4" xfId="34432"/>
    <cellStyle name="Normal 7 5 2 3 4 2" xfId="34433"/>
    <cellStyle name="Normal 7 5 2 3 4 2 2" xfId="34434"/>
    <cellStyle name="Normal 7 5 2 3 4 3" xfId="34435"/>
    <cellStyle name="Normal 7 5 2 3 4 3 2" xfId="34436"/>
    <cellStyle name="Normal 7 5 2 3 4 4" xfId="34437"/>
    <cellStyle name="Normal 7 5 2 3 4 4 2" xfId="34438"/>
    <cellStyle name="Normal 7 5 2 3 4 5" xfId="34439"/>
    <cellStyle name="Normal 7 5 2 3 5" xfId="34440"/>
    <cellStyle name="Normal 7 5 2 3 5 2" xfId="34441"/>
    <cellStyle name="Normal 7 5 2 3 6" xfId="34442"/>
    <cellStyle name="Normal 7 5 2 3 6 2" xfId="34443"/>
    <cellStyle name="Normal 7 5 2 3 7" xfId="34444"/>
    <cellStyle name="Normal 7 5 2 3 7 2" xfId="34445"/>
    <cellStyle name="Normal 7 5 2 3 8" xfId="34446"/>
    <cellStyle name="Normal 7 5 2 4" xfId="34447"/>
    <cellStyle name="Normal 7 5 2 4 2" xfId="34448"/>
    <cellStyle name="Normal 7 5 2 4 2 2" xfId="34449"/>
    <cellStyle name="Normal 7 5 2 4 2 2 2" xfId="34450"/>
    <cellStyle name="Normal 7 5 2 4 2 2 2 2" xfId="34451"/>
    <cellStyle name="Normal 7 5 2 4 2 2 3" xfId="34452"/>
    <cellStyle name="Normal 7 5 2 4 2 2 3 2" xfId="34453"/>
    <cellStyle name="Normal 7 5 2 4 2 2 4" xfId="34454"/>
    <cellStyle name="Normal 7 5 2 4 2 2 4 2" xfId="34455"/>
    <cellStyle name="Normal 7 5 2 4 2 2 5" xfId="34456"/>
    <cellStyle name="Normal 7 5 2 4 2 3" xfId="34457"/>
    <cellStyle name="Normal 7 5 2 4 2 3 2" xfId="34458"/>
    <cellStyle name="Normal 7 5 2 4 2 3 2 2" xfId="34459"/>
    <cellStyle name="Normal 7 5 2 4 2 3 3" xfId="34460"/>
    <cellStyle name="Normal 7 5 2 4 2 3 3 2" xfId="34461"/>
    <cellStyle name="Normal 7 5 2 4 2 3 4" xfId="34462"/>
    <cellStyle name="Normal 7 5 2 4 2 3 4 2" xfId="34463"/>
    <cellStyle name="Normal 7 5 2 4 2 3 5" xfId="34464"/>
    <cellStyle name="Normal 7 5 2 4 2 4" xfId="34465"/>
    <cellStyle name="Normal 7 5 2 4 2 4 2" xfId="34466"/>
    <cellStyle name="Normal 7 5 2 4 2 5" xfId="34467"/>
    <cellStyle name="Normal 7 5 2 4 2 5 2" xfId="34468"/>
    <cellStyle name="Normal 7 5 2 4 2 6" xfId="34469"/>
    <cellStyle name="Normal 7 5 2 4 2 6 2" xfId="34470"/>
    <cellStyle name="Normal 7 5 2 4 2 7" xfId="34471"/>
    <cellStyle name="Normal 7 5 2 4 3" xfId="34472"/>
    <cellStyle name="Normal 7 5 2 4 3 2" xfId="34473"/>
    <cellStyle name="Normal 7 5 2 4 3 2 2" xfId="34474"/>
    <cellStyle name="Normal 7 5 2 4 3 3" xfId="34475"/>
    <cellStyle name="Normal 7 5 2 4 3 3 2" xfId="34476"/>
    <cellStyle name="Normal 7 5 2 4 3 4" xfId="34477"/>
    <cellStyle name="Normal 7 5 2 4 3 4 2" xfId="34478"/>
    <cellStyle name="Normal 7 5 2 4 3 5" xfId="34479"/>
    <cellStyle name="Normal 7 5 2 4 4" xfId="34480"/>
    <cellStyle name="Normal 7 5 2 4 4 2" xfId="34481"/>
    <cellStyle name="Normal 7 5 2 4 4 2 2" xfId="34482"/>
    <cellStyle name="Normal 7 5 2 4 4 3" xfId="34483"/>
    <cellStyle name="Normal 7 5 2 4 4 3 2" xfId="34484"/>
    <cellStyle name="Normal 7 5 2 4 4 4" xfId="34485"/>
    <cellStyle name="Normal 7 5 2 4 4 4 2" xfId="34486"/>
    <cellStyle name="Normal 7 5 2 4 4 5" xfId="34487"/>
    <cellStyle name="Normal 7 5 2 4 5" xfId="34488"/>
    <cellStyle name="Normal 7 5 2 4 5 2" xfId="34489"/>
    <cellStyle name="Normal 7 5 2 4 6" xfId="34490"/>
    <cellStyle name="Normal 7 5 2 4 6 2" xfId="34491"/>
    <cellStyle name="Normal 7 5 2 4 7" xfId="34492"/>
    <cellStyle name="Normal 7 5 2 4 7 2" xfId="34493"/>
    <cellStyle name="Normal 7 5 2 4 8" xfId="34494"/>
    <cellStyle name="Normal 7 5 2 5" xfId="34495"/>
    <cellStyle name="Normal 7 5 2 5 2" xfId="34496"/>
    <cellStyle name="Normal 7 5 2 5 2 2" xfId="34497"/>
    <cellStyle name="Normal 7 5 2 5 2 2 2" xfId="34498"/>
    <cellStyle name="Normal 7 5 2 5 2 2 2 2" xfId="34499"/>
    <cellStyle name="Normal 7 5 2 5 2 2 3" xfId="34500"/>
    <cellStyle name="Normal 7 5 2 5 2 2 3 2" xfId="34501"/>
    <cellStyle name="Normal 7 5 2 5 2 2 4" xfId="34502"/>
    <cellStyle name="Normal 7 5 2 5 2 2 4 2" xfId="34503"/>
    <cellStyle name="Normal 7 5 2 5 2 2 5" xfId="34504"/>
    <cellStyle name="Normal 7 5 2 5 2 3" xfId="34505"/>
    <cellStyle name="Normal 7 5 2 5 2 3 2" xfId="34506"/>
    <cellStyle name="Normal 7 5 2 5 2 3 2 2" xfId="34507"/>
    <cellStyle name="Normal 7 5 2 5 2 3 3" xfId="34508"/>
    <cellStyle name="Normal 7 5 2 5 2 3 3 2" xfId="34509"/>
    <cellStyle name="Normal 7 5 2 5 2 3 4" xfId="34510"/>
    <cellStyle name="Normal 7 5 2 5 2 3 4 2" xfId="34511"/>
    <cellStyle name="Normal 7 5 2 5 2 3 5" xfId="34512"/>
    <cellStyle name="Normal 7 5 2 5 2 4" xfId="34513"/>
    <cellStyle name="Normal 7 5 2 5 2 4 2" xfId="34514"/>
    <cellStyle name="Normal 7 5 2 5 2 5" xfId="34515"/>
    <cellStyle name="Normal 7 5 2 5 2 5 2" xfId="34516"/>
    <cellStyle name="Normal 7 5 2 5 2 6" xfId="34517"/>
    <cellStyle name="Normal 7 5 2 5 2 6 2" xfId="34518"/>
    <cellStyle name="Normal 7 5 2 5 2 7" xfId="34519"/>
    <cellStyle name="Normal 7 5 2 5 3" xfId="34520"/>
    <cellStyle name="Normal 7 5 2 5 3 2" xfId="34521"/>
    <cellStyle name="Normal 7 5 2 5 3 2 2" xfId="34522"/>
    <cellStyle name="Normal 7 5 2 5 3 3" xfId="34523"/>
    <cellStyle name="Normal 7 5 2 5 3 3 2" xfId="34524"/>
    <cellStyle name="Normal 7 5 2 5 3 4" xfId="34525"/>
    <cellStyle name="Normal 7 5 2 5 3 4 2" xfId="34526"/>
    <cellStyle name="Normal 7 5 2 5 3 5" xfId="34527"/>
    <cellStyle name="Normal 7 5 2 5 4" xfId="34528"/>
    <cellStyle name="Normal 7 5 2 5 4 2" xfId="34529"/>
    <cellStyle name="Normal 7 5 2 5 4 2 2" xfId="34530"/>
    <cellStyle name="Normal 7 5 2 5 4 3" xfId="34531"/>
    <cellStyle name="Normal 7 5 2 5 4 3 2" xfId="34532"/>
    <cellStyle name="Normal 7 5 2 5 4 4" xfId="34533"/>
    <cellStyle name="Normal 7 5 2 5 4 4 2" xfId="34534"/>
    <cellStyle name="Normal 7 5 2 5 4 5" xfId="34535"/>
    <cellStyle name="Normal 7 5 2 5 5" xfId="34536"/>
    <cellStyle name="Normal 7 5 2 5 5 2" xfId="34537"/>
    <cellStyle name="Normal 7 5 2 5 6" xfId="34538"/>
    <cellStyle name="Normal 7 5 2 5 6 2" xfId="34539"/>
    <cellStyle name="Normal 7 5 2 5 7" xfId="34540"/>
    <cellStyle name="Normal 7 5 2 5 7 2" xfId="34541"/>
    <cellStyle name="Normal 7 5 2 5 8" xfId="34542"/>
    <cellStyle name="Normal 7 5 2 6" xfId="34543"/>
    <cellStyle name="Normal 7 5 2 6 2" xfId="34544"/>
    <cellStyle name="Normal 7 5 2 6 2 2" xfId="34545"/>
    <cellStyle name="Normal 7 5 2 6 2 2 2" xfId="34546"/>
    <cellStyle name="Normal 7 5 2 6 2 2 2 2" xfId="34547"/>
    <cellStyle name="Normal 7 5 2 6 2 2 3" xfId="34548"/>
    <cellStyle name="Normal 7 5 2 6 2 2 3 2" xfId="34549"/>
    <cellStyle name="Normal 7 5 2 6 2 2 4" xfId="34550"/>
    <cellStyle name="Normal 7 5 2 6 2 2 4 2" xfId="34551"/>
    <cellStyle name="Normal 7 5 2 6 2 2 5" xfId="34552"/>
    <cellStyle name="Normal 7 5 2 6 2 3" xfId="34553"/>
    <cellStyle name="Normal 7 5 2 6 2 3 2" xfId="34554"/>
    <cellStyle name="Normal 7 5 2 6 2 3 2 2" xfId="34555"/>
    <cellStyle name="Normal 7 5 2 6 2 3 3" xfId="34556"/>
    <cellStyle name="Normal 7 5 2 6 2 3 3 2" xfId="34557"/>
    <cellStyle name="Normal 7 5 2 6 2 3 4" xfId="34558"/>
    <cellStyle name="Normal 7 5 2 6 2 3 4 2" xfId="34559"/>
    <cellStyle name="Normal 7 5 2 6 2 3 5" xfId="34560"/>
    <cellStyle name="Normal 7 5 2 6 2 4" xfId="34561"/>
    <cellStyle name="Normal 7 5 2 6 2 4 2" xfId="34562"/>
    <cellStyle name="Normal 7 5 2 6 2 5" xfId="34563"/>
    <cellStyle name="Normal 7 5 2 6 2 5 2" xfId="34564"/>
    <cellStyle name="Normal 7 5 2 6 2 6" xfId="34565"/>
    <cellStyle name="Normal 7 5 2 6 2 6 2" xfId="34566"/>
    <cellStyle name="Normal 7 5 2 6 2 7" xfId="34567"/>
    <cellStyle name="Normal 7 5 2 6 3" xfId="34568"/>
    <cellStyle name="Normal 7 5 2 6 3 2" xfId="34569"/>
    <cellStyle name="Normal 7 5 2 6 3 2 2" xfId="34570"/>
    <cellStyle name="Normal 7 5 2 6 3 3" xfId="34571"/>
    <cellStyle name="Normal 7 5 2 6 3 3 2" xfId="34572"/>
    <cellStyle name="Normal 7 5 2 6 3 4" xfId="34573"/>
    <cellStyle name="Normal 7 5 2 6 3 4 2" xfId="34574"/>
    <cellStyle name="Normal 7 5 2 6 3 5" xfId="34575"/>
    <cellStyle name="Normal 7 5 2 6 4" xfId="34576"/>
    <cellStyle name="Normal 7 5 2 6 4 2" xfId="34577"/>
    <cellStyle name="Normal 7 5 2 6 4 2 2" xfId="34578"/>
    <cellStyle name="Normal 7 5 2 6 4 3" xfId="34579"/>
    <cellStyle name="Normal 7 5 2 6 4 3 2" xfId="34580"/>
    <cellStyle name="Normal 7 5 2 6 4 4" xfId="34581"/>
    <cellStyle name="Normal 7 5 2 6 4 4 2" xfId="34582"/>
    <cellStyle name="Normal 7 5 2 6 4 5" xfId="34583"/>
    <cellStyle name="Normal 7 5 2 6 5" xfId="34584"/>
    <cellStyle name="Normal 7 5 2 6 5 2" xfId="34585"/>
    <cellStyle name="Normal 7 5 2 6 6" xfId="34586"/>
    <cellStyle name="Normal 7 5 2 6 6 2" xfId="34587"/>
    <cellStyle name="Normal 7 5 2 6 7" xfId="34588"/>
    <cellStyle name="Normal 7 5 2 6 7 2" xfId="34589"/>
    <cellStyle name="Normal 7 5 2 6 8" xfId="34590"/>
    <cellStyle name="Normal 7 5 2 7" xfId="34591"/>
    <cellStyle name="Normal 7 5 2 7 2" xfId="34592"/>
    <cellStyle name="Normal 7 5 2 7 2 2" xfId="34593"/>
    <cellStyle name="Normal 7 5 2 7 2 2 2" xfId="34594"/>
    <cellStyle name="Normal 7 5 2 7 2 2 2 2" xfId="34595"/>
    <cellStyle name="Normal 7 5 2 7 2 2 3" xfId="34596"/>
    <cellStyle name="Normal 7 5 2 7 2 2 3 2" xfId="34597"/>
    <cellStyle name="Normal 7 5 2 7 2 2 4" xfId="34598"/>
    <cellStyle name="Normal 7 5 2 7 2 2 4 2" xfId="34599"/>
    <cellStyle name="Normal 7 5 2 7 2 2 5" xfId="34600"/>
    <cellStyle name="Normal 7 5 2 7 2 3" xfId="34601"/>
    <cellStyle name="Normal 7 5 2 7 2 3 2" xfId="34602"/>
    <cellStyle name="Normal 7 5 2 7 2 3 2 2" xfId="34603"/>
    <cellStyle name="Normal 7 5 2 7 2 3 3" xfId="34604"/>
    <cellStyle name="Normal 7 5 2 7 2 3 3 2" xfId="34605"/>
    <cellStyle name="Normal 7 5 2 7 2 3 4" xfId="34606"/>
    <cellStyle name="Normal 7 5 2 7 2 3 4 2" xfId="34607"/>
    <cellStyle name="Normal 7 5 2 7 2 3 5" xfId="34608"/>
    <cellStyle name="Normal 7 5 2 7 2 4" xfId="34609"/>
    <cellStyle name="Normal 7 5 2 7 2 4 2" xfId="34610"/>
    <cellStyle name="Normal 7 5 2 7 2 5" xfId="34611"/>
    <cellStyle name="Normal 7 5 2 7 2 5 2" xfId="34612"/>
    <cellStyle name="Normal 7 5 2 7 2 6" xfId="34613"/>
    <cellStyle name="Normal 7 5 2 7 2 6 2" xfId="34614"/>
    <cellStyle name="Normal 7 5 2 7 2 7" xfId="34615"/>
    <cellStyle name="Normal 7 5 2 7 3" xfId="34616"/>
    <cellStyle name="Normal 7 5 2 7 3 2" xfId="34617"/>
    <cellStyle name="Normal 7 5 2 7 3 2 2" xfId="34618"/>
    <cellStyle name="Normal 7 5 2 7 3 3" xfId="34619"/>
    <cellStyle name="Normal 7 5 2 7 3 3 2" xfId="34620"/>
    <cellStyle name="Normal 7 5 2 7 3 4" xfId="34621"/>
    <cellStyle name="Normal 7 5 2 7 3 4 2" xfId="34622"/>
    <cellStyle name="Normal 7 5 2 7 3 5" xfId="34623"/>
    <cellStyle name="Normal 7 5 2 7 4" xfId="34624"/>
    <cellStyle name="Normal 7 5 2 7 4 2" xfId="34625"/>
    <cellStyle name="Normal 7 5 2 7 4 2 2" xfId="34626"/>
    <cellStyle name="Normal 7 5 2 7 4 3" xfId="34627"/>
    <cellStyle name="Normal 7 5 2 7 4 3 2" xfId="34628"/>
    <cellStyle name="Normal 7 5 2 7 4 4" xfId="34629"/>
    <cellStyle name="Normal 7 5 2 7 4 4 2" xfId="34630"/>
    <cellStyle name="Normal 7 5 2 7 4 5" xfId="34631"/>
    <cellStyle name="Normal 7 5 2 7 5" xfId="34632"/>
    <cellStyle name="Normal 7 5 2 7 5 2" xfId="34633"/>
    <cellStyle name="Normal 7 5 2 7 6" xfId="34634"/>
    <cellStyle name="Normal 7 5 2 7 6 2" xfId="34635"/>
    <cellStyle name="Normal 7 5 2 7 7" xfId="34636"/>
    <cellStyle name="Normal 7 5 2 7 7 2" xfId="34637"/>
    <cellStyle name="Normal 7 5 2 7 8" xfId="34638"/>
    <cellStyle name="Normal 7 5 2 8" xfId="34639"/>
    <cellStyle name="Normal 7 5 2 8 2" xfId="34640"/>
    <cellStyle name="Normal 7 5 2 8 2 2" xfId="34641"/>
    <cellStyle name="Normal 7 5 2 8 2 2 2" xfId="34642"/>
    <cellStyle name="Normal 7 5 2 8 2 3" xfId="34643"/>
    <cellStyle name="Normal 7 5 2 8 2 3 2" xfId="34644"/>
    <cellStyle name="Normal 7 5 2 8 2 4" xfId="34645"/>
    <cellStyle name="Normal 7 5 2 8 2 4 2" xfId="34646"/>
    <cellStyle name="Normal 7 5 2 8 2 5" xfId="34647"/>
    <cellStyle name="Normal 7 5 2 8 3" xfId="34648"/>
    <cellStyle name="Normal 7 5 2 8 3 2" xfId="34649"/>
    <cellStyle name="Normal 7 5 2 8 3 2 2" xfId="34650"/>
    <cellStyle name="Normal 7 5 2 8 3 3" xfId="34651"/>
    <cellStyle name="Normal 7 5 2 8 3 3 2" xfId="34652"/>
    <cellStyle name="Normal 7 5 2 8 3 4" xfId="34653"/>
    <cellStyle name="Normal 7 5 2 8 3 4 2" xfId="34654"/>
    <cellStyle name="Normal 7 5 2 8 3 5" xfId="34655"/>
    <cellStyle name="Normal 7 5 2 8 4" xfId="34656"/>
    <cellStyle name="Normal 7 5 2 8 4 2" xfId="34657"/>
    <cellStyle name="Normal 7 5 2 8 5" xfId="34658"/>
    <cellStyle name="Normal 7 5 2 8 5 2" xfId="34659"/>
    <cellStyle name="Normal 7 5 2 8 6" xfId="34660"/>
    <cellStyle name="Normal 7 5 2 8 6 2" xfId="34661"/>
    <cellStyle name="Normal 7 5 2 8 7" xfId="34662"/>
    <cellStyle name="Normal 7 5 2 9" xfId="34663"/>
    <cellStyle name="Normal 7 5 2 9 2" xfId="34664"/>
    <cellStyle name="Normal 7 5 2 9 2 2" xfId="34665"/>
    <cellStyle name="Normal 7 5 2 9 3" xfId="34666"/>
    <cellStyle name="Normal 7 5 2 9 3 2" xfId="34667"/>
    <cellStyle name="Normal 7 5 2 9 4" xfId="34668"/>
    <cellStyle name="Normal 7 5 2 9 4 2" xfId="34669"/>
    <cellStyle name="Normal 7 5 2 9 5" xfId="34670"/>
    <cellStyle name="Normal 7 5 3" xfId="34671"/>
    <cellStyle name="Normal 7 5 3 10" xfId="34672"/>
    <cellStyle name="Normal 7 5 3 10 2" xfId="34673"/>
    <cellStyle name="Normal 7 5 3 10 2 2" xfId="34674"/>
    <cellStyle name="Normal 7 5 3 10 3" xfId="34675"/>
    <cellStyle name="Normal 7 5 3 10 3 2" xfId="34676"/>
    <cellStyle name="Normal 7 5 3 10 4" xfId="34677"/>
    <cellStyle name="Normal 7 5 3 10 4 2" xfId="34678"/>
    <cellStyle name="Normal 7 5 3 10 5" xfId="34679"/>
    <cellStyle name="Normal 7 5 3 11" xfId="34680"/>
    <cellStyle name="Normal 7 5 3 11 2" xfId="34681"/>
    <cellStyle name="Normal 7 5 3 12" xfId="34682"/>
    <cellStyle name="Normal 7 5 3 12 2" xfId="34683"/>
    <cellStyle name="Normal 7 5 3 13" xfId="34684"/>
    <cellStyle name="Normal 7 5 3 13 2" xfId="34685"/>
    <cellStyle name="Normal 7 5 3 14" xfId="34686"/>
    <cellStyle name="Normal 7 5 3 2" xfId="34687"/>
    <cellStyle name="Normal 7 5 3 2 10" xfId="34688"/>
    <cellStyle name="Normal 7 5 3 2 10 2" xfId="34689"/>
    <cellStyle name="Normal 7 5 3 2 11" xfId="34690"/>
    <cellStyle name="Normal 7 5 3 2 11 2" xfId="34691"/>
    <cellStyle name="Normal 7 5 3 2 12" xfId="34692"/>
    <cellStyle name="Normal 7 5 3 2 12 2" xfId="34693"/>
    <cellStyle name="Normal 7 5 3 2 13" xfId="34694"/>
    <cellStyle name="Normal 7 5 3 2 2" xfId="34695"/>
    <cellStyle name="Normal 7 5 3 2 2 2" xfId="34696"/>
    <cellStyle name="Normal 7 5 3 2 2 2 2" xfId="34697"/>
    <cellStyle name="Normal 7 5 3 2 2 2 2 2" xfId="34698"/>
    <cellStyle name="Normal 7 5 3 2 2 2 2 2 2" xfId="34699"/>
    <cellStyle name="Normal 7 5 3 2 2 2 2 3" xfId="34700"/>
    <cellStyle name="Normal 7 5 3 2 2 2 2 3 2" xfId="34701"/>
    <cellStyle name="Normal 7 5 3 2 2 2 2 4" xfId="34702"/>
    <cellStyle name="Normal 7 5 3 2 2 2 2 4 2" xfId="34703"/>
    <cellStyle name="Normal 7 5 3 2 2 2 2 5" xfId="34704"/>
    <cellStyle name="Normal 7 5 3 2 2 2 3" xfId="34705"/>
    <cellStyle name="Normal 7 5 3 2 2 2 3 2" xfId="34706"/>
    <cellStyle name="Normal 7 5 3 2 2 2 3 2 2" xfId="34707"/>
    <cellStyle name="Normal 7 5 3 2 2 2 3 3" xfId="34708"/>
    <cellStyle name="Normal 7 5 3 2 2 2 3 3 2" xfId="34709"/>
    <cellStyle name="Normal 7 5 3 2 2 2 3 4" xfId="34710"/>
    <cellStyle name="Normal 7 5 3 2 2 2 3 4 2" xfId="34711"/>
    <cellStyle name="Normal 7 5 3 2 2 2 3 5" xfId="34712"/>
    <cellStyle name="Normal 7 5 3 2 2 2 4" xfId="34713"/>
    <cellStyle name="Normal 7 5 3 2 2 2 4 2" xfId="34714"/>
    <cellStyle name="Normal 7 5 3 2 2 2 5" xfId="34715"/>
    <cellStyle name="Normal 7 5 3 2 2 2 5 2" xfId="34716"/>
    <cellStyle name="Normal 7 5 3 2 2 2 6" xfId="34717"/>
    <cellStyle name="Normal 7 5 3 2 2 2 6 2" xfId="34718"/>
    <cellStyle name="Normal 7 5 3 2 2 2 7" xfId="34719"/>
    <cellStyle name="Normal 7 5 3 2 2 3" xfId="34720"/>
    <cellStyle name="Normal 7 5 3 2 2 3 2" xfId="34721"/>
    <cellStyle name="Normal 7 5 3 2 2 3 2 2" xfId="34722"/>
    <cellStyle name="Normal 7 5 3 2 2 3 3" xfId="34723"/>
    <cellStyle name="Normal 7 5 3 2 2 3 3 2" xfId="34724"/>
    <cellStyle name="Normal 7 5 3 2 2 3 4" xfId="34725"/>
    <cellStyle name="Normal 7 5 3 2 2 3 4 2" xfId="34726"/>
    <cellStyle name="Normal 7 5 3 2 2 3 5" xfId="34727"/>
    <cellStyle name="Normal 7 5 3 2 2 4" xfId="34728"/>
    <cellStyle name="Normal 7 5 3 2 2 4 2" xfId="34729"/>
    <cellStyle name="Normal 7 5 3 2 2 4 2 2" xfId="34730"/>
    <cellStyle name="Normal 7 5 3 2 2 4 3" xfId="34731"/>
    <cellStyle name="Normal 7 5 3 2 2 4 3 2" xfId="34732"/>
    <cellStyle name="Normal 7 5 3 2 2 4 4" xfId="34733"/>
    <cellStyle name="Normal 7 5 3 2 2 4 4 2" xfId="34734"/>
    <cellStyle name="Normal 7 5 3 2 2 4 5" xfId="34735"/>
    <cellStyle name="Normal 7 5 3 2 2 5" xfId="34736"/>
    <cellStyle name="Normal 7 5 3 2 2 5 2" xfId="34737"/>
    <cellStyle name="Normal 7 5 3 2 2 6" xfId="34738"/>
    <cellStyle name="Normal 7 5 3 2 2 6 2" xfId="34739"/>
    <cellStyle name="Normal 7 5 3 2 2 7" xfId="34740"/>
    <cellStyle name="Normal 7 5 3 2 2 7 2" xfId="34741"/>
    <cellStyle name="Normal 7 5 3 2 2 8" xfId="34742"/>
    <cellStyle name="Normal 7 5 3 2 3" xfId="34743"/>
    <cellStyle name="Normal 7 5 3 2 3 2" xfId="34744"/>
    <cellStyle name="Normal 7 5 3 2 3 2 2" xfId="34745"/>
    <cellStyle name="Normal 7 5 3 2 3 2 2 2" xfId="34746"/>
    <cellStyle name="Normal 7 5 3 2 3 2 2 2 2" xfId="34747"/>
    <cellStyle name="Normal 7 5 3 2 3 2 2 3" xfId="34748"/>
    <cellStyle name="Normal 7 5 3 2 3 2 2 3 2" xfId="34749"/>
    <cellStyle name="Normal 7 5 3 2 3 2 2 4" xfId="34750"/>
    <cellStyle name="Normal 7 5 3 2 3 2 2 4 2" xfId="34751"/>
    <cellStyle name="Normal 7 5 3 2 3 2 2 5" xfId="34752"/>
    <cellStyle name="Normal 7 5 3 2 3 2 3" xfId="34753"/>
    <cellStyle name="Normal 7 5 3 2 3 2 3 2" xfId="34754"/>
    <cellStyle name="Normal 7 5 3 2 3 2 3 2 2" xfId="34755"/>
    <cellStyle name="Normal 7 5 3 2 3 2 3 3" xfId="34756"/>
    <cellStyle name="Normal 7 5 3 2 3 2 3 3 2" xfId="34757"/>
    <cellStyle name="Normal 7 5 3 2 3 2 3 4" xfId="34758"/>
    <cellStyle name="Normal 7 5 3 2 3 2 3 4 2" xfId="34759"/>
    <cellStyle name="Normal 7 5 3 2 3 2 3 5" xfId="34760"/>
    <cellStyle name="Normal 7 5 3 2 3 2 4" xfId="34761"/>
    <cellStyle name="Normal 7 5 3 2 3 2 4 2" xfId="34762"/>
    <cellStyle name="Normal 7 5 3 2 3 2 5" xfId="34763"/>
    <cellStyle name="Normal 7 5 3 2 3 2 5 2" xfId="34764"/>
    <cellStyle name="Normal 7 5 3 2 3 2 6" xfId="34765"/>
    <cellStyle name="Normal 7 5 3 2 3 2 6 2" xfId="34766"/>
    <cellStyle name="Normal 7 5 3 2 3 2 7" xfId="34767"/>
    <cellStyle name="Normal 7 5 3 2 3 3" xfId="34768"/>
    <cellStyle name="Normal 7 5 3 2 3 3 2" xfId="34769"/>
    <cellStyle name="Normal 7 5 3 2 3 3 2 2" xfId="34770"/>
    <cellStyle name="Normal 7 5 3 2 3 3 3" xfId="34771"/>
    <cellStyle name="Normal 7 5 3 2 3 3 3 2" xfId="34772"/>
    <cellStyle name="Normal 7 5 3 2 3 3 4" xfId="34773"/>
    <cellStyle name="Normal 7 5 3 2 3 3 4 2" xfId="34774"/>
    <cellStyle name="Normal 7 5 3 2 3 3 5" xfId="34775"/>
    <cellStyle name="Normal 7 5 3 2 3 4" xfId="34776"/>
    <cellStyle name="Normal 7 5 3 2 3 4 2" xfId="34777"/>
    <cellStyle name="Normal 7 5 3 2 3 4 2 2" xfId="34778"/>
    <cellStyle name="Normal 7 5 3 2 3 4 3" xfId="34779"/>
    <cellStyle name="Normal 7 5 3 2 3 4 3 2" xfId="34780"/>
    <cellStyle name="Normal 7 5 3 2 3 4 4" xfId="34781"/>
    <cellStyle name="Normal 7 5 3 2 3 4 4 2" xfId="34782"/>
    <cellStyle name="Normal 7 5 3 2 3 4 5" xfId="34783"/>
    <cellStyle name="Normal 7 5 3 2 3 5" xfId="34784"/>
    <cellStyle name="Normal 7 5 3 2 3 5 2" xfId="34785"/>
    <cellStyle name="Normal 7 5 3 2 3 6" xfId="34786"/>
    <cellStyle name="Normal 7 5 3 2 3 6 2" xfId="34787"/>
    <cellStyle name="Normal 7 5 3 2 3 7" xfId="34788"/>
    <cellStyle name="Normal 7 5 3 2 3 7 2" xfId="34789"/>
    <cellStyle name="Normal 7 5 3 2 3 8" xfId="34790"/>
    <cellStyle name="Normal 7 5 3 2 4" xfId="34791"/>
    <cellStyle name="Normal 7 5 3 2 4 2" xfId="34792"/>
    <cellStyle name="Normal 7 5 3 2 4 2 2" xfId="34793"/>
    <cellStyle name="Normal 7 5 3 2 4 2 2 2" xfId="34794"/>
    <cellStyle name="Normal 7 5 3 2 4 2 2 2 2" xfId="34795"/>
    <cellStyle name="Normal 7 5 3 2 4 2 2 3" xfId="34796"/>
    <cellStyle name="Normal 7 5 3 2 4 2 2 3 2" xfId="34797"/>
    <cellStyle name="Normal 7 5 3 2 4 2 2 4" xfId="34798"/>
    <cellStyle name="Normal 7 5 3 2 4 2 2 4 2" xfId="34799"/>
    <cellStyle name="Normal 7 5 3 2 4 2 2 5" xfId="34800"/>
    <cellStyle name="Normal 7 5 3 2 4 2 3" xfId="34801"/>
    <cellStyle name="Normal 7 5 3 2 4 2 3 2" xfId="34802"/>
    <cellStyle name="Normal 7 5 3 2 4 2 3 2 2" xfId="34803"/>
    <cellStyle name="Normal 7 5 3 2 4 2 3 3" xfId="34804"/>
    <cellStyle name="Normal 7 5 3 2 4 2 3 3 2" xfId="34805"/>
    <cellStyle name="Normal 7 5 3 2 4 2 3 4" xfId="34806"/>
    <cellStyle name="Normal 7 5 3 2 4 2 3 4 2" xfId="34807"/>
    <cellStyle name="Normal 7 5 3 2 4 2 3 5" xfId="34808"/>
    <cellStyle name="Normal 7 5 3 2 4 2 4" xfId="34809"/>
    <cellStyle name="Normal 7 5 3 2 4 2 4 2" xfId="34810"/>
    <cellStyle name="Normal 7 5 3 2 4 2 5" xfId="34811"/>
    <cellStyle name="Normal 7 5 3 2 4 2 5 2" xfId="34812"/>
    <cellStyle name="Normal 7 5 3 2 4 2 6" xfId="34813"/>
    <cellStyle name="Normal 7 5 3 2 4 2 6 2" xfId="34814"/>
    <cellStyle name="Normal 7 5 3 2 4 2 7" xfId="34815"/>
    <cellStyle name="Normal 7 5 3 2 4 3" xfId="34816"/>
    <cellStyle name="Normal 7 5 3 2 4 3 2" xfId="34817"/>
    <cellStyle name="Normal 7 5 3 2 4 3 2 2" xfId="34818"/>
    <cellStyle name="Normal 7 5 3 2 4 3 3" xfId="34819"/>
    <cellStyle name="Normal 7 5 3 2 4 3 3 2" xfId="34820"/>
    <cellStyle name="Normal 7 5 3 2 4 3 4" xfId="34821"/>
    <cellStyle name="Normal 7 5 3 2 4 3 4 2" xfId="34822"/>
    <cellStyle name="Normal 7 5 3 2 4 3 5" xfId="34823"/>
    <cellStyle name="Normal 7 5 3 2 4 4" xfId="34824"/>
    <cellStyle name="Normal 7 5 3 2 4 4 2" xfId="34825"/>
    <cellStyle name="Normal 7 5 3 2 4 4 2 2" xfId="34826"/>
    <cellStyle name="Normal 7 5 3 2 4 4 3" xfId="34827"/>
    <cellStyle name="Normal 7 5 3 2 4 4 3 2" xfId="34828"/>
    <cellStyle name="Normal 7 5 3 2 4 4 4" xfId="34829"/>
    <cellStyle name="Normal 7 5 3 2 4 4 4 2" xfId="34830"/>
    <cellStyle name="Normal 7 5 3 2 4 4 5" xfId="34831"/>
    <cellStyle name="Normal 7 5 3 2 4 5" xfId="34832"/>
    <cellStyle name="Normal 7 5 3 2 4 5 2" xfId="34833"/>
    <cellStyle name="Normal 7 5 3 2 4 6" xfId="34834"/>
    <cellStyle name="Normal 7 5 3 2 4 6 2" xfId="34835"/>
    <cellStyle name="Normal 7 5 3 2 4 7" xfId="34836"/>
    <cellStyle name="Normal 7 5 3 2 4 7 2" xfId="34837"/>
    <cellStyle name="Normal 7 5 3 2 4 8" xfId="34838"/>
    <cellStyle name="Normal 7 5 3 2 5" xfId="34839"/>
    <cellStyle name="Normal 7 5 3 2 5 2" xfId="34840"/>
    <cellStyle name="Normal 7 5 3 2 5 2 2" xfId="34841"/>
    <cellStyle name="Normal 7 5 3 2 5 2 2 2" xfId="34842"/>
    <cellStyle name="Normal 7 5 3 2 5 2 2 2 2" xfId="34843"/>
    <cellStyle name="Normal 7 5 3 2 5 2 2 3" xfId="34844"/>
    <cellStyle name="Normal 7 5 3 2 5 2 2 3 2" xfId="34845"/>
    <cellStyle name="Normal 7 5 3 2 5 2 2 4" xfId="34846"/>
    <cellStyle name="Normal 7 5 3 2 5 2 2 4 2" xfId="34847"/>
    <cellStyle name="Normal 7 5 3 2 5 2 2 5" xfId="34848"/>
    <cellStyle name="Normal 7 5 3 2 5 2 3" xfId="34849"/>
    <cellStyle name="Normal 7 5 3 2 5 2 3 2" xfId="34850"/>
    <cellStyle name="Normal 7 5 3 2 5 2 3 2 2" xfId="34851"/>
    <cellStyle name="Normal 7 5 3 2 5 2 3 3" xfId="34852"/>
    <cellStyle name="Normal 7 5 3 2 5 2 3 3 2" xfId="34853"/>
    <cellStyle name="Normal 7 5 3 2 5 2 3 4" xfId="34854"/>
    <cellStyle name="Normal 7 5 3 2 5 2 3 4 2" xfId="34855"/>
    <cellStyle name="Normal 7 5 3 2 5 2 3 5" xfId="34856"/>
    <cellStyle name="Normal 7 5 3 2 5 2 4" xfId="34857"/>
    <cellStyle name="Normal 7 5 3 2 5 2 4 2" xfId="34858"/>
    <cellStyle name="Normal 7 5 3 2 5 2 5" xfId="34859"/>
    <cellStyle name="Normal 7 5 3 2 5 2 5 2" xfId="34860"/>
    <cellStyle name="Normal 7 5 3 2 5 2 6" xfId="34861"/>
    <cellStyle name="Normal 7 5 3 2 5 2 6 2" xfId="34862"/>
    <cellStyle name="Normal 7 5 3 2 5 2 7" xfId="34863"/>
    <cellStyle name="Normal 7 5 3 2 5 3" xfId="34864"/>
    <cellStyle name="Normal 7 5 3 2 5 3 2" xfId="34865"/>
    <cellStyle name="Normal 7 5 3 2 5 3 2 2" xfId="34866"/>
    <cellStyle name="Normal 7 5 3 2 5 3 3" xfId="34867"/>
    <cellStyle name="Normal 7 5 3 2 5 3 3 2" xfId="34868"/>
    <cellStyle name="Normal 7 5 3 2 5 3 4" xfId="34869"/>
    <cellStyle name="Normal 7 5 3 2 5 3 4 2" xfId="34870"/>
    <cellStyle name="Normal 7 5 3 2 5 3 5" xfId="34871"/>
    <cellStyle name="Normal 7 5 3 2 5 4" xfId="34872"/>
    <cellStyle name="Normal 7 5 3 2 5 4 2" xfId="34873"/>
    <cellStyle name="Normal 7 5 3 2 5 4 2 2" xfId="34874"/>
    <cellStyle name="Normal 7 5 3 2 5 4 3" xfId="34875"/>
    <cellStyle name="Normal 7 5 3 2 5 4 3 2" xfId="34876"/>
    <cellStyle name="Normal 7 5 3 2 5 4 4" xfId="34877"/>
    <cellStyle name="Normal 7 5 3 2 5 4 4 2" xfId="34878"/>
    <cellStyle name="Normal 7 5 3 2 5 4 5" xfId="34879"/>
    <cellStyle name="Normal 7 5 3 2 5 5" xfId="34880"/>
    <cellStyle name="Normal 7 5 3 2 5 5 2" xfId="34881"/>
    <cellStyle name="Normal 7 5 3 2 5 6" xfId="34882"/>
    <cellStyle name="Normal 7 5 3 2 5 6 2" xfId="34883"/>
    <cellStyle name="Normal 7 5 3 2 5 7" xfId="34884"/>
    <cellStyle name="Normal 7 5 3 2 5 7 2" xfId="34885"/>
    <cellStyle name="Normal 7 5 3 2 5 8" xfId="34886"/>
    <cellStyle name="Normal 7 5 3 2 6" xfId="34887"/>
    <cellStyle name="Normal 7 5 3 2 6 2" xfId="34888"/>
    <cellStyle name="Normal 7 5 3 2 6 2 2" xfId="34889"/>
    <cellStyle name="Normal 7 5 3 2 6 2 2 2" xfId="34890"/>
    <cellStyle name="Normal 7 5 3 2 6 2 2 2 2" xfId="34891"/>
    <cellStyle name="Normal 7 5 3 2 6 2 2 3" xfId="34892"/>
    <cellStyle name="Normal 7 5 3 2 6 2 2 3 2" xfId="34893"/>
    <cellStyle name="Normal 7 5 3 2 6 2 2 4" xfId="34894"/>
    <cellStyle name="Normal 7 5 3 2 6 2 2 4 2" xfId="34895"/>
    <cellStyle name="Normal 7 5 3 2 6 2 2 5" xfId="34896"/>
    <cellStyle name="Normal 7 5 3 2 6 2 3" xfId="34897"/>
    <cellStyle name="Normal 7 5 3 2 6 2 3 2" xfId="34898"/>
    <cellStyle name="Normal 7 5 3 2 6 2 3 2 2" xfId="34899"/>
    <cellStyle name="Normal 7 5 3 2 6 2 3 3" xfId="34900"/>
    <cellStyle name="Normal 7 5 3 2 6 2 3 3 2" xfId="34901"/>
    <cellStyle name="Normal 7 5 3 2 6 2 3 4" xfId="34902"/>
    <cellStyle name="Normal 7 5 3 2 6 2 3 4 2" xfId="34903"/>
    <cellStyle name="Normal 7 5 3 2 6 2 3 5" xfId="34904"/>
    <cellStyle name="Normal 7 5 3 2 6 2 4" xfId="34905"/>
    <cellStyle name="Normal 7 5 3 2 6 2 4 2" xfId="34906"/>
    <cellStyle name="Normal 7 5 3 2 6 2 5" xfId="34907"/>
    <cellStyle name="Normal 7 5 3 2 6 2 5 2" xfId="34908"/>
    <cellStyle name="Normal 7 5 3 2 6 2 6" xfId="34909"/>
    <cellStyle name="Normal 7 5 3 2 6 2 6 2" xfId="34910"/>
    <cellStyle name="Normal 7 5 3 2 6 2 7" xfId="34911"/>
    <cellStyle name="Normal 7 5 3 2 6 3" xfId="34912"/>
    <cellStyle name="Normal 7 5 3 2 6 3 2" xfId="34913"/>
    <cellStyle name="Normal 7 5 3 2 6 3 2 2" xfId="34914"/>
    <cellStyle name="Normal 7 5 3 2 6 3 3" xfId="34915"/>
    <cellStyle name="Normal 7 5 3 2 6 3 3 2" xfId="34916"/>
    <cellStyle name="Normal 7 5 3 2 6 3 4" xfId="34917"/>
    <cellStyle name="Normal 7 5 3 2 6 3 4 2" xfId="34918"/>
    <cellStyle name="Normal 7 5 3 2 6 3 5" xfId="34919"/>
    <cellStyle name="Normal 7 5 3 2 6 4" xfId="34920"/>
    <cellStyle name="Normal 7 5 3 2 6 4 2" xfId="34921"/>
    <cellStyle name="Normal 7 5 3 2 6 4 2 2" xfId="34922"/>
    <cellStyle name="Normal 7 5 3 2 6 4 3" xfId="34923"/>
    <cellStyle name="Normal 7 5 3 2 6 4 3 2" xfId="34924"/>
    <cellStyle name="Normal 7 5 3 2 6 4 4" xfId="34925"/>
    <cellStyle name="Normal 7 5 3 2 6 4 4 2" xfId="34926"/>
    <cellStyle name="Normal 7 5 3 2 6 4 5" xfId="34927"/>
    <cellStyle name="Normal 7 5 3 2 6 5" xfId="34928"/>
    <cellStyle name="Normal 7 5 3 2 6 5 2" xfId="34929"/>
    <cellStyle name="Normal 7 5 3 2 6 6" xfId="34930"/>
    <cellStyle name="Normal 7 5 3 2 6 6 2" xfId="34931"/>
    <cellStyle name="Normal 7 5 3 2 6 7" xfId="34932"/>
    <cellStyle name="Normal 7 5 3 2 6 7 2" xfId="34933"/>
    <cellStyle name="Normal 7 5 3 2 6 8" xfId="34934"/>
    <cellStyle name="Normal 7 5 3 2 7" xfId="34935"/>
    <cellStyle name="Normal 7 5 3 2 7 2" xfId="34936"/>
    <cellStyle name="Normal 7 5 3 2 7 2 2" xfId="34937"/>
    <cellStyle name="Normal 7 5 3 2 7 2 2 2" xfId="34938"/>
    <cellStyle name="Normal 7 5 3 2 7 2 3" xfId="34939"/>
    <cellStyle name="Normal 7 5 3 2 7 2 3 2" xfId="34940"/>
    <cellStyle name="Normal 7 5 3 2 7 2 4" xfId="34941"/>
    <cellStyle name="Normal 7 5 3 2 7 2 4 2" xfId="34942"/>
    <cellStyle name="Normal 7 5 3 2 7 2 5" xfId="34943"/>
    <cellStyle name="Normal 7 5 3 2 7 3" xfId="34944"/>
    <cellStyle name="Normal 7 5 3 2 7 3 2" xfId="34945"/>
    <cellStyle name="Normal 7 5 3 2 7 3 2 2" xfId="34946"/>
    <cellStyle name="Normal 7 5 3 2 7 3 3" xfId="34947"/>
    <cellStyle name="Normal 7 5 3 2 7 3 3 2" xfId="34948"/>
    <cellStyle name="Normal 7 5 3 2 7 3 4" xfId="34949"/>
    <cellStyle name="Normal 7 5 3 2 7 3 4 2" xfId="34950"/>
    <cellStyle name="Normal 7 5 3 2 7 3 5" xfId="34951"/>
    <cellStyle name="Normal 7 5 3 2 7 4" xfId="34952"/>
    <cellStyle name="Normal 7 5 3 2 7 4 2" xfId="34953"/>
    <cellStyle name="Normal 7 5 3 2 7 5" xfId="34954"/>
    <cellStyle name="Normal 7 5 3 2 7 5 2" xfId="34955"/>
    <cellStyle name="Normal 7 5 3 2 7 6" xfId="34956"/>
    <cellStyle name="Normal 7 5 3 2 7 6 2" xfId="34957"/>
    <cellStyle name="Normal 7 5 3 2 7 7" xfId="34958"/>
    <cellStyle name="Normal 7 5 3 2 8" xfId="34959"/>
    <cellStyle name="Normal 7 5 3 2 8 2" xfId="34960"/>
    <cellStyle name="Normal 7 5 3 2 8 2 2" xfId="34961"/>
    <cellStyle name="Normal 7 5 3 2 8 3" xfId="34962"/>
    <cellStyle name="Normal 7 5 3 2 8 3 2" xfId="34963"/>
    <cellStyle name="Normal 7 5 3 2 8 4" xfId="34964"/>
    <cellStyle name="Normal 7 5 3 2 8 4 2" xfId="34965"/>
    <cellStyle name="Normal 7 5 3 2 8 5" xfId="34966"/>
    <cellStyle name="Normal 7 5 3 2 9" xfId="34967"/>
    <cellStyle name="Normal 7 5 3 2 9 2" xfId="34968"/>
    <cellStyle name="Normal 7 5 3 2 9 2 2" xfId="34969"/>
    <cellStyle name="Normal 7 5 3 2 9 3" xfId="34970"/>
    <cellStyle name="Normal 7 5 3 2 9 3 2" xfId="34971"/>
    <cellStyle name="Normal 7 5 3 2 9 4" xfId="34972"/>
    <cellStyle name="Normal 7 5 3 2 9 4 2" xfId="34973"/>
    <cellStyle name="Normal 7 5 3 2 9 5" xfId="34974"/>
    <cellStyle name="Normal 7 5 3 3" xfId="34975"/>
    <cellStyle name="Normal 7 5 3 3 2" xfId="34976"/>
    <cellStyle name="Normal 7 5 3 3 2 2" xfId="34977"/>
    <cellStyle name="Normal 7 5 3 3 2 2 2" xfId="34978"/>
    <cellStyle name="Normal 7 5 3 3 2 2 2 2" xfId="34979"/>
    <cellStyle name="Normal 7 5 3 3 2 2 3" xfId="34980"/>
    <cellStyle name="Normal 7 5 3 3 2 2 3 2" xfId="34981"/>
    <cellStyle name="Normal 7 5 3 3 2 2 4" xfId="34982"/>
    <cellStyle name="Normal 7 5 3 3 2 2 4 2" xfId="34983"/>
    <cellStyle name="Normal 7 5 3 3 2 2 5" xfId="34984"/>
    <cellStyle name="Normal 7 5 3 3 2 3" xfId="34985"/>
    <cellStyle name="Normal 7 5 3 3 2 3 2" xfId="34986"/>
    <cellStyle name="Normal 7 5 3 3 2 3 2 2" xfId="34987"/>
    <cellStyle name="Normal 7 5 3 3 2 3 3" xfId="34988"/>
    <cellStyle name="Normal 7 5 3 3 2 3 3 2" xfId="34989"/>
    <cellStyle name="Normal 7 5 3 3 2 3 4" xfId="34990"/>
    <cellStyle name="Normal 7 5 3 3 2 3 4 2" xfId="34991"/>
    <cellStyle name="Normal 7 5 3 3 2 3 5" xfId="34992"/>
    <cellStyle name="Normal 7 5 3 3 2 4" xfId="34993"/>
    <cellStyle name="Normal 7 5 3 3 2 4 2" xfId="34994"/>
    <cellStyle name="Normal 7 5 3 3 2 5" xfId="34995"/>
    <cellStyle name="Normal 7 5 3 3 2 5 2" xfId="34996"/>
    <cellStyle name="Normal 7 5 3 3 2 6" xfId="34997"/>
    <cellStyle name="Normal 7 5 3 3 2 6 2" xfId="34998"/>
    <cellStyle name="Normal 7 5 3 3 2 7" xfId="34999"/>
    <cellStyle name="Normal 7 5 3 3 3" xfId="35000"/>
    <cellStyle name="Normal 7 5 3 3 3 2" xfId="35001"/>
    <cellStyle name="Normal 7 5 3 3 3 2 2" xfId="35002"/>
    <cellStyle name="Normal 7 5 3 3 3 3" xfId="35003"/>
    <cellStyle name="Normal 7 5 3 3 3 3 2" xfId="35004"/>
    <cellStyle name="Normal 7 5 3 3 3 4" xfId="35005"/>
    <cellStyle name="Normal 7 5 3 3 3 4 2" xfId="35006"/>
    <cellStyle name="Normal 7 5 3 3 3 5" xfId="35007"/>
    <cellStyle name="Normal 7 5 3 3 4" xfId="35008"/>
    <cellStyle name="Normal 7 5 3 3 4 2" xfId="35009"/>
    <cellStyle name="Normal 7 5 3 3 4 2 2" xfId="35010"/>
    <cellStyle name="Normal 7 5 3 3 4 3" xfId="35011"/>
    <cellStyle name="Normal 7 5 3 3 4 3 2" xfId="35012"/>
    <cellStyle name="Normal 7 5 3 3 4 4" xfId="35013"/>
    <cellStyle name="Normal 7 5 3 3 4 4 2" xfId="35014"/>
    <cellStyle name="Normal 7 5 3 3 4 5" xfId="35015"/>
    <cellStyle name="Normal 7 5 3 3 5" xfId="35016"/>
    <cellStyle name="Normal 7 5 3 3 5 2" xfId="35017"/>
    <cellStyle name="Normal 7 5 3 3 6" xfId="35018"/>
    <cellStyle name="Normal 7 5 3 3 6 2" xfId="35019"/>
    <cellStyle name="Normal 7 5 3 3 7" xfId="35020"/>
    <cellStyle name="Normal 7 5 3 3 7 2" xfId="35021"/>
    <cellStyle name="Normal 7 5 3 3 8" xfId="35022"/>
    <cellStyle name="Normal 7 5 3 4" xfId="35023"/>
    <cellStyle name="Normal 7 5 3 4 2" xfId="35024"/>
    <cellStyle name="Normal 7 5 3 4 2 2" xfId="35025"/>
    <cellStyle name="Normal 7 5 3 4 2 2 2" xfId="35026"/>
    <cellStyle name="Normal 7 5 3 4 2 2 2 2" xfId="35027"/>
    <cellStyle name="Normal 7 5 3 4 2 2 3" xfId="35028"/>
    <cellStyle name="Normal 7 5 3 4 2 2 3 2" xfId="35029"/>
    <cellStyle name="Normal 7 5 3 4 2 2 4" xfId="35030"/>
    <cellStyle name="Normal 7 5 3 4 2 2 4 2" xfId="35031"/>
    <cellStyle name="Normal 7 5 3 4 2 2 5" xfId="35032"/>
    <cellStyle name="Normal 7 5 3 4 2 3" xfId="35033"/>
    <cellStyle name="Normal 7 5 3 4 2 3 2" xfId="35034"/>
    <cellStyle name="Normal 7 5 3 4 2 3 2 2" xfId="35035"/>
    <cellStyle name="Normal 7 5 3 4 2 3 3" xfId="35036"/>
    <cellStyle name="Normal 7 5 3 4 2 3 3 2" xfId="35037"/>
    <cellStyle name="Normal 7 5 3 4 2 3 4" xfId="35038"/>
    <cellStyle name="Normal 7 5 3 4 2 3 4 2" xfId="35039"/>
    <cellStyle name="Normal 7 5 3 4 2 3 5" xfId="35040"/>
    <cellStyle name="Normal 7 5 3 4 2 4" xfId="35041"/>
    <cellStyle name="Normal 7 5 3 4 2 4 2" xfId="35042"/>
    <cellStyle name="Normal 7 5 3 4 2 5" xfId="35043"/>
    <cellStyle name="Normal 7 5 3 4 2 5 2" xfId="35044"/>
    <cellStyle name="Normal 7 5 3 4 2 6" xfId="35045"/>
    <cellStyle name="Normal 7 5 3 4 2 6 2" xfId="35046"/>
    <cellStyle name="Normal 7 5 3 4 2 7" xfId="35047"/>
    <cellStyle name="Normal 7 5 3 4 3" xfId="35048"/>
    <cellStyle name="Normal 7 5 3 4 3 2" xfId="35049"/>
    <cellStyle name="Normal 7 5 3 4 3 2 2" xfId="35050"/>
    <cellStyle name="Normal 7 5 3 4 3 3" xfId="35051"/>
    <cellStyle name="Normal 7 5 3 4 3 3 2" xfId="35052"/>
    <cellStyle name="Normal 7 5 3 4 3 4" xfId="35053"/>
    <cellStyle name="Normal 7 5 3 4 3 4 2" xfId="35054"/>
    <cellStyle name="Normal 7 5 3 4 3 5" xfId="35055"/>
    <cellStyle name="Normal 7 5 3 4 4" xfId="35056"/>
    <cellStyle name="Normal 7 5 3 4 4 2" xfId="35057"/>
    <cellStyle name="Normal 7 5 3 4 4 2 2" xfId="35058"/>
    <cellStyle name="Normal 7 5 3 4 4 3" xfId="35059"/>
    <cellStyle name="Normal 7 5 3 4 4 3 2" xfId="35060"/>
    <cellStyle name="Normal 7 5 3 4 4 4" xfId="35061"/>
    <cellStyle name="Normal 7 5 3 4 4 4 2" xfId="35062"/>
    <cellStyle name="Normal 7 5 3 4 4 5" xfId="35063"/>
    <cellStyle name="Normal 7 5 3 4 5" xfId="35064"/>
    <cellStyle name="Normal 7 5 3 4 5 2" xfId="35065"/>
    <cellStyle name="Normal 7 5 3 4 6" xfId="35066"/>
    <cellStyle name="Normal 7 5 3 4 6 2" xfId="35067"/>
    <cellStyle name="Normal 7 5 3 4 7" xfId="35068"/>
    <cellStyle name="Normal 7 5 3 4 7 2" xfId="35069"/>
    <cellStyle name="Normal 7 5 3 4 8" xfId="35070"/>
    <cellStyle name="Normal 7 5 3 5" xfId="35071"/>
    <cellStyle name="Normal 7 5 3 5 2" xfId="35072"/>
    <cellStyle name="Normal 7 5 3 5 2 2" xfId="35073"/>
    <cellStyle name="Normal 7 5 3 5 2 2 2" xfId="35074"/>
    <cellStyle name="Normal 7 5 3 5 2 2 2 2" xfId="35075"/>
    <cellStyle name="Normal 7 5 3 5 2 2 3" xfId="35076"/>
    <cellStyle name="Normal 7 5 3 5 2 2 3 2" xfId="35077"/>
    <cellStyle name="Normal 7 5 3 5 2 2 4" xfId="35078"/>
    <cellStyle name="Normal 7 5 3 5 2 2 4 2" xfId="35079"/>
    <cellStyle name="Normal 7 5 3 5 2 2 5" xfId="35080"/>
    <cellStyle name="Normal 7 5 3 5 2 3" xfId="35081"/>
    <cellStyle name="Normal 7 5 3 5 2 3 2" xfId="35082"/>
    <cellStyle name="Normal 7 5 3 5 2 3 2 2" xfId="35083"/>
    <cellStyle name="Normal 7 5 3 5 2 3 3" xfId="35084"/>
    <cellStyle name="Normal 7 5 3 5 2 3 3 2" xfId="35085"/>
    <cellStyle name="Normal 7 5 3 5 2 3 4" xfId="35086"/>
    <cellStyle name="Normal 7 5 3 5 2 3 4 2" xfId="35087"/>
    <cellStyle name="Normal 7 5 3 5 2 3 5" xfId="35088"/>
    <cellStyle name="Normal 7 5 3 5 2 4" xfId="35089"/>
    <cellStyle name="Normal 7 5 3 5 2 4 2" xfId="35090"/>
    <cellStyle name="Normal 7 5 3 5 2 5" xfId="35091"/>
    <cellStyle name="Normal 7 5 3 5 2 5 2" xfId="35092"/>
    <cellStyle name="Normal 7 5 3 5 2 6" xfId="35093"/>
    <cellStyle name="Normal 7 5 3 5 2 6 2" xfId="35094"/>
    <cellStyle name="Normal 7 5 3 5 2 7" xfId="35095"/>
    <cellStyle name="Normal 7 5 3 5 3" xfId="35096"/>
    <cellStyle name="Normal 7 5 3 5 3 2" xfId="35097"/>
    <cellStyle name="Normal 7 5 3 5 3 2 2" xfId="35098"/>
    <cellStyle name="Normal 7 5 3 5 3 3" xfId="35099"/>
    <cellStyle name="Normal 7 5 3 5 3 3 2" xfId="35100"/>
    <cellStyle name="Normal 7 5 3 5 3 4" xfId="35101"/>
    <cellStyle name="Normal 7 5 3 5 3 4 2" xfId="35102"/>
    <cellStyle name="Normal 7 5 3 5 3 5" xfId="35103"/>
    <cellStyle name="Normal 7 5 3 5 4" xfId="35104"/>
    <cellStyle name="Normal 7 5 3 5 4 2" xfId="35105"/>
    <cellStyle name="Normal 7 5 3 5 4 2 2" xfId="35106"/>
    <cellStyle name="Normal 7 5 3 5 4 3" xfId="35107"/>
    <cellStyle name="Normal 7 5 3 5 4 3 2" xfId="35108"/>
    <cellStyle name="Normal 7 5 3 5 4 4" xfId="35109"/>
    <cellStyle name="Normal 7 5 3 5 4 4 2" xfId="35110"/>
    <cellStyle name="Normal 7 5 3 5 4 5" xfId="35111"/>
    <cellStyle name="Normal 7 5 3 5 5" xfId="35112"/>
    <cellStyle name="Normal 7 5 3 5 5 2" xfId="35113"/>
    <cellStyle name="Normal 7 5 3 5 6" xfId="35114"/>
    <cellStyle name="Normal 7 5 3 5 6 2" xfId="35115"/>
    <cellStyle name="Normal 7 5 3 5 7" xfId="35116"/>
    <cellStyle name="Normal 7 5 3 5 7 2" xfId="35117"/>
    <cellStyle name="Normal 7 5 3 5 8" xfId="35118"/>
    <cellStyle name="Normal 7 5 3 6" xfId="35119"/>
    <cellStyle name="Normal 7 5 3 6 2" xfId="35120"/>
    <cellStyle name="Normal 7 5 3 6 2 2" xfId="35121"/>
    <cellStyle name="Normal 7 5 3 6 2 2 2" xfId="35122"/>
    <cellStyle name="Normal 7 5 3 6 2 2 2 2" xfId="35123"/>
    <cellStyle name="Normal 7 5 3 6 2 2 3" xfId="35124"/>
    <cellStyle name="Normal 7 5 3 6 2 2 3 2" xfId="35125"/>
    <cellStyle name="Normal 7 5 3 6 2 2 4" xfId="35126"/>
    <cellStyle name="Normal 7 5 3 6 2 2 4 2" xfId="35127"/>
    <cellStyle name="Normal 7 5 3 6 2 2 5" xfId="35128"/>
    <cellStyle name="Normal 7 5 3 6 2 3" xfId="35129"/>
    <cellStyle name="Normal 7 5 3 6 2 3 2" xfId="35130"/>
    <cellStyle name="Normal 7 5 3 6 2 3 2 2" xfId="35131"/>
    <cellStyle name="Normal 7 5 3 6 2 3 3" xfId="35132"/>
    <cellStyle name="Normal 7 5 3 6 2 3 3 2" xfId="35133"/>
    <cellStyle name="Normal 7 5 3 6 2 3 4" xfId="35134"/>
    <cellStyle name="Normal 7 5 3 6 2 3 4 2" xfId="35135"/>
    <cellStyle name="Normal 7 5 3 6 2 3 5" xfId="35136"/>
    <cellStyle name="Normal 7 5 3 6 2 4" xfId="35137"/>
    <cellStyle name="Normal 7 5 3 6 2 4 2" xfId="35138"/>
    <cellStyle name="Normal 7 5 3 6 2 5" xfId="35139"/>
    <cellStyle name="Normal 7 5 3 6 2 5 2" xfId="35140"/>
    <cellStyle name="Normal 7 5 3 6 2 6" xfId="35141"/>
    <cellStyle name="Normal 7 5 3 6 2 6 2" xfId="35142"/>
    <cellStyle name="Normal 7 5 3 6 2 7" xfId="35143"/>
    <cellStyle name="Normal 7 5 3 6 3" xfId="35144"/>
    <cellStyle name="Normal 7 5 3 6 3 2" xfId="35145"/>
    <cellStyle name="Normal 7 5 3 6 3 2 2" xfId="35146"/>
    <cellStyle name="Normal 7 5 3 6 3 3" xfId="35147"/>
    <cellStyle name="Normal 7 5 3 6 3 3 2" xfId="35148"/>
    <cellStyle name="Normal 7 5 3 6 3 4" xfId="35149"/>
    <cellStyle name="Normal 7 5 3 6 3 4 2" xfId="35150"/>
    <cellStyle name="Normal 7 5 3 6 3 5" xfId="35151"/>
    <cellStyle name="Normal 7 5 3 6 4" xfId="35152"/>
    <cellStyle name="Normal 7 5 3 6 4 2" xfId="35153"/>
    <cellStyle name="Normal 7 5 3 6 4 2 2" xfId="35154"/>
    <cellStyle name="Normal 7 5 3 6 4 3" xfId="35155"/>
    <cellStyle name="Normal 7 5 3 6 4 3 2" xfId="35156"/>
    <cellStyle name="Normal 7 5 3 6 4 4" xfId="35157"/>
    <cellStyle name="Normal 7 5 3 6 4 4 2" xfId="35158"/>
    <cellStyle name="Normal 7 5 3 6 4 5" xfId="35159"/>
    <cellStyle name="Normal 7 5 3 6 5" xfId="35160"/>
    <cellStyle name="Normal 7 5 3 6 5 2" xfId="35161"/>
    <cellStyle name="Normal 7 5 3 6 6" xfId="35162"/>
    <cellStyle name="Normal 7 5 3 6 6 2" xfId="35163"/>
    <cellStyle name="Normal 7 5 3 6 7" xfId="35164"/>
    <cellStyle name="Normal 7 5 3 6 7 2" xfId="35165"/>
    <cellStyle name="Normal 7 5 3 6 8" xfId="35166"/>
    <cellStyle name="Normal 7 5 3 7" xfId="35167"/>
    <cellStyle name="Normal 7 5 3 7 2" xfId="35168"/>
    <cellStyle name="Normal 7 5 3 7 2 2" xfId="35169"/>
    <cellStyle name="Normal 7 5 3 7 2 2 2" xfId="35170"/>
    <cellStyle name="Normal 7 5 3 7 2 2 2 2" xfId="35171"/>
    <cellStyle name="Normal 7 5 3 7 2 2 3" xfId="35172"/>
    <cellStyle name="Normal 7 5 3 7 2 2 3 2" xfId="35173"/>
    <cellStyle name="Normal 7 5 3 7 2 2 4" xfId="35174"/>
    <cellStyle name="Normal 7 5 3 7 2 2 4 2" xfId="35175"/>
    <cellStyle name="Normal 7 5 3 7 2 2 5" xfId="35176"/>
    <cellStyle name="Normal 7 5 3 7 2 3" xfId="35177"/>
    <cellStyle name="Normal 7 5 3 7 2 3 2" xfId="35178"/>
    <cellStyle name="Normal 7 5 3 7 2 3 2 2" xfId="35179"/>
    <cellStyle name="Normal 7 5 3 7 2 3 3" xfId="35180"/>
    <cellStyle name="Normal 7 5 3 7 2 3 3 2" xfId="35181"/>
    <cellStyle name="Normal 7 5 3 7 2 3 4" xfId="35182"/>
    <cellStyle name="Normal 7 5 3 7 2 3 4 2" xfId="35183"/>
    <cellStyle name="Normal 7 5 3 7 2 3 5" xfId="35184"/>
    <cellStyle name="Normal 7 5 3 7 2 4" xfId="35185"/>
    <cellStyle name="Normal 7 5 3 7 2 4 2" xfId="35186"/>
    <cellStyle name="Normal 7 5 3 7 2 5" xfId="35187"/>
    <cellStyle name="Normal 7 5 3 7 2 5 2" xfId="35188"/>
    <cellStyle name="Normal 7 5 3 7 2 6" xfId="35189"/>
    <cellStyle name="Normal 7 5 3 7 2 6 2" xfId="35190"/>
    <cellStyle name="Normal 7 5 3 7 2 7" xfId="35191"/>
    <cellStyle name="Normal 7 5 3 7 3" xfId="35192"/>
    <cellStyle name="Normal 7 5 3 7 3 2" xfId="35193"/>
    <cellStyle name="Normal 7 5 3 7 3 2 2" xfId="35194"/>
    <cellStyle name="Normal 7 5 3 7 3 3" xfId="35195"/>
    <cellStyle name="Normal 7 5 3 7 3 3 2" xfId="35196"/>
    <cellStyle name="Normal 7 5 3 7 3 4" xfId="35197"/>
    <cellStyle name="Normal 7 5 3 7 3 4 2" xfId="35198"/>
    <cellStyle name="Normal 7 5 3 7 3 5" xfId="35199"/>
    <cellStyle name="Normal 7 5 3 7 4" xfId="35200"/>
    <cellStyle name="Normal 7 5 3 7 4 2" xfId="35201"/>
    <cellStyle name="Normal 7 5 3 7 4 2 2" xfId="35202"/>
    <cellStyle name="Normal 7 5 3 7 4 3" xfId="35203"/>
    <cellStyle name="Normal 7 5 3 7 4 3 2" xfId="35204"/>
    <cellStyle name="Normal 7 5 3 7 4 4" xfId="35205"/>
    <cellStyle name="Normal 7 5 3 7 4 4 2" xfId="35206"/>
    <cellStyle name="Normal 7 5 3 7 4 5" xfId="35207"/>
    <cellStyle name="Normal 7 5 3 7 5" xfId="35208"/>
    <cellStyle name="Normal 7 5 3 7 5 2" xfId="35209"/>
    <cellStyle name="Normal 7 5 3 7 6" xfId="35210"/>
    <cellStyle name="Normal 7 5 3 7 6 2" xfId="35211"/>
    <cellStyle name="Normal 7 5 3 7 7" xfId="35212"/>
    <cellStyle name="Normal 7 5 3 7 7 2" xfId="35213"/>
    <cellStyle name="Normal 7 5 3 7 8" xfId="35214"/>
    <cellStyle name="Normal 7 5 3 8" xfId="35215"/>
    <cellStyle name="Normal 7 5 3 8 2" xfId="35216"/>
    <cellStyle name="Normal 7 5 3 8 2 2" xfId="35217"/>
    <cellStyle name="Normal 7 5 3 8 2 2 2" xfId="35218"/>
    <cellStyle name="Normal 7 5 3 8 2 3" xfId="35219"/>
    <cellStyle name="Normal 7 5 3 8 2 3 2" xfId="35220"/>
    <cellStyle name="Normal 7 5 3 8 2 4" xfId="35221"/>
    <cellStyle name="Normal 7 5 3 8 2 4 2" xfId="35222"/>
    <cellStyle name="Normal 7 5 3 8 2 5" xfId="35223"/>
    <cellStyle name="Normal 7 5 3 8 3" xfId="35224"/>
    <cellStyle name="Normal 7 5 3 8 3 2" xfId="35225"/>
    <cellStyle name="Normal 7 5 3 8 3 2 2" xfId="35226"/>
    <cellStyle name="Normal 7 5 3 8 3 3" xfId="35227"/>
    <cellStyle name="Normal 7 5 3 8 3 3 2" xfId="35228"/>
    <cellStyle name="Normal 7 5 3 8 3 4" xfId="35229"/>
    <cellStyle name="Normal 7 5 3 8 3 4 2" xfId="35230"/>
    <cellStyle name="Normal 7 5 3 8 3 5" xfId="35231"/>
    <cellStyle name="Normal 7 5 3 8 4" xfId="35232"/>
    <cellStyle name="Normal 7 5 3 8 4 2" xfId="35233"/>
    <cellStyle name="Normal 7 5 3 8 5" xfId="35234"/>
    <cellStyle name="Normal 7 5 3 8 5 2" xfId="35235"/>
    <cellStyle name="Normal 7 5 3 8 6" xfId="35236"/>
    <cellStyle name="Normal 7 5 3 8 6 2" xfId="35237"/>
    <cellStyle name="Normal 7 5 3 8 7" xfId="35238"/>
    <cellStyle name="Normal 7 5 3 9" xfId="35239"/>
    <cellStyle name="Normal 7 5 3 9 2" xfId="35240"/>
    <cellStyle name="Normal 7 5 3 9 2 2" xfId="35241"/>
    <cellStyle name="Normal 7 5 3 9 3" xfId="35242"/>
    <cellStyle name="Normal 7 5 3 9 3 2" xfId="35243"/>
    <cellStyle name="Normal 7 5 3 9 4" xfId="35244"/>
    <cellStyle name="Normal 7 5 3 9 4 2" xfId="35245"/>
    <cellStyle name="Normal 7 5 3 9 5" xfId="35246"/>
    <cellStyle name="Normal 7 5 4" xfId="35247"/>
    <cellStyle name="Normal 7 5 4 10" xfId="35248"/>
    <cellStyle name="Normal 7 5 4 10 2" xfId="35249"/>
    <cellStyle name="Normal 7 5 4 10 2 2" xfId="35250"/>
    <cellStyle name="Normal 7 5 4 10 3" xfId="35251"/>
    <cellStyle name="Normal 7 5 4 10 3 2" xfId="35252"/>
    <cellStyle name="Normal 7 5 4 10 4" xfId="35253"/>
    <cellStyle name="Normal 7 5 4 10 4 2" xfId="35254"/>
    <cellStyle name="Normal 7 5 4 10 5" xfId="35255"/>
    <cellStyle name="Normal 7 5 4 11" xfId="35256"/>
    <cellStyle name="Normal 7 5 4 11 2" xfId="35257"/>
    <cellStyle name="Normal 7 5 4 12" xfId="35258"/>
    <cellStyle name="Normal 7 5 4 12 2" xfId="35259"/>
    <cellStyle name="Normal 7 5 4 13" xfId="35260"/>
    <cellStyle name="Normal 7 5 4 13 2" xfId="35261"/>
    <cellStyle name="Normal 7 5 4 14" xfId="35262"/>
    <cellStyle name="Normal 7 5 4 2" xfId="35263"/>
    <cellStyle name="Normal 7 5 4 2 10" xfId="35264"/>
    <cellStyle name="Normal 7 5 4 2 10 2" xfId="35265"/>
    <cellStyle name="Normal 7 5 4 2 11" xfId="35266"/>
    <cellStyle name="Normal 7 5 4 2 11 2" xfId="35267"/>
    <cellStyle name="Normal 7 5 4 2 12" xfId="35268"/>
    <cellStyle name="Normal 7 5 4 2 12 2" xfId="35269"/>
    <cellStyle name="Normal 7 5 4 2 13" xfId="35270"/>
    <cellStyle name="Normal 7 5 4 2 2" xfId="35271"/>
    <cellStyle name="Normal 7 5 4 2 2 2" xfId="35272"/>
    <cellStyle name="Normal 7 5 4 2 2 2 2" xfId="35273"/>
    <cellStyle name="Normal 7 5 4 2 2 2 2 2" xfId="35274"/>
    <cellStyle name="Normal 7 5 4 2 2 2 2 2 2" xfId="35275"/>
    <cellStyle name="Normal 7 5 4 2 2 2 2 3" xfId="35276"/>
    <cellStyle name="Normal 7 5 4 2 2 2 2 3 2" xfId="35277"/>
    <cellStyle name="Normal 7 5 4 2 2 2 2 4" xfId="35278"/>
    <cellStyle name="Normal 7 5 4 2 2 2 2 4 2" xfId="35279"/>
    <cellStyle name="Normal 7 5 4 2 2 2 2 5" xfId="35280"/>
    <cellStyle name="Normal 7 5 4 2 2 2 3" xfId="35281"/>
    <cellStyle name="Normal 7 5 4 2 2 2 3 2" xfId="35282"/>
    <cellStyle name="Normal 7 5 4 2 2 2 3 2 2" xfId="35283"/>
    <cellStyle name="Normal 7 5 4 2 2 2 3 3" xfId="35284"/>
    <cellStyle name="Normal 7 5 4 2 2 2 3 3 2" xfId="35285"/>
    <cellStyle name="Normal 7 5 4 2 2 2 3 4" xfId="35286"/>
    <cellStyle name="Normal 7 5 4 2 2 2 3 4 2" xfId="35287"/>
    <cellStyle name="Normal 7 5 4 2 2 2 3 5" xfId="35288"/>
    <cellStyle name="Normal 7 5 4 2 2 2 4" xfId="35289"/>
    <cellStyle name="Normal 7 5 4 2 2 2 4 2" xfId="35290"/>
    <cellStyle name="Normal 7 5 4 2 2 2 5" xfId="35291"/>
    <cellStyle name="Normal 7 5 4 2 2 2 5 2" xfId="35292"/>
    <cellStyle name="Normal 7 5 4 2 2 2 6" xfId="35293"/>
    <cellStyle name="Normal 7 5 4 2 2 2 6 2" xfId="35294"/>
    <cellStyle name="Normal 7 5 4 2 2 2 7" xfId="35295"/>
    <cellStyle name="Normal 7 5 4 2 2 3" xfId="35296"/>
    <cellStyle name="Normal 7 5 4 2 2 3 2" xfId="35297"/>
    <cellStyle name="Normal 7 5 4 2 2 3 2 2" xfId="35298"/>
    <cellStyle name="Normal 7 5 4 2 2 3 3" xfId="35299"/>
    <cellStyle name="Normal 7 5 4 2 2 3 3 2" xfId="35300"/>
    <cellStyle name="Normal 7 5 4 2 2 3 4" xfId="35301"/>
    <cellStyle name="Normal 7 5 4 2 2 3 4 2" xfId="35302"/>
    <cellStyle name="Normal 7 5 4 2 2 3 5" xfId="35303"/>
    <cellStyle name="Normal 7 5 4 2 2 4" xfId="35304"/>
    <cellStyle name="Normal 7 5 4 2 2 4 2" xfId="35305"/>
    <cellStyle name="Normal 7 5 4 2 2 4 2 2" xfId="35306"/>
    <cellStyle name="Normal 7 5 4 2 2 4 3" xfId="35307"/>
    <cellStyle name="Normal 7 5 4 2 2 4 3 2" xfId="35308"/>
    <cellStyle name="Normal 7 5 4 2 2 4 4" xfId="35309"/>
    <cellStyle name="Normal 7 5 4 2 2 4 4 2" xfId="35310"/>
    <cellStyle name="Normal 7 5 4 2 2 4 5" xfId="35311"/>
    <cellStyle name="Normal 7 5 4 2 2 5" xfId="35312"/>
    <cellStyle name="Normal 7 5 4 2 2 5 2" xfId="35313"/>
    <cellStyle name="Normal 7 5 4 2 2 6" xfId="35314"/>
    <cellStyle name="Normal 7 5 4 2 2 6 2" xfId="35315"/>
    <cellStyle name="Normal 7 5 4 2 2 7" xfId="35316"/>
    <cellStyle name="Normal 7 5 4 2 2 7 2" xfId="35317"/>
    <cellStyle name="Normal 7 5 4 2 2 8" xfId="35318"/>
    <cellStyle name="Normal 7 5 4 2 3" xfId="35319"/>
    <cellStyle name="Normal 7 5 4 2 3 2" xfId="35320"/>
    <cellStyle name="Normal 7 5 4 2 3 2 2" xfId="35321"/>
    <cellStyle name="Normal 7 5 4 2 3 2 2 2" xfId="35322"/>
    <cellStyle name="Normal 7 5 4 2 3 2 2 2 2" xfId="35323"/>
    <cellStyle name="Normal 7 5 4 2 3 2 2 3" xfId="35324"/>
    <cellStyle name="Normal 7 5 4 2 3 2 2 3 2" xfId="35325"/>
    <cellStyle name="Normal 7 5 4 2 3 2 2 4" xfId="35326"/>
    <cellStyle name="Normal 7 5 4 2 3 2 2 4 2" xfId="35327"/>
    <cellStyle name="Normal 7 5 4 2 3 2 2 5" xfId="35328"/>
    <cellStyle name="Normal 7 5 4 2 3 2 3" xfId="35329"/>
    <cellStyle name="Normal 7 5 4 2 3 2 3 2" xfId="35330"/>
    <cellStyle name="Normal 7 5 4 2 3 2 3 2 2" xfId="35331"/>
    <cellStyle name="Normal 7 5 4 2 3 2 3 3" xfId="35332"/>
    <cellStyle name="Normal 7 5 4 2 3 2 3 3 2" xfId="35333"/>
    <cellStyle name="Normal 7 5 4 2 3 2 3 4" xfId="35334"/>
    <cellStyle name="Normal 7 5 4 2 3 2 3 4 2" xfId="35335"/>
    <cellStyle name="Normal 7 5 4 2 3 2 3 5" xfId="35336"/>
    <cellStyle name="Normal 7 5 4 2 3 2 4" xfId="35337"/>
    <cellStyle name="Normal 7 5 4 2 3 2 4 2" xfId="35338"/>
    <cellStyle name="Normal 7 5 4 2 3 2 5" xfId="35339"/>
    <cellStyle name="Normal 7 5 4 2 3 2 5 2" xfId="35340"/>
    <cellStyle name="Normal 7 5 4 2 3 2 6" xfId="35341"/>
    <cellStyle name="Normal 7 5 4 2 3 2 6 2" xfId="35342"/>
    <cellStyle name="Normal 7 5 4 2 3 2 7" xfId="35343"/>
    <cellStyle name="Normal 7 5 4 2 3 3" xfId="35344"/>
    <cellStyle name="Normal 7 5 4 2 3 3 2" xfId="35345"/>
    <cellStyle name="Normal 7 5 4 2 3 3 2 2" xfId="35346"/>
    <cellStyle name="Normal 7 5 4 2 3 3 3" xfId="35347"/>
    <cellStyle name="Normal 7 5 4 2 3 3 3 2" xfId="35348"/>
    <cellStyle name="Normal 7 5 4 2 3 3 4" xfId="35349"/>
    <cellStyle name="Normal 7 5 4 2 3 3 4 2" xfId="35350"/>
    <cellStyle name="Normal 7 5 4 2 3 3 5" xfId="35351"/>
    <cellStyle name="Normal 7 5 4 2 3 4" xfId="35352"/>
    <cellStyle name="Normal 7 5 4 2 3 4 2" xfId="35353"/>
    <cellStyle name="Normal 7 5 4 2 3 4 2 2" xfId="35354"/>
    <cellStyle name="Normal 7 5 4 2 3 4 3" xfId="35355"/>
    <cellStyle name="Normal 7 5 4 2 3 4 3 2" xfId="35356"/>
    <cellStyle name="Normal 7 5 4 2 3 4 4" xfId="35357"/>
    <cellStyle name="Normal 7 5 4 2 3 4 4 2" xfId="35358"/>
    <cellStyle name="Normal 7 5 4 2 3 4 5" xfId="35359"/>
    <cellStyle name="Normal 7 5 4 2 3 5" xfId="35360"/>
    <cellStyle name="Normal 7 5 4 2 3 5 2" xfId="35361"/>
    <cellStyle name="Normal 7 5 4 2 3 6" xfId="35362"/>
    <cellStyle name="Normal 7 5 4 2 3 6 2" xfId="35363"/>
    <cellStyle name="Normal 7 5 4 2 3 7" xfId="35364"/>
    <cellStyle name="Normal 7 5 4 2 3 7 2" xfId="35365"/>
    <cellStyle name="Normal 7 5 4 2 3 8" xfId="35366"/>
    <cellStyle name="Normal 7 5 4 2 4" xfId="35367"/>
    <cellStyle name="Normal 7 5 4 2 4 2" xfId="35368"/>
    <cellStyle name="Normal 7 5 4 2 4 2 2" xfId="35369"/>
    <cellStyle name="Normal 7 5 4 2 4 2 2 2" xfId="35370"/>
    <cellStyle name="Normal 7 5 4 2 4 2 2 2 2" xfId="35371"/>
    <cellStyle name="Normal 7 5 4 2 4 2 2 3" xfId="35372"/>
    <cellStyle name="Normal 7 5 4 2 4 2 2 3 2" xfId="35373"/>
    <cellStyle name="Normal 7 5 4 2 4 2 2 4" xfId="35374"/>
    <cellStyle name="Normal 7 5 4 2 4 2 2 4 2" xfId="35375"/>
    <cellStyle name="Normal 7 5 4 2 4 2 2 5" xfId="35376"/>
    <cellStyle name="Normal 7 5 4 2 4 2 3" xfId="35377"/>
    <cellStyle name="Normal 7 5 4 2 4 2 3 2" xfId="35378"/>
    <cellStyle name="Normal 7 5 4 2 4 2 3 2 2" xfId="35379"/>
    <cellStyle name="Normal 7 5 4 2 4 2 3 3" xfId="35380"/>
    <cellStyle name="Normal 7 5 4 2 4 2 3 3 2" xfId="35381"/>
    <cellStyle name="Normal 7 5 4 2 4 2 3 4" xfId="35382"/>
    <cellStyle name="Normal 7 5 4 2 4 2 3 4 2" xfId="35383"/>
    <cellStyle name="Normal 7 5 4 2 4 2 3 5" xfId="35384"/>
    <cellStyle name="Normal 7 5 4 2 4 2 4" xfId="35385"/>
    <cellStyle name="Normal 7 5 4 2 4 2 4 2" xfId="35386"/>
    <cellStyle name="Normal 7 5 4 2 4 2 5" xfId="35387"/>
    <cellStyle name="Normal 7 5 4 2 4 2 5 2" xfId="35388"/>
    <cellStyle name="Normal 7 5 4 2 4 2 6" xfId="35389"/>
    <cellStyle name="Normal 7 5 4 2 4 2 6 2" xfId="35390"/>
    <cellStyle name="Normal 7 5 4 2 4 2 7" xfId="35391"/>
    <cellStyle name="Normal 7 5 4 2 4 3" xfId="35392"/>
    <cellStyle name="Normal 7 5 4 2 4 3 2" xfId="35393"/>
    <cellStyle name="Normal 7 5 4 2 4 3 2 2" xfId="35394"/>
    <cellStyle name="Normal 7 5 4 2 4 3 3" xfId="35395"/>
    <cellStyle name="Normal 7 5 4 2 4 3 3 2" xfId="35396"/>
    <cellStyle name="Normal 7 5 4 2 4 3 4" xfId="35397"/>
    <cellStyle name="Normal 7 5 4 2 4 3 4 2" xfId="35398"/>
    <cellStyle name="Normal 7 5 4 2 4 3 5" xfId="35399"/>
    <cellStyle name="Normal 7 5 4 2 4 4" xfId="35400"/>
    <cellStyle name="Normal 7 5 4 2 4 4 2" xfId="35401"/>
    <cellStyle name="Normal 7 5 4 2 4 4 2 2" xfId="35402"/>
    <cellStyle name="Normal 7 5 4 2 4 4 3" xfId="35403"/>
    <cellStyle name="Normal 7 5 4 2 4 4 3 2" xfId="35404"/>
    <cellStyle name="Normal 7 5 4 2 4 4 4" xfId="35405"/>
    <cellStyle name="Normal 7 5 4 2 4 4 4 2" xfId="35406"/>
    <cellStyle name="Normal 7 5 4 2 4 4 5" xfId="35407"/>
    <cellStyle name="Normal 7 5 4 2 4 5" xfId="35408"/>
    <cellStyle name="Normal 7 5 4 2 4 5 2" xfId="35409"/>
    <cellStyle name="Normal 7 5 4 2 4 6" xfId="35410"/>
    <cellStyle name="Normal 7 5 4 2 4 6 2" xfId="35411"/>
    <cellStyle name="Normal 7 5 4 2 4 7" xfId="35412"/>
    <cellStyle name="Normal 7 5 4 2 4 7 2" xfId="35413"/>
    <cellStyle name="Normal 7 5 4 2 4 8" xfId="35414"/>
    <cellStyle name="Normal 7 5 4 2 5" xfId="35415"/>
    <cellStyle name="Normal 7 5 4 2 5 2" xfId="35416"/>
    <cellStyle name="Normal 7 5 4 2 5 2 2" xfId="35417"/>
    <cellStyle name="Normal 7 5 4 2 5 2 2 2" xfId="35418"/>
    <cellStyle name="Normal 7 5 4 2 5 2 2 2 2" xfId="35419"/>
    <cellStyle name="Normal 7 5 4 2 5 2 2 3" xfId="35420"/>
    <cellStyle name="Normal 7 5 4 2 5 2 2 3 2" xfId="35421"/>
    <cellStyle name="Normal 7 5 4 2 5 2 2 4" xfId="35422"/>
    <cellStyle name="Normal 7 5 4 2 5 2 2 4 2" xfId="35423"/>
    <cellStyle name="Normal 7 5 4 2 5 2 2 5" xfId="35424"/>
    <cellStyle name="Normal 7 5 4 2 5 2 3" xfId="35425"/>
    <cellStyle name="Normal 7 5 4 2 5 2 3 2" xfId="35426"/>
    <cellStyle name="Normal 7 5 4 2 5 2 3 2 2" xfId="35427"/>
    <cellStyle name="Normal 7 5 4 2 5 2 3 3" xfId="35428"/>
    <cellStyle name="Normal 7 5 4 2 5 2 3 3 2" xfId="35429"/>
    <cellStyle name="Normal 7 5 4 2 5 2 3 4" xfId="35430"/>
    <cellStyle name="Normal 7 5 4 2 5 2 3 4 2" xfId="35431"/>
    <cellStyle name="Normal 7 5 4 2 5 2 3 5" xfId="35432"/>
    <cellStyle name="Normal 7 5 4 2 5 2 4" xfId="35433"/>
    <cellStyle name="Normal 7 5 4 2 5 2 4 2" xfId="35434"/>
    <cellStyle name="Normal 7 5 4 2 5 2 5" xfId="35435"/>
    <cellStyle name="Normal 7 5 4 2 5 2 5 2" xfId="35436"/>
    <cellStyle name="Normal 7 5 4 2 5 2 6" xfId="35437"/>
    <cellStyle name="Normal 7 5 4 2 5 2 6 2" xfId="35438"/>
    <cellStyle name="Normal 7 5 4 2 5 2 7" xfId="35439"/>
    <cellStyle name="Normal 7 5 4 2 5 3" xfId="35440"/>
    <cellStyle name="Normal 7 5 4 2 5 3 2" xfId="35441"/>
    <cellStyle name="Normal 7 5 4 2 5 3 2 2" xfId="35442"/>
    <cellStyle name="Normal 7 5 4 2 5 3 3" xfId="35443"/>
    <cellStyle name="Normal 7 5 4 2 5 3 3 2" xfId="35444"/>
    <cellStyle name="Normal 7 5 4 2 5 3 4" xfId="35445"/>
    <cellStyle name="Normal 7 5 4 2 5 3 4 2" xfId="35446"/>
    <cellStyle name="Normal 7 5 4 2 5 3 5" xfId="35447"/>
    <cellStyle name="Normal 7 5 4 2 5 4" xfId="35448"/>
    <cellStyle name="Normal 7 5 4 2 5 4 2" xfId="35449"/>
    <cellStyle name="Normal 7 5 4 2 5 4 2 2" xfId="35450"/>
    <cellStyle name="Normal 7 5 4 2 5 4 3" xfId="35451"/>
    <cellStyle name="Normal 7 5 4 2 5 4 3 2" xfId="35452"/>
    <cellStyle name="Normal 7 5 4 2 5 4 4" xfId="35453"/>
    <cellStyle name="Normal 7 5 4 2 5 4 4 2" xfId="35454"/>
    <cellStyle name="Normal 7 5 4 2 5 4 5" xfId="35455"/>
    <cellStyle name="Normal 7 5 4 2 5 5" xfId="35456"/>
    <cellStyle name="Normal 7 5 4 2 5 5 2" xfId="35457"/>
    <cellStyle name="Normal 7 5 4 2 5 6" xfId="35458"/>
    <cellStyle name="Normal 7 5 4 2 5 6 2" xfId="35459"/>
    <cellStyle name="Normal 7 5 4 2 5 7" xfId="35460"/>
    <cellStyle name="Normal 7 5 4 2 5 7 2" xfId="35461"/>
    <cellStyle name="Normal 7 5 4 2 5 8" xfId="35462"/>
    <cellStyle name="Normal 7 5 4 2 6" xfId="35463"/>
    <cellStyle name="Normal 7 5 4 2 6 2" xfId="35464"/>
    <cellStyle name="Normal 7 5 4 2 6 2 2" xfId="35465"/>
    <cellStyle name="Normal 7 5 4 2 6 2 2 2" xfId="35466"/>
    <cellStyle name="Normal 7 5 4 2 6 2 2 2 2" xfId="35467"/>
    <cellStyle name="Normal 7 5 4 2 6 2 2 3" xfId="35468"/>
    <cellStyle name="Normal 7 5 4 2 6 2 2 3 2" xfId="35469"/>
    <cellStyle name="Normal 7 5 4 2 6 2 2 4" xfId="35470"/>
    <cellStyle name="Normal 7 5 4 2 6 2 2 4 2" xfId="35471"/>
    <cellStyle name="Normal 7 5 4 2 6 2 2 5" xfId="35472"/>
    <cellStyle name="Normal 7 5 4 2 6 2 3" xfId="35473"/>
    <cellStyle name="Normal 7 5 4 2 6 2 3 2" xfId="35474"/>
    <cellStyle name="Normal 7 5 4 2 6 2 3 2 2" xfId="35475"/>
    <cellStyle name="Normal 7 5 4 2 6 2 3 3" xfId="35476"/>
    <cellStyle name="Normal 7 5 4 2 6 2 3 3 2" xfId="35477"/>
    <cellStyle name="Normal 7 5 4 2 6 2 3 4" xfId="35478"/>
    <cellStyle name="Normal 7 5 4 2 6 2 3 4 2" xfId="35479"/>
    <cellStyle name="Normal 7 5 4 2 6 2 3 5" xfId="35480"/>
    <cellStyle name="Normal 7 5 4 2 6 2 4" xfId="35481"/>
    <cellStyle name="Normal 7 5 4 2 6 2 4 2" xfId="35482"/>
    <cellStyle name="Normal 7 5 4 2 6 2 5" xfId="35483"/>
    <cellStyle name="Normal 7 5 4 2 6 2 5 2" xfId="35484"/>
    <cellStyle name="Normal 7 5 4 2 6 2 6" xfId="35485"/>
    <cellStyle name="Normal 7 5 4 2 6 2 6 2" xfId="35486"/>
    <cellStyle name="Normal 7 5 4 2 6 2 7" xfId="35487"/>
    <cellStyle name="Normal 7 5 4 2 6 3" xfId="35488"/>
    <cellStyle name="Normal 7 5 4 2 6 3 2" xfId="35489"/>
    <cellStyle name="Normal 7 5 4 2 6 3 2 2" xfId="35490"/>
    <cellStyle name="Normal 7 5 4 2 6 3 3" xfId="35491"/>
    <cellStyle name="Normal 7 5 4 2 6 3 3 2" xfId="35492"/>
    <cellStyle name="Normal 7 5 4 2 6 3 4" xfId="35493"/>
    <cellStyle name="Normal 7 5 4 2 6 3 4 2" xfId="35494"/>
    <cellStyle name="Normal 7 5 4 2 6 3 5" xfId="35495"/>
    <cellStyle name="Normal 7 5 4 2 6 4" xfId="35496"/>
    <cellStyle name="Normal 7 5 4 2 6 4 2" xfId="35497"/>
    <cellStyle name="Normal 7 5 4 2 6 4 2 2" xfId="35498"/>
    <cellStyle name="Normal 7 5 4 2 6 4 3" xfId="35499"/>
    <cellStyle name="Normal 7 5 4 2 6 4 3 2" xfId="35500"/>
    <cellStyle name="Normal 7 5 4 2 6 4 4" xfId="35501"/>
    <cellStyle name="Normal 7 5 4 2 6 4 4 2" xfId="35502"/>
    <cellStyle name="Normal 7 5 4 2 6 4 5" xfId="35503"/>
    <cellStyle name="Normal 7 5 4 2 6 5" xfId="35504"/>
    <cellStyle name="Normal 7 5 4 2 6 5 2" xfId="35505"/>
    <cellStyle name="Normal 7 5 4 2 6 6" xfId="35506"/>
    <cellStyle name="Normal 7 5 4 2 6 6 2" xfId="35507"/>
    <cellStyle name="Normal 7 5 4 2 6 7" xfId="35508"/>
    <cellStyle name="Normal 7 5 4 2 6 7 2" xfId="35509"/>
    <cellStyle name="Normal 7 5 4 2 6 8" xfId="35510"/>
    <cellStyle name="Normal 7 5 4 2 7" xfId="35511"/>
    <cellStyle name="Normal 7 5 4 2 7 2" xfId="35512"/>
    <cellStyle name="Normal 7 5 4 2 7 2 2" xfId="35513"/>
    <cellStyle name="Normal 7 5 4 2 7 2 2 2" xfId="35514"/>
    <cellStyle name="Normal 7 5 4 2 7 2 3" xfId="35515"/>
    <cellStyle name="Normal 7 5 4 2 7 2 3 2" xfId="35516"/>
    <cellStyle name="Normal 7 5 4 2 7 2 4" xfId="35517"/>
    <cellStyle name="Normal 7 5 4 2 7 2 4 2" xfId="35518"/>
    <cellStyle name="Normal 7 5 4 2 7 2 5" xfId="35519"/>
    <cellStyle name="Normal 7 5 4 2 7 3" xfId="35520"/>
    <cellStyle name="Normal 7 5 4 2 7 3 2" xfId="35521"/>
    <cellStyle name="Normal 7 5 4 2 7 3 2 2" xfId="35522"/>
    <cellStyle name="Normal 7 5 4 2 7 3 3" xfId="35523"/>
    <cellStyle name="Normal 7 5 4 2 7 3 3 2" xfId="35524"/>
    <cellStyle name="Normal 7 5 4 2 7 3 4" xfId="35525"/>
    <cellStyle name="Normal 7 5 4 2 7 3 4 2" xfId="35526"/>
    <cellStyle name="Normal 7 5 4 2 7 3 5" xfId="35527"/>
    <cellStyle name="Normal 7 5 4 2 7 4" xfId="35528"/>
    <cellStyle name="Normal 7 5 4 2 7 4 2" xfId="35529"/>
    <cellStyle name="Normal 7 5 4 2 7 5" xfId="35530"/>
    <cellStyle name="Normal 7 5 4 2 7 5 2" xfId="35531"/>
    <cellStyle name="Normal 7 5 4 2 7 6" xfId="35532"/>
    <cellStyle name="Normal 7 5 4 2 7 6 2" xfId="35533"/>
    <cellStyle name="Normal 7 5 4 2 7 7" xfId="35534"/>
    <cellStyle name="Normal 7 5 4 2 8" xfId="35535"/>
    <cellStyle name="Normal 7 5 4 2 8 2" xfId="35536"/>
    <cellStyle name="Normal 7 5 4 2 8 2 2" xfId="35537"/>
    <cellStyle name="Normal 7 5 4 2 8 3" xfId="35538"/>
    <cellStyle name="Normal 7 5 4 2 8 3 2" xfId="35539"/>
    <cellStyle name="Normal 7 5 4 2 8 4" xfId="35540"/>
    <cellStyle name="Normal 7 5 4 2 8 4 2" xfId="35541"/>
    <cellStyle name="Normal 7 5 4 2 8 5" xfId="35542"/>
    <cellStyle name="Normal 7 5 4 2 9" xfId="35543"/>
    <cellStyle name="Normal 7 5 4 2 9 2" xfId="35544"/>
    <cellStyle name="Normal 7 5 4 2 9 2 2" xfId="35545"/>
    <cellStyle name="Normal 7 5 4 2 9 3" xfId="35546"/>
    <cellStyle name="Normal 7 5 4 2 9 3 2" xfId="35547"/>
    <cellStyle name="Normal 7 5 4 2 9 4" xfId="35548"/>
    <cellStyle name="Normal 7 5 4 2 9 4 2" xfId="35549"/>
    <cellStyle name="Normal 7 5 4 2 9 5" xfId="35550"/>
    <cellStyle name="Normal 7 5 4 3" xfId="35551"/>
    <cellStyle name="Normal 7 5 4 3 2" xfId="35552"/>
    <cellStyle name="Normal 7 5 4 3 2 2" xfId="35553"/>
    <cellStyle name="Normal 7 5 4 3 2 2 2" xfId="35554"/>
    <cellStyle name="Normal 7 5 4 3 2 2 2 2" xfId="35555"/>
    <cellStyle name="Normal 7 5 4 3 2 2 3" xfId="35556"/>
    <cellStyle name="Normal 7 5 4 3 2 2 3 2" xfId="35557"/>
    <cellStyle name="Normal 7 5 4 3 2 2 4" xfId="35558"/>
    <cellStyle name="Normal 7 5 4 3 2 2 4 2" xfId="35559"/>
    <cellStyle name="Normal 7 5 4 3 2 2 5" xfId="35560"/>
    <cellStyle name="Normal 7 5 4 3 2 3" xfId="35561"/>
    <cellStyle name="Normal 7 5 4 3 2 3 2" xfId="35562"/>
    <cellStyle name="Normal 7 5 4 3 2 3 2 2" xfId="35563"/>
    <cellStyle name="Normal 7 5 4 3 2 3 3" xfId="35564"/>
    <cellStyle name="Normal 7 5 4 3 2 3 3 2" xfId="35565"/>
    <cellStyle name="Normal 7 5 4 3 2 3 4" xfId="35566"/>
    <cellStyle name="Normal 7 5 4 3 2 3 4 2" xfId="35567"/>
    <cellStyle name="Normal 7 5 4 3 2 3 5" xfId="35568"/>
    <cellStyle name="Normal 7 5 4 3 2 4" xfId="35569"/>
    <cellStyle name="Normal 7 5 4 3 2 4 2" xfId="35570"/>
    <cellStyle name="Normal 7 5 4 3 2 5" xfId="35571"/>
    <cellStyle name="Normal 7 5 4 3 2 5 2" xfId="35572"/>
    <cellStyle name="Normal 7 5 4 3 2 6" xfId="35573"/>
    <cellStyle name="Normal 7 5 4 3 2 6 2" xfId="35574"/>
    <cellStyle name="Normal 7 5 4 3 2 7" xfId="35575"/>
    <cellStyle name="Normal 7 5 4 3 3" xfId="35576"/>
    <cellStyle name="Normal 7 5 4 3 3 2" xfId="35577"/>
    <cellStyle name="Normal 7 5 4 3 3 2 2" xfId="35578"/>
    <cellStyle name="Normal 7 5 4 3 3 3" xfId="35579"/>
    <cellStyle name="Normal 7 5 4 3 3 3 2" xfId="35580"/>
    <cellStyle name="Normal 7 5 4 3 3 4" xfId="35581"/>
    <cellStyle name="Normal 7 5 4 3 3 4 2" xfId="35582"/>
    <cellStyle name="Normal 7 5 4 3 3 5" xfId="35583"/>
    <cellStyle name="Normal 7 5 4 3 4" xfId="35584"/>
    <cellStyle name="Normal 7 5 4 3 4 2" xfId="35585"/>
    <cellStyle name="Normal 7 5 4 3 4 2 2" xfId="35586"/>
    <cellStyle name="Normal 7 5 4 3 4 3" xfId="35587"/>
    <cellStyle name="Normal 7 5 4 3 4 3 2" xfId="35588"/>
    <cellStyle name="Normal 7 5 4 3 4 4" xfId="35589"/>
    <cellStyle name="Normal 7 5 4 3 4 4 2" xfId="35590"/>
    <cellStyle name="Normal 7 5 4 3 4 5" xfId="35591"/>
    <cellStyle name="Normal 7 5 4 3 5" xfId="35592"/>
    <cellStyle name="Normal 7 5 4 3 5 2" xfId="35593"/>
    <cellStyle name="Normal 7 5 4 3 6" xfId="35594"/>
    <cellStyle name="Normal 7 5 4 3 6 2" xfId="35595"/>
    <cellStyle name="Normal 7 5 4 3 7" xfId="35596"/>
    <cellStyle name="Normal 7 5 4 3 7 2" xfId="35597"/>
    <cellStyle name="Normal 7 5 4 3 8" xfId="35598"/>
    <cellStyle name="Normal 7 5 4 4" xfId="35599"/>
    <cellStyle name="Normal 7 5 4 4 2" xfId="35600"/>
    <cellStyle name="Normal 7 5 4 4 2 2" xfId="35601"/>
    <cellStyle name="Normal 7 5 4 4 2 2 2" xfId="35602"/>
    <cellStyle name="Normal 7 5 4 4 2 2 2 2" xfId="35603"/>
    <cellStyle name="Normal 7 5 4 4 2 2 3" xfId="35604"/>
    <cellStyle name="Normal 7 5 4 4 2 2 3 2" xfId="35605"/>
    <cellStyle name="Normal 7 5 4 4 2 2 4" xfId="35606"/>
    <cellStyle name="Normal 7 5 4 4 2 2 4 2" xfId="35607"/>
    <cellStyle name="Normal 7 5 4 4 2 2 5" xfId="35608"/>
    <cellStyle name="Normal 7 5 4 4 2 3" xfId="35609"/>
    <cellStyle name="Normal 7 5 4 4 2 3 2" xfId="35610"/>
    <cellStyle name="Normal 7 5 4 4 2 3 2 2" xfId="35611"/>
    <cellStyle name="Normal 7 5 4 4 2 3 3" xfId="35612"/>
    <cellStyle name="Normal 7 5 4 4 2 3 3 2" xfId="35613"/>
    <cellStyle name="Normal 7 5 4 4 2 3 4" xfId="35614"/>
    <cellStyle name="Normal 7 5 4 4 2 3 4 2" xfId="35615"/>
    <cellStyle name="Normal 7 5 4 4 2 3 5" xfId="35616"/>
    <cellStyle name="Normal 7 5 4 4 2 4" xfId="35617"/>
    <cellStyle name="Normal 7 5 4 4 2 4 2" xfId="35618"/>
    <cellStyle name="Normal 7 5 4 4 2 5" xfId="35619"/>
    <cellStyle name="Normal 7 5 4 4 2 5 2" xfId="35620"/>
    <cellStyle name="Normal 7 5 4 4 2 6" xfId="35621"/>
    <cellStyle name="Normal 7 5 4 4 2 6 2" xfId="35622"/>
    <cellStyle name="Normal 7 5 4 4 2 7" xfId="35623"/>
    <cellStyle name="Normal 7 5 4 4 3" xfId="35624"/>
    <cellStyle name="Normal 7 5 4 4 3 2" xfId="35625"/>
    <cellStyle name="Normal 7 5 4 4 3 2 2" xfId="35626"/>
    <cellStyle name="Normal 7 5 4 4 3 3" xfId="35627"/>
    <cellStyle name="Normal 7 5 4 4 3 3 2" xfId="35628"/>
    <cellStyle name="Normal 7 5 4 4 3 4" xfId="35629"/>
    <cellStyle name="Normal 7 5 4 4 3 4 2" xfId="35630"/>
    <cellStyle name="Normal 7 5 4 4 3 5" xfId="35631"/>
    <cellStyle name="Normal 7 5 4 4 4" xfId="35632"/>
    <cellStyle name="Normal 7 5 4 4 4 2" xfId="35633"/>
    <cellStyle name="Normal 7 5 4 4 4 2 2" xfId="35634"/>
    <cellStyle name="Normal 7 5 4 4 4 3" xfId="35635"/>
    <cellStyle name="Normal 7 5 4 4 4 3 2" xfId="35636"/>
    <cellStyle name="Normal 7 5 4 4 4 4" xfId="35637"/>
    <cellStyle name="Normal 7 5 4 4 4 4 2" xfId="35638"/>
    <cellStyle name="Normal 7 5 4 4 4 5" xfId="35639"/>
    <cellStyle name="Normal 7 5 4 4 5" xfId="35640"/>
    <cellStyle name="Normal 7 5 4 4 5 2" xfId="35641"/>
    <cellStyle name="Normal 7 5 4 4 6" xfId="35642"/>
    <cellStyle name="Normal 7 5 4 4 6 2" xfId="35643"/>
    <cellStyle name="Normal 7 5 4 4 7" xfId="35644"/>
    <cellStyle name="Normal 7 5 4 4 7 2" xfId="35645"/>
    <cellStyle name="Normal 7 5 4 4 8" xfId="35646"/>
    <cellStyle name="Normal 7 5 4 5" xfId="35647"/>
    <cellStyle name="Normal 7 5 4 5 2" xfId="35648"/>
    <cellStyle name="Normal 7 5 4 5 2 2" xfId="35649"/>
    <cellStyle name="Normal 7 5 4 5 2 2 2" xfId="35650"/>
    <cellStyle name="Normal 7 5 4 5 2 2 2 2" xfId="35651"/>
    <cellStyle name="Normal 7 5 4 5 2 2 3" xfId="35652"/>
    <cellStyle name="Normal 7 5 4 5 2 2 3 2" xfId="35653"/>
    <cellStyle name="Normal 7 5 4 5 2 2 4" xfId="35654"/>
    <cellStyle name="Normal 7 5 4 5 2 2 4 2" xfId="35655"/>
    <cellStyle name="Normal 7 5 4 5 2 2 5" xfId="35656"/>
    <cellStyle name="Normal 7 5 4 5 2 3" xfId="35657"/>
    <cellStyle name="Normal 7 5 4 5 2 3 2" xfId="35658"/>
    <cellStyle name="Normal 7 5 4 5 2 3 2 2" xfId="35659"/>
    <cellStyle name="Normal 7 5 4 5 2 3 3" xfId="35660"/>
    <cellStyle name="Normal 7 5 4 5 2 3 3 2" xfId="35661"/>
    <cellStyle name="Normal 7 5 4 5 2 3 4" xfId="35662"/>
    <cellStyle name="Normal 7 5 4 5 2 3 4 2" xfId="35663"/>
    <cellStyle name="Normal 7 5 4 5 2 3 5" xfId="35664"/>
    <cellStyle name="Normal 7 5 4 5 2 4" xfId="35665"/>
    <cellStyle name="Normal 7 5 4 5 2 4 2" xfId="35666"/>
    <cellStyle name="Normal 7 5 4 5 2 5" xfId="35667"/>
    <cellStyle name="Normal 7 5 4 5 2 5 2" xfId="35668"/>
    <cellStyle name="Normal 7 5 4 5 2 6" xfId="35669"/>
    <cellStyle name="Normal 7 5 4 5 2 6 2" xfId="35670"/>
    <cellStyle name="Normal 7 5 4 5 2 7" xfId="35671"/>
    <cellStyle name="Normal 7 5 4 5 3" xfId="35672"/>
    <cellStyle name="Normal 7 5 4 5 3 2" xfId="35673"/>
    <cellStyle name="Normal 7 5 4 5 3 2 2" xfId="35674"/>
    <cellStyle name="Normal 7 5 4 5 3 3" xfId="35675"/>
    <cellStyle name="Normal 7 5 4 5 3 3 2" xfId="35676"/>
    <cellStyle name="Normal 7 5 4 5 3 4" xfId="35677"/>
    <cellStyle name="Normal 7 5 4 5 3 4 2" xfId="35678"/>
    <cellStyle name="Normal 7 5 4 5 3 5" xfId="35679"/>
    <cellStyle name="Normal 7 5 4 5 4" xfId="35680"/>
    <cellStyle name="Normal 7 5 4 5 4 2" xfId="35681"/>
    <cellStyle name="Normal 7 5 4 5 4 2 2" xfId="35682"/>
    <cellStyle name="Normal 7 5 4 5 4 3" xfId="35683"/>
    <cellStyle name="Normal 7 5 4 5 4 3 2" xfId="35684"/>
    <cellStyle name="Normal 7 5 4 5 4 4" xfId="35685"/>
    <cellStyle name="Normal 7 5 4 5 4 4 2" xfId="35686"/>
    <cellStyle name="Normal 7 5 4 5 4 5" xfId="35687"/>
    <cellStyle name="Normal 7 5 4 5 5" xfId="35688"/>
    <cellStyle name="Normal 7 5 4 5 5 2" xfId="35689"/>
    <cellStyle name="Normal 7 5 4 5 6" xfId="35690"/>
    <cellStyle name="Normal 7 5 4 5 6 2" xfId="35691"/>
    <cellStyle name="Normal 7 5 4 5 7" xfId="35692"/>
    <cellStyle name="Normal 7 5 4 5 7 2" xfId="35693"/>
    <cellStyle name="Normal 7 5 4 5 8" xfId="35694"/>
    <cellStyle name="Normal 7 5 4 6" xfId="35695"/>
    <cellStyle name="Normal 7 5 4 6 2" xfId="35696"/>
    <cellStyle name="Normal 7 5 4 6 2 2" xfId="35697"/>
    <cellStyle name="Normal 7 5 4 6 2 2 2" xfId="35698"/>
    <cellStyle name="Normal 7 5 4 6 2 2 2 2" xfId="35699"/>
    <cellStyle name="Normal 7 5 4 6 2 2 3" xfId="35700"/>
    <cellStyle name="Normal 7 5 4 6 2 2 3 2" xfId="35701"/>
    <cellStyle name="Normal 7 5 4 6 2 2 4" xfId="35702"/>
    <cellStyle name="Normal 7 5 4 6 2 2 4 2" xfId="35703"/>
    <cellStyle name="Normal 7 5 4 6 2 2 5" xfId="35704"/>
    <cellStyle name="Normal 7 5 4 6 2 3" xfId="35705"/>
    <cellStyle name="Normal 7 5 4 6 2 3 2" xfId="35706"/>
    <cellStyle name="Normal 7 5 4 6 2 3 2 2" xfId="35707"/>
    <cellStyle name="Normal 7 5 4 6 2 3 3" xfId="35708"/>
    <cellStyle name="Normal 7 5 4 6 2 3 3 2" xfId="35709"/>
    <cellStyle name="Normal 7 5 4 6 2 3 4" xfId="35710"/>
    <cellStyle name="Normal 7 5 4 6 2 3 4 2" xfId="35711"/>
    <cellStyle name="Normal 7 5 4 6 2 3 5" xfId="35712"/>
    <cellStyle name="Normal 7 5 4 6 2 4" xfId="35713"/>
    <cellStyle name="Normal 7 5 4 6 2 4 2" xfId="35714"/>
    <cellStyle name="Normal 7 5 4 6 2 5" xfId="35715"/>
    <cellStyle name="Normal 7 5 4 6 2 5 2" xfId="35716"/>
    <cellStyle name="Normal 7 5 4 6 2 6" xfId="35717"/>
    <cellStyle name="Normal 7 5 4 6 2 6 2" xfId="35718"/>
    <cellStyle name="Normal 7 5 4 6 2 7" xfId="35719"/>
    <cellStyle name="Normal 7 5 4 6 3" xfId="35720"/>
    <cellStyle name="Normal 7 5 4 6 3 2" xfId="35721"/>
    <cellStyle name="Normal 7 5 4 6 3 2 2" xfId="35722"/>
    <cellStyle name="Normal 7 5 4 6 3 3" xfId="35723"/>
    <cellStyle name="Normal 7 5 4 6 3 3 2" xfId="35724"/>
    <cellStyle name="Normal 7 5 4 6 3 4" xfId="35725"/>
    <cellStyle name="Normal 7 5 4 6 3 4 2" xfId="35726"/>
    <cellStyle name="Normal 7 5 4 6 3 5" xfId="35727"/>
    <cellStyle name="Normal 7 5 4 6 4" xfId="35728"/>
    <cellStyle name="Normal 7 5 4 6 4 2" xfId="35729"/>
    <cellStyle name="Normal 7 5 4 6 4 2 2" xfId="35730"/>
    <cellStyle name="Normal 7 5 4 6 4 3" xfId="35731"/>
    <cellStyle name="Normal 7 5 4 6 4 3 2" xfId="35732"/>
    <cellStyle name="Normal 7 5 4 6 4 4" xfId="35733"/>
    <cellStyle name="Normal 7 5 4 6 4 4 2" xfId="35734"/>
    <cellStyle name="Normal 7 5 4 6 4 5" xfId="35735"/>
    <cellStyle name="Normal 7 5 4 6 5" xfId="35736"/>
    <cellStyle name="Normal 7 5 4 6 5 2" xfId="35737"/>
    <cellStyle name="Normal 7 5 4 6 6" xfId="35738"/>
    <cellStyle name="Normal 7 5 4 6 6 2" xfId="35739"/>
    <cellStyle name="Normal 7 5 4 6 7" xfId="35740"/>
    <cellStyle name="Normal 7 5 4 6 7 2" xfId="35741"/>
    <cellStyle name="Normal 7 5 4 6 8" xfId="35742"/>
    <cellStyle name="Normal 7 5 4 7" xfId="35743"/>
    <cellStyle name="Normal 7 5 4 7 2" xfId="35744"/>
    <cellStyle name="Normal 7 5 4 7 2 2" xfId="35745"/>
    <cellStyle name="Normal 7 5 4 7 2 2 2" xfId="35746"/>
    <cellStyle name="Normal 7 5 4 7 2 2 2 2" xfId="35747"/>
    <cellStyle name="Normal 7 5 4 7 2 2 3" xfId="35748"/>
    <cellStyle name="Normal 7 5 4 7 2 2 3 2" xfId="35749"/>
    <cellStyle name="Normal 7 5 4 7 2 2 4" xfId="35750"/>
    <cellStyle name="Normal 7 5 4 7 2 2 4 2" xfId="35751"/>
    <cellStyle name="Normal 7 5 4 7 2 2 5" xfId="35752"/>
    <cellStyle name="Normal 7 5 4 7 2 3" xfId="35753"/>
    <cellStyle name="Normal 7 5 4 7 2 3 2" xfId="35754"/>
    <cellStyle name="Normal 7 5 4 7 2 3 2 2" xfId="35755"/>
    <cellStyle name="Normal 7 5 4 7 2 3 3" xfId="35756"/>
    <cellStyle name="Normal 7 5 4 7 2 3 3 2" xfId="35757"/>
    <cellStyle name="Normal 7 5 4 7 2 3 4" xfId="35758"/>
    <cellStyle name="Normal 7 5 4 7 2 3 4 2" xfId="35759"/>
    <cellStyle name="Normal 7 5 4 7 2 3 5" xfId="35760"/>
    <cellStyle name="Normal 7 5 4 7 2 4" xfId="35761"/>
    <cellStyle name="Normal 7 5 4 7 2 4 2" xfId="35762"/>
    <cellStyle name="Normal 7 5 4 7 2 5" xfId="35763"/>
    <cellStyle name="Normal 7 5 4 7 2 5 2" xfId="35764"/>
    <cellStyle name="Normal 7 5 4 7 2 6" xfId="35765"/>
    <cellStyle name="Normal 7 5 4 7 2 6 2" xfId="35766"/>
    <cellStyle name="Normal 7 5 4 7 2 7" xfId="35767"/>
    <cellStyle name="Normal 7 5 4 7 3" xfId="35768"/>
    <cellStyle name="Normal 7 5 4 7 3 2" xfId="35769"/>
    <cellStyle name="Normal 7 5 4 7 3 2 2" xfId="35770"/>
    <cellStyle name="Normal 7 5 4 7 3 3" xfId="35771"/>
    <cellStyle name="Normal 7 5 4 7 3 3 2" xfId="35772"/>
    <cellStyle name="Normal 7 5 4 7 3 4" xfId="35773"/>
    <cellStyle name="Normal 7 5 4 7 3 4 2" xfId="35774"/>
    <cellStyle name="Normal 7 5 4 7 3 5" xfId="35775"/>
    <cellStyle name="Normal 7 5 4 7 4" xfId="35776"/>
    <cellStyle name="Normal 7 5 4 7 4 2" xfId="35777"/>
    <cellStyle name="Normal 7 5 4 7 4 2 2" xfId="35778"/>
    <cellStyle name="Normal 7 5 4 7 4 3" xfId="35779"/>
    <cellStyle name="Normal 7 5 4 7 4 3 2" xfId="35780"/>
    <cellStyle name="Normal 7 5 4 7 4 4" xfId="35781"/>
    <cellStyle name="Normal 7 5 4 7 4 4 2" xfId="35782"/>
    <cellStyle name="Normal 7 5 4 7 4 5" xfId="35783"/>
    <cellStyle name="Normal 7 5 4 7 5" xfId="35784"/>
    <cellStyle name="Normal 7 5 4 7 5 2" xfId="35785"/>
    <cellStyle name="Normal 7 5 4 7 6" xfId="35786"/>
    <cellStyle name="Normal 7 5 4 7 6 2" xfId="35787"/>
    <cellStyle name="Normal 7 5 4 7 7" xfId="35788"/>
    <cellStyle name="Normal 7 5 4 7 7 2" xfId="35789"/>
    <cellStyle name="Normal 7 5 4 7 8" xfId="35790"/>
    <cellStyle name="Normal 7 5 4 8" xfId="35791"/>
    <cellStyle name="Normal 7 5 4 8 2" xfId="35792"/>
    <cellStyle name="Normal 7 5 4 8 2 2" xfId="35793"/>
    <cellStyle name="Normal 7 5 4 8 2 2 2" xfId="35794"/>
    <cellStyle name="Normal 7 5 4 8 2 3" xfId="35795"/>
    <cellStyle name="Normal 7 5 4 8 2 3 2" xfId="35796"/>
    <cellStyle name="Normal 7 5 4 8 2 4" xfId="35797"/>
    <cellStyle name="Normal 7 5 4 8 2 4 2" xfId="35798"/>
    <cellStyle name="Normal 7 5 4 8 2 5" xfId="35799"/>
    <cellStyle name="Normal 7 5 4 8 3" xfId="35800"/>
    <cellStyle name="Normal 7 5 4 8 3 2" xfId="35801"/>
    <cellStyle name="Normal 7 5 4 8 3 2 2" xfId="35802"/>
    <cellStyle name="Normal 7 5 4 8 3 3" xfId="35803"/>
    <cellStyle name="Normal 7 5 4 8 3 3 2" xfId="35804"/>
    <cellStyle name="Normal 7 5 4 8 3 4" xfId="35805"/>
    <cellStyle name="Normal 7 5 4 8 3 4 2" xfId="35806"/>
    <cellStyle name="Normal 7 5 4 8 3 5" xfId="35807"/>
    <cellStyle name="Normal 7 5 4 8 4" xfId="35808"/>
    <cellStyle name="Normal 7 5 4 8 4 2" xfId="35809"/>
    <cellStyle name="Normal 7 5 4 8 5" xfId="35810"/>
    <cellStyle name="Normal 7 5 4 8 5 2" xfId="35811"/>
    <cellStyle name="Normal 7 5 4 8 6" xfId="35812"/>
    <cellStyle name="Normal 7 5 4 8 6 2" xfId="35813"/>
    <cellStyle name="Normal 7 5 4 8 7" xfId="35814"/>
    <cellStyle name="Normal 7 5 4 9" xfId="35815"/>
    <cellStyle name="Normal 7 5 4 9 2" xfId="35816"/>
    <cellStyle name="Normal 7 5 4 9 2 2" xfId="35817"/>
    <cellStyle name="Normal 7 5 4 9 3" xfId="35818"/>
    <cellStyle name="Normal 7 5 4 9 3 2" xfId="35819"/>
    <cellStyle name="Normal 7 5 4 9 4" xfId="35820"/>
    <cellStyle name="Normal 7 5 4 9 4 2" xfId="35821"/>
    <cellStyle name="Normal 7 5 4 9 5" xfId="35822"/>
    <cellStyle name="Normal 7 5 5" xfId="35823"/>
    <cellStyle name="Normal 7 5 5 10" xfId="35824"/>
    <cellStyle name="Normal 7 5 5 10 2" xfId="35825"/>
    <cellStyle name="Normal 7 5 5 10 2 2" xfId="35826"/>
    <cellStyle name="Normal 7 5 5 10 3" xfId="35827"/>
    <cellStyle name="Normal 7 5 5 10 3 2" xfId="35828"/>
    <cellStyle name="Normal 7 5 5 10 4" xfId="35829"/>
    <cellStyle name="Normal 7 5 5 10 4 2" xfId="35830"/>
    <cellStyle name="Normal 7 5 5 10 5" xfId="35831"/>
    <cellStyle name="Normal 7 5 5 11" xfId="35832"/>
    <cellStyle name="Normal 7 5 5 11 2" xfId="35833"/>
    <cellStyle name="Normal 7 5 5 12" xfId="35834"/>
    <cellStyle name="Normal 7 5 5 12 2" xfId="35835"/>
    <cellStyle name="Normal 7 5 5 13" xfId="35836"/>
    <cellStyle name="Normal 7 5 5 13 2" xfId="35837"/>
    <cellStyle name="Normal 7 5 5 14" xfId="35838"/>
    <cellStyle name="Normal 7 5 5 2" xfId="35839"/>
    <cellStyle name="Normal 7 5 5 2 10" xfId="35840"/>
    <cellStyle name="Normal 7 5 5 2 10 2" xfId="35841"/>
    <cellStyle name="Normal 7 5 5 2 11" xfId="35842"/>
    <cellStyle name="Normal 7 5 5 2 11 2" xfId="35843"/>
    <cellStyle name="Normal 7 5 5 2 12" xfId="35844"/>
    <cellStyle name="Normal 7 5 5 2 12 2" xfId="35845"/>
    <cellStyle name="Normal 7 5 5 2 13" xfId="35846"/>
    <cellStyle name="Normal 7 5 5 2 2" xfId="35847"/>
    <cellStyle name="Normal 7 5 5 2 2 2" xfId="35848"/>
    <cellStyle name="Normal 7 5 5 2 2 2 2" xfId="35849"/>
    <cellStyle name="Normal 7 5 5 2 2 2 2 2" xfId="35850"/>
    <cellStyle name="Normal 7 5 5 2 2 2 2 2 2" xfId="35851"/>
    <cellStyle name="Normal 7 5 5 2 2 2 2 3" xfId="35852"/>
    <cellStyle name="Normal 7 5 5 2 2 2 2 3 2" xfId="35853"/>
    <cellStyle name="Normal 7 5 5 2 2 2 2 4" xfId="35854"/>
    <cellStyle name="Normal 7 5 5 2 2 2 2 4 2" xfId="35855"/>
    <cellStyle name="Normal 7 5 5 2 2 2 2 5" xfId="35856"/>
    <cellStyle name="Normal 7 5 5 2 2 2 3" xfId="35857"/>
    <cellStyle name="Normal 7 5 5 2 2 2 3 2" xfId="35858"/>
    <cellStyle name="Normal 7 5 5 2 2 2 3 2 2" xfId="35859"/>
    <cellStyle name="Normal 7 5 5 2 2 2 3 3" xfId="35860"/>
    <cellStyle name="Normal 7 5 5 2 2 2 3 3 2" xfId="35861"/>
    <cellStyle name="Normal 7 5 5 2 2 2 3 4" xfId="35862"/>
    <cellStyle name="Normal 7 5 5 2 2 2 3 4 2" xfId="35863"/>
    <cellStyle name="Normal 7 5 5 2 2 2 3 5" xfId="35864"/>
    <cellStyle name="Normal 7 5 5 2 2 2 4" xfId="35865"/>
    <cellStyle name="Normal 7 5 5 2 2 2 4 2" xfId="35866"/>
    <cellStyle name="Normal 7 5 5 2 2 2 5" xfId="35867"/>
    <cellStyle name="Normal 7 5 5 2 2 2 5 2" xfId="35868"/>
    <cellStyle name="Normal 7 5 5 2 2 2 6" xfId="35869"/>
    <cellStyle name="Normal 7 5 5 2 2 2 6 2" xfId="35870"/>
    <cellStyle name="Normal 7 5 5 2 2 2 7" xfId="35871"/>
    <cellStyle name="Normal 7 5 5 2 2 3" xfId="35872"/>
    <cellStyle name="Normal 7 5 5 2 2 3 2" xfId="35873"/>
    <cellStyle name="Normal 7 5 5 2 2 3 2 2" xfId="35874"/>
    <cellStyle name="Normal 7 5 5 2 2 3 3" xfId="35875"/>
    <cellStyle name="Normal 7 5 5 2 2 3 3 2" xfId="35876"/>
    <cellStyle name="Normal 7 5 5 2 2 3 4" xfId="35877"/>
    <cellStyle name="Normal 7 5 5 2 2 3 4 2" xfId="35878"/>
    <cellStyle name="Normal 7 5 5 2 2 3 5" xfId="35879"/>
    <cellStyle name="Normal 7 5 5 2 2 4" xfId="35880"/>
    <cellStyle name="Normal 7 5 5 2 2 4 2" xfId="35881"/>
    <cellStyle name="Normal 7 5 5 2 2 4 2 2" xfId="35882"/>
    <cellStyle name="Normal 7 5 5 2 2 4 3" xfId="35883"/>
    <cellStyle name="Normal 7 5 5 2 2 4 3 2" xfId="35884"/>
    <cellStyle name="Normal 7 5 5 2 2 4 4" xfId="35885"/>
    <cellStyle name="Normal 7 5 5 2 2 4 4 2" xfId="35886"/>
    <cellStyle name="Normal 7 5 5 2 2 4 5" xfId="35887"/>
    <cellStyle name="Normal 7 5 5 2 2 5" xfId="35888"/>
    <cellStyle name="Normal 7 5 5 2 2 5 2" xfId="35889"/>
    <cellStyle name="Normal 7 5 5 2 2 6" xfId="35890"/>
    <cellStyle name="Normal 7 5 5 2 2 6 2" xfId="35891"/>
    <cellStyle name="Normal 7 5 5 2 2 7" xfId="35892"/>
    <cellStyle name="Normal 7 5 5 2 2 7 2" xfId="35893"/>
    <cellStyle name="Normal 7 5 5 2 2 8" xfId="35894"/>
    <cellStyle name="Normal 7 5 5 2 3" xfId="35895"/>
    <cellStyle name="Normal 7 5 5 2 3 2" xfId="35896"/>
    <cellStyle name="Normal 7 5 5 2 3 2 2" xfId="35897"/>
    <cellStyle name="Normal 7 5 5 2 3 2 2 2" xfId="35898"/>
    <cellStyle name="Normal 7 5 5 2 3 2 2 2 2" xfId="35899"/>
    <cellStyle name="Normal 7 5 5 2 3 2 2 3" xfId="35900"/>
    <cellStyle name="Normal 7 5 5 2 3 2 2 3 2" xfId="35901"/>
    <cellStyle name="Normal 7 5 5 2 3 2 2 4" xfId="35902"/>
    <cellStyle name="Normal 7 5 5 2 3 2 2 4 2" xfId="35903"/>
    <cellStyle name="Normal 7 5 5 2 3 2 2 5" xfId="35904"/>
    <cellStyle name="Normal 7 5 5 2 3 2 3" xfId="35905"/>
    <cellStyle name="Normal 7 5 5 2 3 2 3 2" xfId="35906"/>
    <cellStyle name="Normal 7 5 5 2 3 2 3 2 2" xfId="35907"/>
    <cellStyle name="Normal 7 5 5 2 3 2 3 3" xfId="35908"/>
    <cellStyle name="Normal 7 5 5 2 3 2 3 3 2" xfId="35909"/>
    <cellStyle name="Normal 7 5 5 2 3 2 3 4" xfId="35910"/>
    <cellStyle name="Normal 7 5 5 2 3 2 3 4 2" xfId="35911"/>
    <cellStyle name="Normal 7 5 5 2 3 2 3 5" xfId="35912"/>
    <cellStyle name="Normal 7 5 5 2 3 2 4" xfId="35913"/>
    <cellStyle name="Normal 7 5 5 2 3 2 4 2" xfId="35914"/>
    <cellStyle name="Normal 7 5 5 2 3 2 5" xfId="35915"/>
    <cellStyle name="Normal 7 5 5 2 3 2 5 2" xfId="35916"/>
    <cellStyle name="Normal 7 5 5 2 3 2 6" xfId="35917"/>
    <cellStyle name="Normal 7 5 5 2 3 2 6 2" xfId="35918"/>
    <cellStyle name="Normal 7 5 5 2 3 2 7" xfId="35919"/>
    <cellStyle name="Normal 7 5 5 2 3 3" xfId="35920"/>
    <cellStyle name="Normal 7 5 5 2 3 3 2" xfId="35921"/>
    <cellStyle name="Normal 7 5 5 2 3 3 2 2" xfId="35922"/>
    <cellStyle name="Normal 7 5 5 2 3 3 3" xfId="35923"/>
    <cellStyle name="Normal 7 5 5 2 3 3 3 2" xfId="35924"/>
    <cellStyle name="Normal 7 5 5 2 3 3 4" xfId="35925"/>
    <cellStyle name="Normal 7 5 5 2 3 3 4 2" xfId="35926"/>
    <cellStyle name="Normal 7 5 5 2 3 3 5" xfId="35927"/>
    <cellStyle name="Normal 7 5 5 2 3 4" xfId="35928"/>
    <cellStyle name="Normal 7 5 5 2 3 4 2" xfId="35929"/>
    <cellStyle name="Normal 7 5 5 2 3 4 2 2" xfId="35930"/>
    <cellStyle name="Normal 7 5 5 2 3 4 3" xfId="35931"/>
    <cellStyle name="Normal 7 5 5 2 3 4 3 2" xfId="35932"/>
    <cellStyle name="Normal 7 5 5 2 3 4 4" xfId="35933"/>
    <cellStyle name="Normal 7 5 5 2 3 4 4 2" xfId="35934"/>
    <cellStyle name="Normal 7 5 5 2 3 4 5" xfId="35935"/>
    <cellStyle name="Normal 7 5 5 2 3 5" xfId="35936"/>
    <cellStyle name="Normal 7 5 5 2 3 5 2" xfId="35937"/>
    <cellStyle name="Normal 7 5 5 2 3 6" xfId="35938"/>
    <cellStyle name="Normal 7 5 5 2 3 6 2" xfId="35939"/>
    <cellStyle name="Normal 7 5 5 2 3 7" xfId="35940"/>
    <cellStyle name="Normal 7 5 5 2 3 7 2" xfId="35941"/>
    <cellStyle name="Normal 7 5 5 2 3 8" xfId="35942"/>
    <cellStyle name="Normal 7 5 5 2 4" xfId="35943"/>
    <cellStyle name="Normal 7 5 5 2 4 2" xfId="35944"/>
    <cellStyle name="Normal 7 5 5 2 4 2 2" xfId="35945"/>
    <cellStyle name="Normal 7 5 5 2 4 2 2 2" xfId="35946"/>
    <cellStyle name="Normal 7 5 5 2 4 2 2 2 2" xfId="35947"/>
    <cellStyle name="Normal 7 5 5 2 4 2 2 3" xfId="35948"/>
    <cellStyle name="Normal 7 5 5 2 4 2 2 3 2" xfId="35949"/>
    <cellStyle name="Normal 7 5 5 2 4 2 2 4" xfId="35950"/>
    <cellStyle name="Normal 7 5 5 2 4 2 2 4 2" xfId="35951"/>
    <cellStyle name="Normal 7 5 5 2 4 2 2 5" xfId="35952"/>
    <cellStyle name="Normal 7 5 5 2 4 2 3" xfId="35953"/>
    <cellStyle name="Normal 7 5 5 2 4 2 3 2" xfId="35954"/>
    <cellStyle name="Normal 7 5 5 2 4 2 3 2 2" xfId="35955"/>
    <cellStyle name="Normal 7 5 5 2 4 2 3 3" xfId="35956"/>
    <cellStyle name="Normal 7 5 5 2 4 2 3 3 2" xfId="35957"/>
    <cellStyle name="Normal 7 5 5 2 4 2 3 4" xfId="35958"/>
    <cellStyle name="Normal 7 5 5 2 4 2 3 4 2" xfId="35959"/>
    <cellStyle name="Normal 7 5 5 2 4 2 3 5" xfId="35960"/>
    <cellStyle name="Normal 7 5 5 2 4 2 4" xfId="35961"/>
    <cellStyle name="Normal 7 5 5 2 4 2 4 2" xfId="35962"/>
    <cellStyle name="Normal 7 5 5 2 4 2 5" xfId="35963"/>
    <cellStyle name="Normal 7 5 5 2 4 2 5 2" xfId="35964"/>
    <cellStyle name="Normal 7 5 5 2 4 2 6" xfId="35965"/>
    <cellStyle name="Normal 7 5 5 2 4 2 6 2" xfId="35966"/>
    <cellStyle name="Normal 7 5 5 2 4 2 7" xfId="35967"/>
    <cellStyle name="Normal 7 5 5 2 4 3" xfId="35968"/>
    <cellStyle name="Normal 7 5 5 2 4 3 2" xfId="35969"/>
    <cellStyle name="Normal 7 5 5 2 4 3 2 2" xfId="35970"/>
    <cellStyle name="Normal 7 5 5 2 4 3 3" xfId="35971"/>
    <cellStyle name="Normal 7 5 5 2 4 3 3 2" xfId="35972"/>
    <cellStyle name="Normal 7 5 5 2 4 3 4" xfId="35973"/>
    <cellStyle name="Normal 7 5 5 2 4 3 4 2" xfId="35974"/>
    <cellStyle name="Normal 7 5 5 2 4 3 5" xfId="35975"/>
    <cellStyle name="Normal 7 5 5 2 4 4" xfId="35976"/>
    <cellStyle name="Normal 7 5 5 2 4 4 2" xfId="35977"/>
    <cellStyle name="Normal 7 5 5 2 4 4 2 2" xfId="35978"/>
    <cellStyle name="Normal 7 5 5 2 4 4 3" xfId="35979"/>
    <cellStyle name="Normal 7 5 5 2 4 4 3 2" xfId="35980"/>
    <cellStyle name="Normal 7 5 5 2 4 4 4" xfId="35981"/>
    <cellStyle name="Normal 7 5 5 2 4 4 4 2" xfId="35982"/>
    <cellStyle name="Normal 7 5 5 2 4 4 5" xfId="35983"/>
    <cellStyle name="Normal 7 5 5 2 4 5" xfId="35984"/>
    <cellStyle name="Normal 7 5 5 2 4 5 2" xfId="35985"/>
    <cellStyle name="Normal 7 5 5 2 4 6" xfId="35986"/>
    <cellStyle name="Normal 7 5 5 2 4 6 2" xfId="35987"/>
    <cellStyle name="Normal 7 5 5 2 4 7" xfId="35988"/>
    <cellStyle name="Normal 7 5 5 2 4 7 2" xfId="35989"/>
    <cellStyle name="Normal 7 5 5 2 4 8" xfId="35990"/>
    <cellStyle name="Normal 7 5 5 2 5" xfId="35991"/>
    <cellStyle name="Normal 7 5 5 2 5 2" xfId="35992"/>
    <cellStyle name="Normal 7 5 5 2 5 2 2" xfId="35993"/>
    <cellStyle name="Normal 7 5 5 2 5 2 2 2" xfId="35994"/>
    <cellStyle name="Normal 7 5 5 2 5 2 2 2 2" xfId="35995"/>
    <cellStyle name="Normal 7 5 5 2 5 2 2 3" xfId="35996"/>
    <cellStyle name="Normal 7 5 5 2 5 2 2 3 2" xfId="35997"/>
    <cellStyle name="Normal 7 5 5 2 5 2 2 4" xfId="35998"/>
    <cellStyle name="Normal 7 5 5 2 5 2 2 4 2" xfId="35999"/>
    <cellStyle name="Normal 7 5 5 2 5 2 2 5" xfId="36000"/>
    <cellStyle name="Normal 7 5 5 2 5 2 3" xfId="36001"/>
    <cellStyle name="Normal 7 5 5 2 5 2 3 2" xfId="36002"/>
    <cellStyle name="Normal 7 5 5 2 5 2 3 2 2" xfId="36003"/>
    <cellStyle name="Normal 7 5 5 2 5 2 3 3" xfId="36004"/>
    <cellStyle name="Normal 7 5 5 2 5 2 3 3 2" xfId="36005"/>
    <cellStyle name="Normal 7 5 5 2 5 2 3 4" xfId="36006"/>
    <cellStyle name="Normal 7 5 5 2 5 2 3 4 2" xfId="36007"/>
    <cellStyle name="Normal 7 5 5 2 5 2 3 5" xfId="36008"/>
    <cellStyle name="Normal 7 5 5 2 5 2 4" xfId="36009"/>
    <cellStyle name="Normal 7 5 5 2 5 2 4 2" xfId="36010"/>
    <cellStyle name="Normal 7 5 5 2 5 2 5" xfId="36011"/>
    <cellStyle name="Normal 7 5 5 2 5 2 5 2" xfId="36012"/>
    <cellStyle name="Normal 7 5 5 2 5 2 6" xfId="36013"/>
    <cellStyle name="Normal 7 5 5 2 5 2 6 2" xfId="36014"/>
    <cellStyle name="Normal 7 5 5 2 5 2 7" xfId="36015"/>
    <cellStyle name="Normal 7 5 5 2 5 3" xfId="36016"/>
    <cellStyle name="Normal 7 5 5 2 5 3 2" xfId="36017"/>
    <cellStyle name="Normal 7 5 5 2 5 3 2 2" xfId="36018"/>
    <cellStyle name="Normal 7 5 5 2 5 3 3" xfId="36019"/>
    <cellStyle name="Normal 7 5 5 2 5 3 3 2" xfId="36020"/>
    <cellStyle name="Normal 7 5 5 2 5 3 4" xfId="36021"/>
    <cellStyle name="Normal 7 5 5 2 5 3 4 2" xfId="36022"/>
    <cellStyle name="Normal 7 5 5 2 5 3 5" xfId="36023"/>
    <cellStyle name="Normal 7 5 5 2 5 4" xfId="36024"/>
    <cellStyle name="Normal 7 5 5 2 5 4 2" xfId="36025"/>
    <cellStyle name="Normal 7 5 5 2 5 4 2 2" xfId="36026"/>
    <cellStyle name="Normal 7 5 5 2 5 4 3" xfId="36027"/>
    <cellStyle name="Normal 7 5 5 2 5 4 3 2" xfId="36028"/>
    <cellStyle name="Normal 7 5 5 2 5 4 4" xfId="36029"/>
    <cellStyle name="Normal 7 5 5 2 5 4 4 2" xfId="36030"/>
    <cellStyle name="Normal 7 5 5 2 5 4 5" xfId="36031"/>
    <cellStyle name="Normal 7 5 5 2 5 5" xfId="36032"/>
    <cellStyle name="Normal 7 5 5 2 5 5 2" xfId="36033"/>
    <cellStyle name="Normal 7 5 5 2 5 6" xfId="36034"/>
    <cellStyle name="Normal 7 5 5 2 5 6 2" xfId="36035"/>
    <cellStyle name="Normal 7 5 5 2 5 7" xfId="36036"/>
    <cellStyle name="Normal 7 5 5 2 5 7 2" xfId="36037"/>
    <cellStyle name="Normal 7 5 5 2 5 8" xfId="36038"/>
    <cellStyle name="Normal 7 5 5 2 6" xfId="36039"/>
    <cellStyle name="Normal 7 5 5 2 6 2" xfId="36040"/>
    <cellStyle name="Normal 7 5 5 2 6 2 2" xfId="36041"/>
    <cellStyle name="Normal 7 5 5 2 6 2 2 2" xfId="36042"/>
    <cellStyle name="Normal 7 5 5 2 6 2 2 2 2" xfId="36043"/>
    <cellStyle name="Normal 7 5 5 2 6 2 2 3" xfId="36044"/>
    <cellStyle name="Normal 7 5 5 2 6 2 2 3 2" xfId="36045"/>
    <cellStyle name="Normal 7 5 5 2 6 2 2 4" xfId="36046"/>
    <cellStyle name="Normal 7 5 5 2 6 2 2 4 2" xfId="36047"/>
    <cellStyle name="Normal 7 5 5 2 6 2 2 5" xfId="36048"/>
    <cellStyle name="Normal 7 5 5 2 6 2 3" xfId="36049"/>
    <cellStyle name="Normal 7 5 5 2 6 2 3 2" xfId="36050"/>
    <cellStyle name="Normal 7 5 5 2 6 2 3 2 2" xfId="36051"/>
    <cellStyle name="Normal 7 5 5 2 6 2 3 3" xfId="36052"/>
    <cellStyle name="Normal 7 5 5 2 6 2 3 3 2" xfId="36053"/>
    <cellStyle name="Normal 7 5 5 2 6 2 3 4" xfId="36054"/>
    <cellStyle name="Normal 7 5 5 2 6 2 3 4 2" xfId="36055"/>
    <cellStyle name="Normal 7 5 5 2 6 2 3 5" xfId="36056"/>
    <cellStyle name="Normal 7 5 5 2 6 2 4" xfId="36057"/>
    <cellStyle name="Normal 7 5 5 2 6 2 4 2" xfId="36058"/>
    <cellStyle name="Normal 7 5 5 2 6 2 5" xfId="36059"/>
    <cellStyle name="Normal 7 5 5 2 6 2 5 2" xfId="36060"/>
    <cellStyle name="Normal 7 5 5 2 6 2 6" xfId="36061"/>
    <cellStyle name="Normal 7 5 5 2 6 2 6 2" xfId="36062"/>
    <cellStyle name="Normal 7 5 5 2 6 2 7" xfId="36063"/>
    <cellStyle name="Normal 7 5 5 2 6 3" xfId="36064"/>
    <cellStyle name="Normal 7 5 5 2 6 3 2" xfId="36065"/>
    <cellStyle name="Normal 7 5 5 2 6 3 2 2" xfId="36066"/>
    <cellStyle name="Normal 7 5 5 2 6 3 3" xfId="36067"/>
    <cellStyle name="Normal 7 5 5 2 6 3 3 2" xfId="36068"/>
    <cellStyle name="Normal 7 5 5 2 6 3 4" xfId="36069"/>
    <cellStyle name="Normal 7 5 5 2 6 3 4 2" xfId="36070"/>
    <cellStyle name="Normal 7 5 5 2 6 3 5" xfId="36071"/>
    <cellStyle name="Normal 7 5 5 2 6 4" xfId="36072"/>
    <cellStyle name="Normal 7 5 5 2 6 4 2" xfId="36073"/>
    <cellStyle name="Normal 7 5 5 2 6 4 2 2" xfId="36074"/>
    <cellStyle name="Normal 7 5 5 2 6 4 3" xfId="36075"/>
    <cellStyle name="Normal 7 5 5 2 6 4 3 2" xfId="36076"/>
    <cellStyle name="Normal 7 5 5 2 6 4 4" xfId="36077"/>
    <cellStyle name="Normal 7 5 5 2 6 4 4 2" xfId="36078"/>
    <cellStyle name="Normal 7 5 5 2 6 4 5" xfId="36079"/>
    <cellStyle name="Normal 7 5 5 2 6 5" xfId="36080"/>
    <cellStyle name="Normal 7 5 5 2 6 5 2" xfId="36081"/>
    <cellStyle name="Normal 7 5 5 2 6 6" xfId="36082"/>
    <cellStyle name="Normal 7 5 5 2 6 6 2" xfId="36083"/>
    <cellStyle name="Normal 7 5 5 2 6 7" xfId="36084"/>
    <cellStyle name="Normal 7 5 5 2 6 7 2" xfId="36085"/>
    <cellStyle name="Normal 7 5 5 2 6 8" xfId="36086"/>
    <cellStyle name="Normal 7 5 5 2 7" xfId="36087"/>
    <cellStyle name="Normal 7 5 5 2 7 2" xfId="36088"/>
    <cellStyle name="Normal 7 5 5 2 7 2 2" xfId="36089"/>
    <cellStyle name="Normal 7 5 5 2 7 2 2 2" xfId="36090"/>
    <cellStyle name="Normal 7 5 5 2 7 2 3" xfId="36091"/>
    <cellStyle name="Normal 7 5 5 2 7 2 3 2" xfId="36092"/>
    <cellStyle name="Normal 7 5 5 2 7 2 4" xfId="36093"/>
    <cellStyle name="Normal 7 5 5 2 7 2 4 2" xfId="36094"/>
    <cellStyle name="Normal 7 5 5 2 7 2 5" xfId="36095"/>
    <cellStyle name="Normal 7 5 5 2 7 3" xfId="36096"/>
    <cellStyle name="Normal 7 5 5 2 7 3 2" xfId="36097"/>
    <cellStyle name="Normal 7 5 5 2 7 3 2 2" xfId="36098"/>
    <cellStyle name="Normal 7 5 5 2 7 3 3" xfId="36099"/>
    <cellStyle name="Normal 7 5 5 2 7 3 3 2" xfId="36100"/>
    <cellStyle name="Normal 7 5 5 2 7 3 4" xfId="36101"/>
    <cellStyle name="Normal 7 5 5 2 7 3 4 2" xfId="36102"/>
    <cellStyle name="Normal 7 5 5 2 7 3 5" xfId="36103"/>
    <cellStyle name="Normal 7 5 5 2 7 4" xfId="36104"/>
    <cellStyle name="Normal 7 5 5 2 7 4 2" xfId="36105"/>
    <cellStyle name="Normal 7 5 5 2 7 5" xfId="36106"/>
    <cellStyle name="Normal 7 5 5 2 7 5 2" xfId="36107"/>
    <cellStyle name="Normal 7 5 5 2 7 6" xfId="36108"/>
    <cellStyle name="Normal 7 5 5 2 7 6 2" xfId="36109"/>
    <cellStyle name="Normal 7 5 5 2 7 7" xfId="36110"/>
    <cellStyle name="Normal 7 5 5 2 8" xfId="36111"/>
    <cellStyle name="Normal 7 5 5 2 8 2" xfId="36112"/>
    <cellStyle name="Normal 7 5 5 2 8 2 2" xfId="36113"/>
    <cellStyle name="Normal 7 5 5 2 8 3" xfId="36114"/>
    <cellStyle name="Normal 7 5 5 2 8 3 2" xfId="36115"/>
    <cellStyle name="Normal 7 5 5 2 8 4" xfId="36116"/>
    <cellStyle name="Normal 7 5 5 2 8 4 2" xfId="36117"/>
    <cellStyle name="Normal 7 5 5 2 8 5" xfId="36118"/>
    <cellStyle name="Normal 7 5 5 2 9" xfId="36119"/>
    <cellStyle name="Normal 7 5 5 2 9 2" xfId="36120"/>
    <cellStyle name="Normal 7 5 5 2 9 2 2" xfId="36121"/>
    <cellStyle name="Normal 7 5 5 2 9 3" xfId="36122"/>
    <cellStyle name="Normal 7 5 5 2 9 3 2" xfId="36123"/>
    <cellStyle name="Normal 7 5 5 2 9 4" xfId="36124"/>
    <cellStyle name="Normal 7 5 5 2 9 4 2" xfId="36125"/>
    <cellStyle name="Normal 7 5 5 2 9 5" xfId="36126"/>
    <cellStyle name="Normal 7 5 5 3" xfId="36127"/>
    <cellStyle name="Normal 7 5 5 3 2" xfId="36128"/>
    <cellStyle name="Normal 7 5 5 3 2 2" xfId="36129"/>
    <cellStyle name="Normal 7 5 5 3 2 2 2" xfId="36130"/>
    <cellStyle name="Normal 7 5 5 3 2 2 2 2" xfId="36131"/>
    <cellStyle name="Normal 7 5 5 3 2 2 3" xfId="36132"/>
    <cellStyle name="Normal 7 5 5 3 2 2 3 2" xfId="36133"/>
    <cellStyle name="Normal 7 5 5 3 2 2 4" xfId="36134"/>
    <cellStyle name="Normal 7 5 5 3 2 2 4 2" xfId="36135"/>
    <cellStyle name="Normal 7 5 5 3 2 2 5" xfId="36136"/>
    <cellStyle name="Normal 7 5 5 3 2 3" xfId="36137"/>
    <cellStyle name="Normal 7 5 5 3 2 3 2" xfId="36138"/>
    <cellStyle name="Normal 7 5 5 3 2 3 2 2" xfId="36139"/>
    <cellStyle name="Normal 7 5 5 3 2 3 3" xfId="36140"/>
    <cellStyle name="Normal 7 5 5 3 2 3 3 2" xfId="36141"/>
    <cellStyle name="Normal 7 5 5 3 2 3 4" xfId="36142"/>
    <cellStyle name="Normal 7 5 5 3 2 3 4 2" xfId="36143"/>
    <cellStyle name="Normal 7 5 5 3 2 3 5" xfId="36144"/>
    <cellStyle name="Normal 7 5 5 3 2 4" xfId="36145"/>
    <cellStyle name="Normal 7 5 5 3 2 4 2" xfId="36146"/>
    <cellStyle name="Normal 7 5 5 3 2 5" xfId="36147"/>
    <cellStyle name="Normal 7 5 5 3 2 5 2" xfId="36148"/>
    <cellStyle name="Normal 7 5 5 3 2 6" xfId="36149"/>
    <cellStyle name="Normal 7 5 5 3 2 6 2" xfId="36150"/>
    <cellStyle name="Normal 7 5 5 3 2 7" xfId="36151"/>
    <cellStyle name="Normal 7 5 5 3 3" xfId="36152"/>
    <cellStyle name="Normal 7 5 5 3 3 2" xfId="36153"/>
    <cellStyle name="Normal 7 5 5 3 3 2 2" xfId="36154"/>
    <cellStyle name="Normal 7 5 5 3 3 3" xfId="36155"/>
    <cellStyle name="Normal 7 5 5 3 3 3 2" xfId="36156"/>
    <cellStyle name="Normal 7 5 5 3 3 4" xfId="36157"/>
    <cellStyle name="Normal 7 5 5 3 3 4 2" xfId="36158"/>
    <cellStyle name="Normal 7 5 5 3 3 5" xfId="36159"/>
    <cellStyle name="Normal 7 5 5 3 4" xfId="36160"/>
    <cellStyle name="Normal 7 5 5 3 4 2" xfId="36161"/>
    <cellStyle name="Normal 7 5 5 3 4 2 2" xfId="36162"/>
    <cellStyle name="Normal 7 5 5 3 4 3" xfId="36163"/>
    <cellStyle name="Normal 7 5 5 3 4 3 2" xfId="36164"/>
    <cellStyle name="Normal 7 5 5 3 4 4" xfId="36165"/>
    <cellStyle name="Normal 7 5 5 3 4 4 2" xfId="36166"/>
    <cellStyle name="Normal 7 5 5 3 4 5" xfId="36167"/>
    <cellStyle name="Normal 7 5 5 3 5" xfId="36168"/>
    <cellStyle name="Normal 7 5 5 3 5 2" xfId="36169"/>
    <cellStyle name="Normal 7 5 5 3 6" xfId="36170"/>
    <cellStyle name="Normal 7 5 5 3 6 2" xfId="36171"/>
    <cellStyle name="Normal 7 5 5 3 7" xfId="36172"/>
    <cellStyle name="Normal 7 5 5 3 7 2" xfId="36173"/>
    <cellStyle name="Normal 7 5 5 3 8" xfId="36174"/>
    <cellStyle name="Normal 7 5 5 4" xfId="36175"/>
    <cellStyle name="Normal 7 5 5 4 2" xfId="36176"/>
    <cellStyle name="Normal 7 5 5 4 2 2" xfId="36177"/>
    <cellStyle name="Normal 7 5 5 4 2 2 2" xfId="36178"/>
    <cellStyle name="Normal 7 5 5 4 2 2 2 2" xfId="36179"/>
    <cellStyle name="Normal 7 5 5 4 2 2 3" xfId="36180"/>
    <cellStyle name="Normal 7 5 5 4 2 2 3 2" xfId="36181"/>
    <cellStyle name="Normal 7 5 5 4 2 2 4" xfId="36182"/>
    <cellStyle name="Normal 7 5 5 4 2 2 4 2" xfId="36183"/>
    <cellStyle name="Normal 7 5 5 4 2 2 5" xfId="36184"/>
    <cellStyle name="Normal 7 5 5 4 2 3" xfId="36185"/>
    <cellStyle name="Normal 7 5 5 4 2 3 2" xfId="36186"/>
    <cellStyle name="Normal 7 5 5 4 2 3 2 2" xfId="36187"/>
    <cellStyle name="Normal 7 5 5 4 2 3 3" xfId="36188"/>
    <cellStyle name="Normal 7 5 5 4 2 3 3 2" xfId="36189"/>
    <cellStyle name="Normal 7 5 5 4 2 3 4" xfId="36190"/>
    <cellStyle name="Normal 7 5 5 4 2 3 4 2" xfId="36191"/>
    <cellStyle name="Normal 7 5 5 4 2 3 5" xfId="36192"/>
    <cellStyle name="Normal 7 5 5 4 2 4" xfId="36193"/>
    <cellStyle name="Normal 7 5 5 4 2 4 2" xfId="36194"/>
    <cellStyle name="Normal 7 5 5 4 2 5" xfId="36195"/>
    <cellStyle name="Normal 7 5 5 4 2 5 2" xfId="36196"/>
    <cellStyle name="Normal 7 5 5 4 2 6" xfId="36197"/>
    <cellStyle name="Normal 7 5 5 4 2 6 2" xfId="36198"/>
    <cellStyle name="Normal 7 5 5 4 2 7" xfId="36199"/>
    <cellStyle name="Normal 7 5 5 4 3" xfId="36200"/>
    <cellStyle name="Normal 7 5 5 4 3 2" xfId="36201"/>
    <cellStyle name="Normal 7 5 5 4 3 2 2" xfId="36202"/>
    <cellStyle name="Normal 7 5 5 4 3 3" xfId="36203"/>
    <cellStyle name="Normal 7 5 5 4 3 3 2" xfId="36204"/>
    <cellStyle name="Normal 7 5 5 4 3 4" xfId="36205"/>
    <cellStyle name="Normal 7 5 5 4 3 4 2" xfId="36206"/>
    <cellStyle name="Normal 7 5 5 4 3 5" xfId="36207"/>
    <cellStyle name="Normal 7 5 5 4 4" xfId="36208"/>
    <cellStyle name="Normal 7 5 5 4 4 2" xfId="36209"/>
    <cellStyle name="Normal 7 5 5 4 4 2 2" xfId="36210"/>
    <cellStyle name="Normal 7 5 5 4 4 3" xfId="36211"/>
    <cellStyle name="Normal 7 5 5 4 4 3 2" xfId="36212"/>
    <cellStyle name="Normal 7 5 5 4 4 4" xfId="36213"/>
    <cellStyle name="Normal 7 5 5 4 4 4 2" xfId="36214"/>
    <cellStyle name="Normal 7 5 5 4 4 5" xfId="36215"/>
    <cellStyle name="Normal 7 5 5 4 5" xfId="36216"/>
    <cellStyle name="Normal 7 5 5 4 5 2" xfId="36217"/>
    <cellStyle name="Normal 7 5 5 4 6" xfId="36218"/>
    <cellStyle name="Normal 7 5 5 4 6 2" xfId="36219"/>
    <cellStyle name="Normal 7 5 5 4 7" xfId="36220"/>
    <cellStyle name="Normal 7 5 5 4 7 2" xfId="36221"/>
    <cellStyle name="Normal 7 5 5 4 8" xfId="36222"/>
    <cellStyle name="Normal 7 5 5 5" xfId="36223"/>
    <cellStyle name="Normal 7 5 5 5 2" xfId="36224"/>
    <cellStyle name="Normal 7 5 5 5 2 2" xfId="36225"/>
    <cellStyle name="Normal 7 5 5 5 2 2 2" xfId="36226"/>
    <cellStyle name="Normal 7 5 5 5 2 2 2 2" xfId="36227"/>
    <cellStyle name="Normal 7 5 5 5 2 2 3" xfId="36228"/>
    <cellStyle name="Normal 7 5 5 5 2 2 3 2" xfId="36229"/>
    <cellStyle name="Normal 7 5 5 5 2 2 4" xfId="36230"/>
    <cellStyle name="Normal 7 5 5 5 2 2 4 2" xfId="36231"/>
    <cellStyle name="Normal 7 5 5 5 2 2 5" xfId="36232"/>
    <cellStyle name="Normal 7 5 5 5 2 3" xfId="36233"/>
    <cellStyle name="Normal 7 5 5 5 2 3 2" xfId="36234"/>
    <cellStyle name="Normal 7 5 5 5 2 3 2 2" xfId="36235"/>
    <cellStyle name="Normal 7 5 5 5 2 3 3" xfId="36236"/>
    <cellStyle name="Normal 7 5 5 5 2 3 3 2" xfId="36237"/>
    <cellStyle name="Normal 7 5 5 5 2 3 4" xfId="36238"/>
    <cellStyle name="Normal 7 5 5 5 2 3 4 2" xfId="36239"/>
    <cellStyle name="Normal 7 5 5 5 2 3 5" xfId="36240"/>
    <cellStyle name="Normal 7 5 5 5 2 4" xfId="36241"/>
    <cellStyle name="Normal 7 5 5 5 2 4 2" xfId="36242"/>
    <cellStyle name="Normal 7 5 5 5 2 5" xfId="36243"/>
    <cellStyle name="Normal 7 5 5 5 2 5 2" xfId="36244"/>
    <cellStyle name="Normal 7 5 5 5 2 6" xfId="36245"/>
    <cellStyle name="Normal 7 5 5 5 2 6 2" xfId="36246"/>
    <cellStyle name="Normal 7 5 5 5 2 7" xfId="36247"/>
    <cellStyle name="Normal 7 5 5 5 3" xfId="36248"/>
    <cellStyle name="Normal 7 5 5 5 3 2" xfId="36249"/>
    <cellStyle name="Normal 7 5 5 5 3 2 2" xfId="36250"/>
    <cellStyle name="Normal 7 5 5 5 3 3" xfId="36251"/>
    <cellStyle name="Normal 7 5 5 5 3 3 2" xfId="36252"/>
    <cellStyle name="Normal 7 5 5 5 3 4" xfId="36253"/>
    <cellStyle name="Normal 7 5 5 5 3 4 2" xfId="36254"/>
    <cellStyle name="Normal 7 5 5 5 3 5" xfId="36255"/>
    <cellStyle name="Normal 7 5 5 5 4" xfId="36256"/>
    <cellStyle name="Normal 7 5 5 5 4 2" xfId="36257"/>
    <cellStyle name="Normal 7 5 5 5 4 2 2" xfId="36258"/>
    <cellStyle name="Normal 7 5 5 5 4 3" xfId="36259"/>
    <cellStyle name="Normal 7 5 5 5 4 3 2" xfId="36260"/>
    <cellStyle name="Normal 7 5 5 5 4 4" xfId="36261"/>
    <cellStyle name="Normal 7 5 5 5 4 4 2" xfId="36262"/>
    <cellStyle name="Normal 7 5 5 5 4 5" xfId="36263"/>
    <cellStyle name="Normal 7 5 5 5 5" xfId="36264"/>
    <cellStyle name="Normal 7 5 5 5 5 2" xfId="36265"/>
    <cellStyle name="Normal 7 5 5 5 6" xfId="36266"/>
    <cellStyle name="Normal 7 5 5 5 6 2" xfId="36267"/>
    <cellStyle name="Normal 7 5 5 5 7" xfId="36268"/>
    <cellStyle name="Normal 7 5 5 5 7 2" xfId="36269"/>
    <cellStyle name="Normal 7 5 5 5 8" xfId="36270"/>
    <cellStyle name="Normal 7 5 5 6" xfId="36271"/>
    <cellStyle name="Normal 7 5 5 6 2" xfId="36272"/>
    <cellStyle name="Normal 7 5 5 6 2 2" xfId="36273"/>
    <cellStyle name="Normal 7 5 5 6 2 2 2" xfId="36274"/>
    <cellStyle name="Normal 7 5 5 6 2 2 2 2" xfId="36275"/>
    <cellStyle name="Normal 7 5 5 6 2 2 3" xfId="36276"/>
    <cellStyle name="Normal 7 5 5 6 2 2 3 2" xfId="36277"/>
    <cellStyle name="Normal 7 5 5 6 2 2 4" xfId="36278"/>
    <cellStyle name="Normal 7 5 5 6 2 2 4 2" xfId="36279"/>
    <cellStyle name="Normal 7 5 5 6 2 2 5" xfId="36280"/>
    <cellStyle name="Normal 7 5 5 6 2 3" xfId="36281"/>
    <cellStyle name="Normal 7 5 5 6 2 3 2" xfId="36282"/>
    <cellStyle name="Normal 7 5 5 6 2 3 2 2" xfId="36283"/>
    <cellStyle name="Normal 7 5 5 6 2 3 3" xfId="36284"/>
    <cellStyle name="Normal 7 5 5 6 2 3 3 2" xfId="36285"/>
    <cellStyle name="Normal 7 5 5 6 2 3 4" xfId="36286"/>
    <cellStyle name="Normal 7 5 5 6 2 3 4 2" xfId="36287"/>
    <cellStyle name="Normal 7 5 5 6 2 3 5" xfId="36288"/>
    <cellStyle name="Normal 7 5 5 6 2 4" xfId="36289"/>
    <cellStyle name="Normal 7 5 5 6 2 4 2" xfId="36290"/>
    <cellStyle name="Normal 7 5 5 6 2 5" xfId="36291"/>
    <cellStyle name="Normal 7 5 5 6 2 5 2" xfId="36292"/>
    <cellStyle name="Normal 7 5 5 6 2 6" xfId="36293"/>
    <cellStyle name="Normal 7 5 5 6 2 6 2" xfId="36294"/>
    <cellStyle name="Normal 7 5 5 6 2 7" xfId="36295"/>
    <cellStyle name="Normal 7 5 5 6 3" xfId="36296"/>
    <cellStyle name="Normal 7 5 5 6 3 2" xfId="36297"/>
    <cellStyle name="Normal 7 5 5 6 3 2 2" xfId="36298"/>
    <cellStyle name="Normal 7 5 5 6 3 3" xfId="36299"/>
    <cellStyle name="Normal 7 5 5 6 3 3 2" xfId="36300"/>
    <cellStyle name="Normal 7 5 5 6 3 4" xfId="36301"/>
    <cellStyle name="Normal 7 5 5 6 3 4 2" xfId="36302"/>
    <cellStyle name="Normal 7 5 5 6 3 5" xfId="36303"/>
    <cellStyle name="Normal 7 5 5 6 4" xfId="36304"/>
    <cellStyle name="Normal 7 5 5 6 4 2" xfId="36305"/>
    <cellStyle name="Normal 7 5 5 6 4 2 2" xfId="36306"/>
    <cellStyle name="Normal 7 5 5 6 4 3" xfId="36307"/>
    <cellStyle name="Normal 7 5 5 6 4 3 2" xfId="36308"/>
    <cellStyle name="Normal 7 5 5 6 4 4" xfId="36309"/>
    <cellStyle name="Normal 7 5 5 6 4 4 2" xfId="36310"/>
    <cellStyle name="Normal 7 5 5 6 4 5" xfId="36311"/>
    <cellStyle name="Normal 7 5 5 6 5" xfId="36312"/>
    <cellStyle name="Normal 7 5 5 6 5 2" xfId="36313"/>
    <cellStyle name="Normal 7 5 5 6 6" xfId="36314"/>
    <cellStyle name="Normal 7 5 5 6 6 2" xfId="36315"/>
    <cellStyle name="Normal 7 5 5 6 7" xfId="36316"/>
    <cellStyle name="Normal 7 5 5 6 7 2" xfId="36317"/>
    <cellStyle name="Normal 7 5 5 6 8" xfId="36318"/>
    <cellStyle name="Normal 7 5 5 7" xfId="36319"/>
    <cellStyle name="Normal 7 5 5 7 2" xfId="36320"/>
    <cellStyle name="Normal 7 5 5 7 2 2" xfId="36321"/>
    <cellStyle name="Normal 7 5 5 7 2 2 2" xfId="36322"/>
    <cellStyle name="Normal 7 5 5 7 2 2 2 2" xfId="36323"/>
    <cellStyle name="Normal 7 5 5 7 2 2 3" xfId="36324"/>
    <cellStyle name="Normal 7 5 5 7 2 2 3 2" xfId="36325"/>
    <cellStyle name="Normal 7 5 5 7 2 2 4" xfId="36326"/>
    <cellStyle name="Normal 7 5 5 7 2 2 4 2" xfId="36327"/>
    <cellStyle name="Normal 7 5 5 7 2 2 5" xfId="36328"/>
    <cellStyle name="Normal 7 5 5 7 2 3" xfId="36329"/>
    <cellStyle name="Normal 7 5 5 7 2 3 2" xfId="36330"/>
    <cellStyle name="Normal 7 5 5 7 2 3 2 2" xfId="36331"/>
    <cellStyle name="Normal 7 5 5 7 2 3 3" xfId="36332"/>
    <cellStyle name="Normal 7 5 5 7 2 3 3 2" xfId="36333"/>
    <cellStyle name="Normal 7 5 5 7 2 3 4" xfId="36334"/>
    <cellStyle name="Normal 7 5 5 7 2 3 4 2" xfId="36335"/>
    <cellStyle name="Normal 7 5 5 7 2 3 5" xfId="36336"/>
    <cellStyle name="Normal 7 5 5 7 2 4" xfId="36337"/>
    <cellStyle name="Normal 7 5 5 7 2 4 2" xfId="36338"/>
    <cellStyle name="Normal 7 5 5 7 2 5" xfId="36339"/>
    <cellStyle name="Normal 7 5 5 7 2 5 2" xfId="36340"/>
    <cellStyle name="Normal 7 5 5 7 2 6" xfId="36341"/>
    <cellStyle name="Normal 7 5 5 7 2 6 2" xfId="36342"/>
    <cellStyle name="Normal 7 5 5 7 2 7" xfId="36343"/>
    <cellStyle name="Normal 7 5 5 7 3" xfId="36344"/>
    <cellStyle name="Normal 7 5 5 7 3 2" xfId="36345"/>
    <cellStyle name="Normal 7 5 5 7 3 2 2" xfId="36346"/>
    <cellStyle name="Normal 7 5 5 7 3 3" xfId="36347"/>
    <cellStyle name="Normal 7 5 5 7 3 3 2" xfId="36348"/>
    <cellStyle name="Normal 7 5 5 7 3 4" xfId="36349"/>
    <cellStyle name="Normal 7 5 5 7 3 4 2" xfId="36350"/>
    <cellStyle name="Normal 7 5 5 7 3 5" xfId="36351"/>
    <cellStyle name="Normal 7 5 5 7 4" xfId="36352"/>
    <cellStyle name="Normal 7 5 5 7 4 2" xfId="36353"/>
    <cellStyle name="Normal 7 5 5 7 4 2 2" xfId="36354"/>
    <cellStyle name="Normal 7 5 5 7 4 3" xfId="36355"/>
    <cellStyle name="Normal 7 5 5 7 4 3 2" xfId="36356"/>
    <cellStyle name="Normal 7 5 5 7 4 4" xfId="36357"/>
    <cellStyle name="Normal 7 5 5 7 4 4 2" xfId="36358"/>
    <cellStyle name="Normal 7 5 5 7 4 5" xfId="36359"/>
    <cellStyle name="Normal 7 5 5 7 5" xfId="36360"/>
    <cellStyle name="Normal 7 5 5 7 5 2" xfId="36361"/>
    <cellStyle name="Normal 7 5 5 7 6" xfId="36362"/>
    <cellStyle name="Normal 7 5 5 7 6 2" xfId="36363"/>
    <cellStyle name="Normal 7 5 5 7 7" xfId="36364"/>
    <cellStyle name="Normal 7 5 5 7 7 2" xfId="36365"/>
    <cellStyle name="Normal 7 5 5 7 8" xfId="36366"/>
    <cellStyle name="Normal 7 5 5 8" xfId="36367"/>
    <cellStyle name="Normal 7 5 5 8 2" xfId="36368"/>
    <cellStyle name="Normal 7 5 5 8 2 2" xfId="36369"/>
    <cellStyle name="Normal 7 5 5 8 2 2 2" xfId="36370"/>
    <cellStyle name="Normal 7 5 5 8 2 3" xfId="36371"/>
    <cellStyle name="Normal 7 5 5 8 2 3 2" xfId="36372"/>
    <cellStyle name="Normal 7 5 5 8 2 4" xfId="36373"/>
    <cellStyle name="Normal 7 5 5 8 2 4 2" xfId="36374"/>
    <cellStyle name="Normal 7 5 5 8 2 5" xfId="36375"/>
    <cellStyle name="Normal 7 5 5 8 3" xfId="36376"/>
    <cellStyle name="Normal 7 5 5 8 3 2" xfId="36377"/>
    <cellStyle name="Normal 7 5 5 8 3 2 2" xfId="36378"/>
    <cellStyle name="Normal 7 5 5 8 3 3" xfId="36379"/>
    <cellStyle name="Normal 7 5 5 8 3 3 2" xfId="36380"/>
    <cellStyle name="Normal 7 5 5 8 3 4" xfId="36381"/>
    <cellStyle name="Normal 7 5 5 8 3 4 2" xfId="36382"/>
    <cellStyle name="Normal 7 5 5 8 3 5" xfId="36383"/>
    <cellStyle name="Normal 7 5 5 8 4" xfId="36384"/>
    <cellStyle name="Normal 7 5 5 8 4 2" xfId="36385"/>
    <cellStyle name="Normal 7 5 5 8 5" xfId="36386"/>
    <cellStyle name="Normal 7 5 5 8 5 2" xfId="36387"/>
    <cellStyle name="Normal 7 5 5 8 6" xfId="36388"/>
    <cellStyle name="Normal 7 5 5 8 6 2" xfId="36389"/>
    <cellStyle name="Normal 7 5 5 8 7" xfId="36390"/>
    <cellStyle name="Normal 7 5 5 9" xfId="36391"/>
    <cellStyle name="Normal 7 5 5 9 2" xfId="36392"/>
    <cellStyle name="Normal 7 5 5 9 2 2" xfId="36393"/>
    <cellStyle name="Normal 7 5 5 9 3" xfId="36394"/>
    <cellStyle name="Normal 7 5 5 9 3 2" xfId="36395"/>
    <cellStyle name="Normal 7 5 5 9 4" xfId="36396"/>
    <cellStyle name="Normal 7 5 5 9 4 2" xfId="36397"/>
    <cellStyle name="Normal 7 5 5 9 5" xfId="36398"/>
    <cellStyle name="Normal 7 5 6" xfId="36399"/>
    <cellStyle name="Normal 7 5 6 10" xfId="36400"/>
    <cellStyle name="Normal 7 5 6 10 2" xfId="36401"/>
    <cellStyle name="Normal 7 5 6 11" xfId="36402"/>
    <cellStyle name="Normal 7 5 6 11 2" xfId="36403"/>
    <cellStyle name="Normal 7 5 6 12" xfId="36404"/>
    <cellStyle name="Normal 7 5 6 12 2" xfId="36405"/>
    <cellStyle name="Normal 7 5 6 13" xfId="36406"/>
    <cellStyle name="Normal 7 5 6 2" xfId="36407"/>
    <cellStyle name="Normal 7 5 6 2 2" xfId="36408"/>
    <cellStyle name="Normal 7 5 6 2 2 2" xfId="36409"/>
    <cellStyle name="Normal 7 5 6 2 2 2 2" xfId="36410"/>
    <cellStyle name="Normal 7 5 6 2 2 2 2 2" xfId="36411"/>
    <cellStyle name="Normal 7 5 6 2 2 2 3" xfId="36412"/>
    <cellStyle name="Normal 7 5 6 2 2 2 3 2" xfId="36413"/>
    <cellStyle name="Normal 7 5 6 2 2 2 4" xfId="36414"/>
    <cellStyle name="Normal 7 5 6 2 2 2 4 2" xfId="36415"/>
    <cellStyle name="Normal 7 5 6 2 2 2 5" xfId="36416"/>
    <cellStyle name="Normal 7 5 6 2 2 3" xfId="36417"/>
    <cellStyle name="Normal 7 5 6 2 2 3 2" xfId="36418"/>
    <cellStyle name="Normal 7 5 6 2 2 3 2 2" xfId="36419"/>
    <cellStyle name="Normal 7 5 6 2 2 3 3" xfId="36420"/>
    <cellStyle name="Normal 7 5 6 2 2 3 3 2" xfId="36421"/>
    <cellStyle name="Normal 7 5 6 2 2 3 4" xfId="36422"/>
    <cellStyle name="Normal 7 5 6 2 2 3 4 2" xfId="36423"/>
    <cellStyle name="Normal 7 5 6 2 2 3 5" xfId="36424"/>
    <cellStyle name="Normal 7 5 6 2 2 4" xfId="36425"/>
    <cellStyle name="Normal 7 5 6 2 2 4 2" xfId="36426"/>
    <cellStyle name="Normal 7 5 6 2 2 5" xfId="36427"/>
    <cellStyle name="Normal 7 5 6 2 2 5 2" xfId="36428"/>
    <cellStyle name="Normal 7 5 6 2 2 6" xfId="36429"/>
    <cellStyle name="Normal 7 5 6 2 2 6 2" xfId="36430"/>
    <cellStyle name="Normal 7 5 6 2 2 7" xfId="36431"/>
    <cellStyle name="Normal 7 5 6 2 3" xfId="36432"/>
    <cellStyle name="Normal 7 5 6 2 3 2" xfId="36433"/>
    <cellStyle name="Normal 7 5 6 2 3 2 2" xfId="36434"/>
    <cellStyle name="Normal 7 5 6 2 3 3" xfId="36435"/>
    <cellStyle name="Normal 7 5 6 2 3 3 2" xfId="36436"/>
    <cellStyle name="Normal 7 5 6 2 3 4" xfId="36437"/>
    <cellStyle name="Normal 7 5 6 2 3 4 2" xfId="36438"/>
    <cellStyle name="Normal 7 5 6 2 3 5" xfId="36439"/>
    <cellStyle name="Normal 7 5 6 2 4" xfId="36440"/>
    <cellStyle name="Normal 7 5 6 2 4 2" xfId="36441"/>
    <cellStyle name="Normal 7 5 6 2 4 2 2" xfId="36442"/>
    <cellStyle name="Normal 7 5 6 2 4 3" xfId="36443"/>
    <cellStyle name="Normal 7 5 6 2 4 3 2" xfId="36444"/>
    <cellStyle name="Normal 7 5 6 2 4 4" xfId="36445"/>
    <cellStyle name="Normal 7 5 6 2 4 4 2" xfId="36446"/>
    <cellStyle name="Normal 7 5 6 2 4 5" xfId="36447"/>
    <cellStyle name="Normal 7 5 6 2 5" xfId="36448"/>
    <cellStyle name="Normal 7 5 6 2 5 2" xfId="36449"/>
    <cellStyle name="Normal 7 5 6 2 6" xfId="36450"/>
    <cellStyle name="Normal 7 5 6 2 6 2" xfId="36451"/>
    <cellStyle name="Normal 7 5 6 2 7" xfId="36452"/>
    <cellStyle name="Normal 7 5 6 2 7 2" xfId="36453"/>
    <cellStyle name="Normal 7 5 6 2 8" xfId="36454"/>
    <cellStyle name="Normal 7 5 6 3" xfId="36455"/>
    <cellStyle name="Normal 7 5 6 3 2" xfId="36456"/>
    <cellStyle name="Normal 7 5 6 3 2 2" xfId="36457"/>
    <cellStyle name="Normal 7 5 6 3 2 2 2" xfId="36458"/>
    <cellStyle name="Normal 7 5 6 3 2 2 2 2" xfId="36459"/>
    <cellStyle name="Normal 7 5 6 3 2 2 3" xfId="36460"/>
    <cellStyle name="Normal 7 5 6 3 2 2 3 2" xfId="36461"/>
    <cellStyle name="Normal 7 5 6 3 2 2 4" xfId="36462"/>
    <cellStyle name="Normal 7 5 6 3 2 2 4 2" xfId="36463"/>
    <cellStyle name="Normal 7 5 6 3 2 2 5" xfId="36464"/>
    <cellStyle name="Normal 7 5 6 3 2 3" xfId="36465"/>
    <cellStyle name="Normal 7 5 6 3 2 3 2" xfId="36466"/>
    <cellStyle name="Normal 7 5 6 3 2 3 2 2" xfId="36467"/>
    <cellStyle name="Normal 7 5 6 3 2 3 3" xfId="36468"/>
    <cellStyle name="Normal 7 5 6 3 2 3 3 2" xfId="36469"/>
    <cellStyle name="Normal 7 5 6 3 2 3 4" xfId="36470"/>
    <cellStyle name="Normal 7 5 6 3 2 3 4 2" xfId="36471"/>
    <cellStyle name="Normal 7 5 6 3 2 3 5" xfId="36472"/>
    <cellStyle name="Normal 7 5 6 3 2 4" xfId="36473"/>
    <cellStyle name="Normal 7 5 6 3 2 4 2" xfId="36474"/>
    <cellStyle name="Normal 7 5 6 3 2 5" xfId="36475"/>
    <cellStyle name="Normal 7 5 6 3 2 5 2" xfId="36476"/>
    <cellStyle name="Normal 7 5 6 3 2 6" xfId="36477"/>
    <cellStyle name="Normal 7 5 6 3 2 6 2" xfId="36478"/>
    <cellStyle name="Normal 7 5 6 3 2 7" xfId="36479"/>
    <cellStyle name="Normal 7 5 6 3 3" xfId="36480"/>
    <cellStyle name="Normal 7 5 6 3 3 2" xfId="36481"/>
    <cellStyle name="Normal 7 5 6 3 3 2 2" xfId="36482"/>
    <cellStyle name="Normal 7 5 6 3 3 3" xfId="36483"/>
    <cellStyle name="Normal 7 5 6 3 3 3 2" xfId="36484"/>
    <cellStyle name="Normal 7 5 6 3 3 4" xfId="36485"/>
    <cellStyle name="Normal 7 5 6 3 3 4 2" xfId="36486"/>
    <cellStyle name="Normal 7 5 6 3 3 5" xfId="36487"/>
    <cellStyle name="Normal 7 5 6 3 4" xfId="36488"/>
    <cellStyle name="Normal 7 5 6 3 4 2" xfId="36489"/>
    <cellStyle name="Normal 7 5 6 3 4 2 2" xfId="36490"/>
    <cellStyle name="Normal 7 5 6 3 4 3" xfId="36491"/>
    <cellStyle name="Normal 7 5 6 3 4 3 2" xfId="36492"/>
    <cellStyle name="Normal 7 5 6 3 4 4" xfId="36493"/>
    <cellStyle name="Normal 7 5 6 3 4 4 2" xfId="36494"/>
    <cellStyle name="Normal 7 5 6 3 4 5" xfId="36495"/>
    <cellStyle name="Normal 7 5 6 3 5" xfId="36496"/>
    <cellStyle name="Normal 7 5 6 3 5 2" xfId="36497"/>
    <cellStyle name="Normal 7 5 6 3 6" xfId="36498"/>
    <cellStyle name="Normal 7 5 6 3 6 2" xfId="36499"/>
    <cellStyle name="Normal 7 5 6 3 7" xfId="36500"/>
    <cellStyle name="Normal 7 5 6 3 7 2" xfId="36501"/>
    <cellStyle name="Normal 7 5 6 3 8" xfId="36502"/>
    <cellStyle name="Normal 7 5 6 4" xfId="36503"/>
    <cellStyle name="Normal 7 5 6 4 2" xfId="36504"/>
    <cellStyle name="Normal 7 5 6 4 2 2" xfId="36505"/>
    <cellStyle name="Normal 7 5 6 4 2 2 2" xfId="36506"/>
    <cellStyle name="Normal 7 5 6 4 2 2 2 2" xfId="36507"/>
    <cellStyle name="Normal 7 5 6 4 2 2 3" xfId="36508"/>
    <cellStyle name="Normal 7 5 6 4 2 2 3 2" xfId="36509"/>
    <cellStyle name="Normal 7 5 6 4 2 2 4" xfId="36510"/>
    <cellStyle name="Normal 7 5 6 4 2 2 4 2" xfId="36511"/>
    <cellStyle name="Normal 7 5 6 4 2 2 5" xfId="36512"/>
    <cellStyle name="Normal 7 5 6 4 2 3" xfId="36513"/>
    <cellStyle name="Normal 7 5 6 4 2 3 2" xfId="36514"/>
    <cellStyle name="Normal 7 5 6 4 2 3 2 2" xfId="36515"/>
    <cellStyle name="Normal 7 5 6 4 2 3 3" xfId="36516"/>
    <cellStyle name="Normal 7 5 6 4 2 3 3 2" xfId="36517"/>
    <cellStyle name="Normal 7 5 6 4 2 3 4" xfId="36518"/>
    <cellStyle name="Normal 7 5 6 4 2 3 4 2" xfId="36519"/>
    <cellStyle name="Normal 7 5 6 4 2 3 5" xfId="36520"/>
    <cellStyle name="Normal 7 5 6 4 2 4" xfId="36521"/>
    <cellStyle name="Normal 7 5 6 4 2 4 2" xfId="36522"/>
    <cellStyle name="Normal 7 5 6 4 2 5" xfId="36523"/>
    <cellStyle name="Normal 7 5 6 4 2 5 2" xfId="36524"/>
    <cellStyle name="Normal 7 5 6 4 2 6" xfId="36525"/>
    <cellStyle name="Normal 7 5 6 4 2 6 2" xfId="36526"/>
    <cellStyle name="Normal 7 5 6 4 2 7" xfId="36527"/>
    <cellStyle name="Normal 7 5 6 4 3" xfId="36528"/>
    <cellStyle name="Normal 7 5 6 4 3 2" xfId="36529"/>
    <cellStyle name="Normal 7 5 6 4 3 2 2" xfId="36530"/>
    <cellStyle name="Normal 7 5 6 4 3 3" xfId="36531"/>
    <cellStyle name="Normal 7 5 6 4 3 3 2" xfId="36532"/>
    <cellStyle name="Normal 7 5 6 4 3 4" xfId="36533"/>
    <cellStyle name="Normal 7 5 6 4 3 4 2" xfId="36534"/>
    <cellStyle name="Normal 7 5 6 4 3 5" xfId="36535"/>
    <cellStyle name="Normal 7 5 6 4 4" xfId="36536"/>
    <cellStyle name="Normal 7 5 6 4 4 2" xfId="36537"/>
    <cellStyle name="Normal 7 5 6 4 4 2 2" xfId="36538"/>
    <cellStyle name="Normal 7 5 6 4 4 3" xfId="36539"/>
    <cellStyle name="Normal 7 5 6 4 4 3 2" xfId="36540"/>
    <cellStyle name="Normal 7 5 6 4 4 4" xfId="36541"/>
    <cellStyle name="Normal 7 5 6 4 4 4 2" xfId="36542"/>
    <cellStyle name="Normal 7 5 6 4 4 5" xfId="36543"/>
    <cellStyle name="Normal 7 5 6 4 5" xfId="36544"/>
    <cellStyle name="Normal 7 5 6 4 5 2" xfId="36545"/>
    <cellStyle name="Normal 7 5 6 4 6" xfId="36546"/>
    <cellStyle name="Normal 7 5 6 4 6 2" xfId="36547"/>
    <cellStyle name="Normal 7 5 6 4 7" xfId="36548"/>
    <cellStyle name="Normal 7 5 6 4 7 2" xfId="36549"/>
    <cellStyle name="Normal 7 5 6 4 8" xfId="36550"/>
    <cellStyle name="Normal 7 5 6 5" xfId="36551"/>
    <cellStyle name="Normal 7 5 6 5 2" xfId="36552"/>
    <cellStyle name="Normal 7 5 6 5 2 2" xfId="36553"/>
    <cellStyle name="Normal 7 5 6 5 2 2 2" xfId="36554"/>
    <cellStyle name="Normal 7 5 6 5 2 2 2 2" xfId="36555"/>
    <cellStyle name="Normal 7 5 6 5 2 2 3" xfId="36556"/>
    <cellStyle name="Normal 7 5 6 5 2 2 3 2" xfId="36557"/>
    <cellStyle name="Normal 7 5 6 5 2 2 4" xfId="36558"/>
    <cellStyle name="Normal 7 5 6 5 2 2 4 2" xfId="36559"/>
    <cellStyle name="Normal 7 5 6 5 2 2 5" xfId="36560"/>
    <cellStyle name="Normal 7 5 6 5 2 3" xfId="36561"/>
    <cellStyle name="Normal 7 5 6 5 2 3 2" xfId="36562"/>
    <cellStyle name="Normal 7 5 6 5 2 3 2 2" xfId="36563"/>
    <cellStyle name="Normal 7 5 6 5 2 3 3" xfId="36564"/>
    <cellStyle name="Normal 7 5 6 5 2 3 3 2" xfId="36565"/>
    <cellStyle name="Normal 7 5 6 5 2 3 4" xfId="36566"/>
    <cellStyle name="Normal 7 5 6 5 2 3 4 2" xfId="36567"/>
    <cellStyle name="Normal 7 5 6 5 2 3 5" xfId="36568"/>
    <cellStyle name="Normal 7 5 6 5 2 4" xfId="36569"/>
    <cellStyle name="Normal 7 5 6 5 2 4 2" xfId="36570"/>
    <cellStyle name="Normal 7 5 6 5 2 5" xfId="36571"/>
    <cellStyle name="Normal 7 5 6 5 2 5 2" xfId="36572"/>
    <cellStyle name="Normal 7 5 6 5 2 6" xfId="36573"/>
    <cellStyle name="Normal 7 5 6 5 2 6 2" xfId="36574"/>
    <cellStyle name="Normal 7 5 6 5 2 7" xfId="36575"/>
    <cellStyle name="Normal 7 5 6 5 3" xfId="36576"/>
    <cellStyle name="Normal 7 5 6 5 3 2" xfId="36577"/>
    <cellStyle name="Normal 7 5 6 5 3 2 2" xfId="36578"/>
    <cellStyle name="Normal 7 5 6 5 3 3" xfId="36579"/>
    <cellStyle name="Normal 7 5 6 5 3 3 2" xfId="36580"/>
    <cellStyle name="Normal 7 5 6 5 3 4" xfId="36581"/>
    <cellStyle name="Normal 7 5 6 5 3 4 2" xfId="36582"/>
    <cellStyle name="Normal 7 5 6 5 3 5" xfId="36583"/>
    <cellStyle name="Normal 7 5 6 5 4" xfId="36584"/>
    <cellStyle name="Normal 7 5 6 5 4 2" xfId="36585"/>
    <cellStyle name="Normal 7 5 6 5 4 2 2" xfId="36586"/>
    <cellStyle name="Normal 7 5 6 5 4 3" xfId="36587"/>
    <cellStyle name="Normal 7 5 6 5 4 3 2" xfId="36588"/>
    <cellStyle name="Normal 7 5 6 5 4 4" xfId="36589"/>
    <cellStyle name="Normal 7 5 6 5 4 4 2" xfId="36590"/>
    <cellStyle name="Normal 7 5 6 5 4 5" xfId="36591"/>
    <cellStyle name="Normal 7 5 6 5 5" xfId="36592"/>
    <cellStyle name="Normal 7 5 6 5 5 2" xfId="36593"/>
    <cellStyle name="Normal 7 5 6 5 6" xfId="36594"/>
    <cellStyle name="Normal 7 5 6 5 6 2" xfId="36595"/>
    <cellStyle name="Normal 7 5 6 5 7" xfId="36596"/>
    <cellStyle name="Normal 7 5 6 5 7 2" xfId="36597"/>
    <cellStyle name="Normal 7 5 6 5 8" xfId="36598"/>
    <cellStyle name="Normal 7 5 6 6" xfId="36599"/>
    <cellStyle name="Normal 7 5 6 6 2" xfId="36600"/>
    <cellStyle name="Normal 7 5 6 6 2 2" xfId="36601"/>
    <cellStyle name="Normal 7 5 6 6 2 2 2" xfId="36602"/>
    <cellStyle name="Normal 7 5 6 6 2 2 2 2" xfId="36603"/>
    <cellStyle name="Normal 7 5 6 6 2 2 3" xfId="36604"/>
    <cellStyle name="Normal 7 5 6 6 2 2 3 2" xfId="36605"/>
    <cellStyle name="Normal 7 5 6 6 2 2 4" xfId="36606"/>
    <cellStyle name="Normal 7 5 6 6 2 2 4 2" xfId="36607"/>
    <cellStyle name="Normal 7 5 6 6 2 2 5" xfId="36608"/>
    <cellStyle name="Normal 7 5 6 6 2 3" xfId="36609"/>
    <cellStyle name="Normal 7 5 6 6 2 3 2" xfId="36610"/>
    <cellStyle name="Normal 7 5 6 6 2 3 2 2" xfId="36611"/>
    <cellStyle name="Normal 7 5 6 6 2 3 3" xfId="36612"/>
    <cellStyle name="Normal 7 5 6 6 2 3 3 2" xfId="36613"/>
    <cellStyle name="Normal 7 5 6 6 2 3 4" xfId="36614"/>
    <cellStyle name="Normal 7 5 6 6 2 3 4 2" xfId="36615"/>
    <cellStyle name="Normal 7 5 6 6 2 3 5" xfId="36616"/>
    <cellStyle name="Normal 7 5 6 6 2 4" xfId="36617"/>
    <cellStyle name="Normal 7 5 6 6 2 4 2" xfId="36618"/>
    <cellStyle name="Normal 7 5 6 6 2 5" xfId="36619"/>
    <cellStyle name="Normal 7 5 6 6 2 5 2" xfId="36620"/>
    <cellStyle name="Normal 7 5 6 6 2 6" xfId="36621"/>
    <cellStyle name="Normal 7 5 6 6 2 6 2" xfId="36622"/>
    <cellStyle name="Normal 7 5 6 6 2 7" xfId="36623"/>
    <cellStyle name="Normal 7 5 6 6 3" xfId="36624"/>
    <cellStyle name="Normal 7 5 6 6 3 2" xfId="36625"/>
    <cellStyle name="Normal 7 5 6 6 3 2 2" xfId="36626"/>
    <cellStyle name="Normal 7 5 6 6 3 3" xfId="36627"/>
    <cellStyle name="Normal 7 5 6 6 3 3 2" xfId="36628"/>
    <cellStyle name="Normal 7 5 6 6 3 4" xfId="36629"/>
    <cellStyle name="Normal 7 5 6 6 3 4 2" xfId="36630"/>
    <cellStyle name="Normal 7 5 6 6 3 5" xfId="36631"/>
    <cellStyle name="Normal 7 5 6 6 4" xfId="36632"/>
    <cellStyle name="Normal 7 5 6 6 4 2" xfId="36633"/>
    <cellStyle name="Normal 7 5 6 6 4 2 2" xfId="36634"/>
    <cellStyle name="Normal 7 5 6 6 4 3" xfId="36635"/>
    <cellStyle name="Normal 7 5 6 6 4 3 2" xfId="36636"/>
    <cellStyle name="Normal 7 5 6 6 4 4" xfId="36637"/>
    <cellStyle name="Normal 7 5 6 6 4 4 2" xfId="36638"/>
    <cellStyle name="Normal 7 5 6 6 4 5" xfId="36639"/>
    <cellStyle name="Normal 7 5 6 6 5" xfId="36640"/>
    <cellStyle name="Normal 7 5 6 6 5 2" xfId="36641"/>
    <cellStyle name="Normal 7 5 6 6 6" xfId="36642"/>
    <cellStyle name="Normal 7 5 6 6 6 2" xfId="36643"/>
    <cellStyle name="Normal 7 5 6 6 7" xfId="36644"/>
    <cellStyle name="Normal 7 5 6 6 7 2" xfId="36645"/>
    <cellStyle name="Normal 7 5 6 6 8" xfId="36646"/>
    <cellStyle name="Normal 7 5 6 7" xfId="36647"/>
    <cellStyle name="Normal 7 5 6 7 2" xfId="36648"/>
    <cellStyle name="Normal 7 5 6 7 2 2" xfId="36649"/>
    <cellStyle name="Normal 7 5 6 7 2 2 2" xfId="36650"/>
    <cellStyle name="Normal 7 5 6 7 2 3" xfId="36651"/>
    <cellStyle name="Normal 7 5 6 7 2 3 2" xfId="36652"/>
    <cellStyle name="Normal 7 5 6 7 2 4" xfId="36653"/>
    <cellStyle name="Normal 7 5 6 7 2 4 2" xfId="36654"/>
    <cellStyle name="Normal 7 5 6 7 2 5" xfId="36655"/>
    <cellStyle name="Normal 7 5 6 7 3" xfId="36656"/>
    <cellStyle name="Normal 7 5 6 7 3 2" xfId="36657"/>
    <cellStyle name="Normal 7 5 6 7 3 2 2" xfId="36658"/>
    <cellStyle name="Normal 7 5 6 7 3 3" xfId="36659"/>
    <cellStyle name="Normal 7 5 6 7 3 3 2" xfId="36660"/>
    <cellStyle name="Normal 7 5 6 7 3 4" xfId="36661"/>
    <cellStyle name="Normal 7 5 6 7 3 4 2" xfId="36662"/>
    <cellStyle name="Normal 7 5 6 7 3 5" xfId="36663"/>
    <cellStyle name="Normal 7 5 6 7 4" xfId="36664"/>
    <cellStyle name="Normal 7 5 6 7 4 2" xfId="36665"/>
    <cellStyle name="Normal 7 5 6 7 5" xfId="36666"/>
    <cellStyle name="Normal 7 5 6 7 5 2" xfId="36667"/>
    <cellStyle name="Normal 7 5 6 7 6" xfId="36668"/>
    <cellStyle name="Normal 7 5 6 7 6 2" xfId="36669"/>
    <cellStyle name="Normal 7 5 6 7 7" xfId="36670"/>
    <cellStyle name="Normal 7 5 6 8" xfId="36671"/>
    <cellStyle name="Normal 7 5 6 8 2" xfId="36672"/>
    <cellStyle name="Normal 7 5 6 8 2 2" xfId="36673"/>
    <cellStyle name="Normal 7 5 6 8 3" xfId="36674"/>
    <cellStyle name="Normal 7 5 6 8 3 2" xfId="36675"/>
    <cellStyle name="Normal 7 5 6 8 4" xfId="36676"/>
    <cellStyle name="Normal 7 5 6 8 4 2" xfId="36677"/>
    <cellStyle name="Normal 7 5 6 8 5" xfId="36678"/>
    <cellStyle name="Normal 7 5 6 9" xfId="36679"/>
    <cellStyle name="Normal 7 5 6 9 2" xfId="36680"/>
    <cellStyle name="Normal 7 5 6 9 2 2" xfId="36681"/>
    <cellStyle name="Normal 7 5 6 9 3" xfId="36682"/>
    <cellStyle name="Normal 7 5 6 9 3 2" xfId="36683"/>
    <cellStyle name="Normal 7 5 6 9 4" xfId="36684"/>
    <cellStyle name="Normal 7 5 6 9 4 2" xfId="36685"/>
    <cellStyle name="Normal 7 5 6 9 5" xfId="36686"/>
    <cellStyle name="Normal 7 5 7" xfId="36687"/>
    <cellStyle name="Normal 7 5 7 2" xfId="36688"/>
    <cellStyle name="Normal 7 5 7 2 2" xfId="36689"/>
    <cellStyle name="Normal 7 5 7 2 2 2" xfId="36690"/>
    <cellStyle name="Normal 7 5 7 2 2 2 2" xfId="36691"/>
    <cellStyle name="Normal 7 5 7 2 2 3" xfId="36692"/>
    <cellStyle name="Normal 7 5 7 2 2 3 2" xfId="36693"/>
    <cellStyle name="Normal 7 5 7 2 2 4" xfId="36694"/>
    <cellStyle name="Normal 7 5 7 2 2 4 2" xfId="36695"/>
    <cellStyle name="Normal 7 5 7 2 2 5" xfId="36696"/>
    <cellStyle name="Normal 7 5 7 2 3" xfId="36697"/>
    <cellStyle name="Normal 7 5 7 2 3 2" xfId="36698"/>
    <cellStyle name="Normal 7 5 7 2 3 2 2" xfId="36699"/>
    <cellStyle name="Normal 7 5 7 2 3 3" xfId="36700"/>
    <cellStyle name="Normal 7 5 7 2 3 3 2" xfId="36701"/>
    <cellStyle name="Normal 7 5 7 2 3 4" xfId="36702"/>
    <cellStyle name="Normal 7 5 7 2 3 4 2" xfId="36703"/>
    <cellStyle name="Normal 7 5 7 2 3 5" xfId="36704"/>
    <cellStyle name="Normal 7 5 7 2 4" xfId="36705"/>
    <cellStyle name="Normal 7 5 7 2 4 2" xfId="36706"/>
    <cellStyle name="Normal 7 5 7 2 5" xfId="36707"/>
    <cellStyle name="Normal 7 5 7 2 5 2" xfId="36708"/>
    <cellStyle name="Normal 7 5 7 2 6" xfId="36709"/>
    <cellStyle name="Normal 7 5 7 2 6 2" xfId="36710"/>
    <cellStyle name="Normal 7 5 7 2 7" xfId="36711"/>
    <cellStyle name="Normal 7 5 7 3" xfId="36712"/>
    <cellStyle name="Normal 7 5 7 3 2" xfId="36713"/>
    <cellStyle name="Normal 7 5 7 3 2 2" xfId="36714"/>
    <cellStyle name="Normal 7 5 7 3 3" xfId="36715"/>
    <cellStyle name="Normal 7 5 7 3 3 2" xfId="36716"/>
    <cellStyle name="Normal 7 5 7 3 4" xfId="36717"/>
    <cellStyle name="Normal 7 5 7 3 4 2" xfId="36718"/>
    <cellStyle name="Normal 7 5 7 3 5" xfId="36719"/>
    <cellStyle name="Normal 7 5 7 4" xfId="36720"/>
    <cellStyle name="Normal 7 5 7 4 2" xfId="36721"/>
    <cellStyle name="Normal 7 5 7 4 2 2" xfId="36722"/>
    <cellStyle name="Normal 7 5 7 4 3" xfId="36723"/>
    <cellStyle name="Normal 7 5 7 4 3 2" xfId="36724"/>
    <cellStyle name="Normal 7 5 7 4 4" xfId="36725"/>
    <cellStyle name="Normal 7 5 7 4 4 2" xfId="36726"/>
    <cellStyle name="Normal 7 5 7 4 5" xfId="36727"/>
    <cellStyle name="Normal 7 5 7 5" xfId="36728"/>
    <cellStyle name="Normal 7 5 7 5 2" xfId="36729"/>
    <cellStyle name="Normal 7 5 7 6" xfId="36730"/>
    <cellStyle name="Normal 7 5 7 6 2" xfId="36731"/>
    <cellStyle name="Normal 7 5 7 7" xfId="36732"/>
    <cellStyle name="Normal 7 5 7 7 2" xfId="36733"/>
    <cellStyle name="Normal 7 5 7 8" xfId="36734"/>
    <cellStyle name="Normal 7 5 8" xfId="36735"/>
    <cellStyle name="Normal 7 5 8 2" xfId="36736"/>
    <cellStyle name="Normal 7 5 8 2 2" xfId="36737"/>
    <cellStyle name="Normal 7 5 8 2 2 2" xfId="36738"/>
    <cellStyle name="Normal 7 5 8 2 2 2 2" xfId="36739"/>
    <cellStyle name="Normal 7 5 8 2 2 3" xfId="36740"/>
    <cellStyle name="Normal 7 5 8 2 2 3 2" xfId="36741"/>
    <cellStyle name="Normal 7 5 8 2 2 4" xfId="36742"/>
    <cellStyle name="Normal 7 5 8 2 2 4 2" xfId="36743"/>
    <cellStyle name="Normal 7 5 8 2 2 5" xfId="36744"/>
    <cellStyle name="Normal 7 5 8 2 3" xfId="36745"/>
    <cellStyle name="Normal 7 5 8 2 3 2" xfId="36746"/>
    <cellStyle name="Normal 7 5 8 2 3 2 2" xfId="36747"/>
    <cellStyle name="Normal 7 5 8 2 3 3" xfId="36748"/>
    <cellStyle name="Normal 7 5 8 2 3 3 2" xfId="36749"/>
    <cellStyle name="Normal 7 5 8 2 3 4" xfId="36750"/>
    <cellStyle name="Normal 7 5 8 2 3 4 2" xfId="36751"/>
    <cellStyle name="Normal 7 5 8 2 3 5" xfId="36752"/>
    <cellStyle name="Normal 7 5 8 2 4" xfId="36753"/>
    <cellStyle name="Normal 7 5 8 2 4 2" xfId="36754"/>
    <cellStyle name="Normal 7 5 8 2 5" xfId="36755"/>
    <cellStyle name="Normal 7 5 8 2 5 2" xfId="36756"/>
    <cellStyle name="Normal 7 5 8 2 6" xfId="36757"/>
    <cellStyle name="Normal 7 5 8 2 6 2" xfId="36758"/>
    <cellStyle name="Normal 7 5 8 2 7" xfId="36759"/>
    <cellStyle name="Normal 7 5 8 3" xfId="36760"/>
    <cellStyle name="Normal 7 5 8 3 2" xfId="36761"/>
    <cellStyle name="Normal 7 5 8 3 2 2" xfId="36762"/>
    <cellStyle name="Normal 7 5 8 3 3" xfId="36763"/>
    <cellStyle name="Normal 7 5 8 3 3 2" xfId="36764"/>
    <cellStyle name="Normal 7 5 8 3 4" xfId="36765"/>
    <cellStyle name="Normal 7 5 8 3 4 2" xfId="36766"/>
    <cellStyle name="Normal 7 5 8 3 5" xfId="36767"/>
    <cellStyle name="Normal 7 5 8 4" xfId="36768"/>
    <cellStyle name="Normal 7 5 8 4 2" xfId="36769"/>
    <cellStyle name="Normal 7 5 8 4 2 2" xfId="36770"/>
    <cellStyle name="Normal 7 5 8 4 3" xfId="36771"/>
    <cellStyle name="Normal 7 5 8 4 3 2" xfId="36772"/>
    <cellStyle name="Normal 7 5 8 4 4" xfId="36773"/>
    <cellStyle name="Normal 7 5 8 4 4 2" xfId="36774"/>
    <cellStyle name="Normal 7 5 8 4 5" xfId="36775"/>
    <cellStyle name="Normal 7 5 8 5" xfId="36776"/>
    <cellStyle name="Normal 7 5 8 5 2" xfId="36777"/>
    <cellStyle name="Normal 7 5 8 6" xfId="36778"/>
    <cellStyle name="Normal 7 5 8 6 2" xfId="36779"/>
    <cellStyle name="Normal 7 5 8 7" xfId="36780"/>
    <cellStyle name="Normal 7 5 8 7 2" xfId="36781"/>
    <cellStyle name="Normal 7 5 8 8" xfId="36782"/>
    <cellStyle name="Normal 7 5 9" xfId="36783"/>
    <cellStyle name="Normal 7 5 9 2" xfId="36784"/>
    <cellStyle name="Normal 7 5 9 2 2" xfId="36785"/>
    <cellStyle name="Normal 7 5 9 2 2 2" xfId="36786"/>
    <cellStyle name="Normal 7 5 9 2 2 2 2" xfId="36787"/>
    <cellStyle name="Normal 7 5 9 2 2 3" xfId="36788"/>
    <cellStyle name="Normal 7 5 9 2 2 3 2" xfId="36789"/>
    <cellStyle name="Normal 7 5 9 2 2 4" xfId="36790"/>
    <cellStyle name="Normal 7 5 9 2 2 4 2" xfId="36791"/>
    <cellStyle name="Normal 7 5 9 2 2 5" xfId="36792"/>
    <cellStyle name="Normal 7 5 9 2 3" xfId="36793"/>
    <cellStyle name="Normal 7 5 9 2 3 2" xfId="36794"/>
    <cellStyle name="Normal 7 5 9 2 3 2 2" xfId="36795"/>
    <cellStyle name="Normal 7 5 9 2 3 3" xfId="36796"/>
    <cellStyle name="Normal 7 5 9 2 3 3 2" xfId="36797"/>
    <cellStyle name="Normal 7 5 9 2 3 4" xfId="36798"/>
    <cellStyle name="Normal 7 5 9 2 3 4 2" xfId="36799"/>
    <cellStyle name="Normal 7 5 9 2 3 5" xfId="36800"/>
    <cellStyle name="Normal 7 5 9 2 4" xfId="36801"/>
    <cellStyle name="Normal 7 5 9 2 4 2" xfId="36802"/>
    <cellStyle name="Normal 7 5 9 2 5" xfId="36803"/>
    <cellStyle name="Normal 7 5 9 2 5 2" xfId="36804"/>
    <cellStyle name="Normal 7 5 9 2 6" xfId="36805"/>
    <cellStyle name="Normal 7 5 9 2 6 2" xfId="36806"/>
    <cellStyle name="Normal 7 5 9 2 7" xfId="36807"/>
    <cellStyle name="Normal 7 5 9 3" xfId="36808"/>
    <cellStyle name="Normal 7 5 9 3 2" xfId="36809"/>
    <cellStyle name="Normal 7 5 9 3 2 2" xfId="36810"/>
    <cellStyle name="Normal 7 5 9 3 3" xfId="36811"/>
    <cellStyle name="Normal 7 5 9 3 3 2" xfId="36812"/>
    <cellStyle name="Normal 7 5 9 3 4" xfId="36813"/>
    <cellStyle name="Normal 7 5 9 3 4 2" xfId="36814"/>
    <cellStyle name="Normal 7 5 9 3 5" xfId="36815"/>
    <cellStyle name="Normal 7 5 9 4" xfId="36816"/>
    <cellStyle name="Normal 7 5 9 4 2" xfId="36817"/>
    <cellStyle name="Normal 7 5 9 4 2 2" xfId="36818"/>
    <cellStyle name="Normal 7 5 9 4 3" xfId="36819"/>
    <cellStyle name="Normal 7 5 9 4 3 2" xfId="36820"/>
    <cellStyle name="Normal 7 5 9 4 4" xfId="36821"/>
    <cellStyle name="Normal 7 5 9 4 4 2" xfId="36822"/>
    <cellStyle name="Normal 7 5 9 4 5" xfId="36823"/>
    <cellStyle name="Normal 7 5 9 5" xfId="36824"/>
    <cellStyle name="Normal 7 5 9 5 2" xfId="36825"/>
    <cellStyle name="Normal 7 5 9 6" xfId="36826"/>
    <cellStyle name="Normal 7 5 9 6 2" xfId="36827"/>
    <cellStyle name="Normal 7 5 9 7" xfId="36828"/>
    <cellStyle name="Normal 7 5 9 7 2" xfId="36829"/>
    <cellStyle name="Normal 7 5 9 8" xfId="36830"/>
    <cellStyle name="Normal 7 6" xfId="36831"/>
    <cellStyle name="Normal 7 6 10" xfId="36832"/>
    <cellStyle name="Normal 7 6 10 2" xfId="36833"/>
    <cellStyle name="Normal 7 6 10 2 2" xfId="36834"/>
    <cellStyle name="Normal 7 6 10 3" xfId="36835"/>
    <cellStyle name="Normal 7 6 10 3 2" xfId="36836"/>
    <cellStyle name="Normal 7 6 10 4" xfId="36837"/>
    <cellStyle name="Normal 7 6 10 4 2" xfId="36838"/>
    <cellStyle name="Normal 7 6 10 5" xfId="36839"/>
    <cellStyle name="Normal 7 6 11" xfId="36840"/>
    <cellStyle name="Normal 7 6 11 2" xfId="36841"/>
    <cellStyle name="Normal 7 6 12" xfId="36842"/>
    <cellStyle name="Normal 7 6 12 2" xfId="36843"/>
    <cellStyle name="Normal 7 6 13" xfId="36844"/>
    <cellStyle name="Normal 7 6 13 2" xfId="36845"/>
    <cellStyle name="Normal 7 6 14" xfId="36846"/>
    <cellStyle name="Normal 7 6 2" xfId="36847"/>
    <cellStyle name="Normal 7 6 2 10" xfId="36848"/>
    <cellStyle name="Normal 7 6 2 10 2" xfId="36849"/>
    <cellStyle name="Normal 7 6 2 11" xfId="36850"/>
    <cellStyle name="Normal 7 6 2 11 2" xfId="36851"/>
    <cellStyle name="Normal 7 6 2 12" xfId="36852"/>
    <cellStyle name="Normal 7 6 2 12 2" xfId="36853"/>
    <cellStyle name="Normal 7 6 2 13" xfId="36854"/>
    <cellStyle name="Normal 7 6 2 2" xfId="36855"/>
    <cellStyle name="Normal 7 6 2 2 2" xfId="36856"/>
    <cellStyle name="Normal 7 6 2 2 2 2" xfId="36857"/>
    <cellStyle name="Normal 7 6 2 2 2 2 2" xfId="36858"/>
    <cellStyle name="Normal 7 6 2 2 2 2 2 2" xfId="36859"/>
    <cellStyle name="Normal 7 6 2 2 2 2 3" xfId="36860"/>
    <cellStyle name="Normal 7 6 2 2 2 2 3 2" xfId="36861"/>
    <cellStyle name="Normal 7 6 2 2 2 2 4" xfId="36862"/>
    <cellStyle name="Normal 7 6 2 2 2 2 4 2" xfId="36863"/>
    <cellStyle name="Normal 7 6 2 2 2 2 5" xfId="36864"/>
    <cellStyle name="Normal 7 6 2 2 2 3" xfId="36865"/>
    <cellStyle name="Normal 7 6 2 2 2 3 2" xfId="36866"/>
    <cellStyle name="Normal 7 6 2 2 2 3 2 2" xfId="36867"/>
    <cellStyle name="Normal 7 6 2 2 2 3 3" xfId="36868"/>
    <cellStyle name="Normal 7 6 2 2 2 3 3 2" xfId="36869"/>
    <cellStyle name="Normal 7 6 2 2 2 3 4" xfId="36870"/>
    <cellStyle name="Normal 7 6 2 2 2 3 4 2" xfId="36871"/>
    <cellStyle name="Normal 7 6 2 2 2 3 5" xfId="36872"/>
    <cellStyle name="Normal 7 6 2 2 2 4" xfId="36873"/>
    <cellStyle name="Normal 7 6 2 2 2 4 2" xfId="36874"/>
    <cellStyle name="Normal 7 6 2 2 2 5" xfId="36875"/>
    <cellStyle name="Normal 7 6 2 2 2 5 2" xfId="36876"/>
    <cellStyle name="Normal 7 6 2 2 2 6" xfId="36877"/>
    <cellStyle name="Normal 7 6 2 2 2 6 2" xfId="36878"/>
    <cellStyle name="Normal 7 6 2 2 2 7" xfId="36879"/>
    <cellStyle name="Normal 7 6 2 2 3" xfId="36880"/>
    <cellStyle name="Normal 7 6 2 2 3 2" xfId="36881"/>
    <cellStyle name="Normal 7 6 2 2 3 2 2" xfId="36882"/>
    <cellStyle name="Normal 7 6 2 2 3 3" xfId="36883"/>
    <cellStyle name="Normal 7 6 2 2 3 3 2" xfId="36884"/>
    <cellStyle name="Normal 7 6 2 2 3 4" xfId="36885"/>
    <cellStyle name="Normal 7 6 2 2 3 4 2" xfId="36886"/>
    <cellStyle name="Normal 7 6 2 2 3 5" xfId="36887"/>
    <cellStyle name="Normal 7 6 2 2 4" xfId="36888"/>
    <cellStyle name="Normal 7 6 2 2 4 2" xfId="36889"/>
    <cellStyle name="Normal 7 6 2 2 4 2 2" xfId="36890"/>
    <cellStyle name="Normal 7 6 2 2 4 3" xfId="36891"/>
    <cellStyle name="Normal 7 6 2 2 4 3 2" xfId="36892"/>
    <cellStyle name="Normal 7 6 2 2 4 4" xfId="36893"/>
    <cellStyle name="Normal 7 6 2 2 4 4 2" xfId="36894"/>
    <cellStyle name="Normal 7 6 2 2 4 5" xfId="36895"/>
    <cellStyle name="Normal 7 6 2 2 5" xfId="36896"/>
    <cellStyle name="Normal 7 6 2 2 5 2" xfId="36897"/>
    <cellStyle name="Normal 7 6 2 2 6" xfId="36898"/>
    <cellStyle name="Normal 7 6 2 2 6 2" xfId="36899"/>
    <cellStyle name="Normal 7 6 2 2 7" xfId="36900"/>
    <cellStyle name="Normal 7 6 2 2 7 2" xfId="36901"/>
    <cellStyle name="Normal 7 6 2 2 8" xfId="36902"/>
    <cellStyle name="Normal 7 6 2 3" xfId="36903"/>
    <cellStyle name="Normal 7 6 2 3 2" xfId="36904"/>
    <cellStyle name="Normal 7 6 2 3 2 2" xfId="36905"/>
    <cellStyle name="Normal 7 6 2 3 2 2 2" xfId="36906"/>
    <cellStyle name="Normal 7 6 2 3 2 2 2 2" xfId="36907"/>
    <cellStyle name="Normal 7 6 2 3 2 2 3" xfId="36908"/>
    <cellStyle name="Normal 7 6 2 3 2 2 3 2" xfId="36909"/>
    <cellStyle name="Normal 7 6 2 3 2 2 4" xfId="36910"/>
    <cellStyle name="Normal 7 6 2 3 2 2 4 2" xfId="36911"/>
    <cellStyle name="Normal 7 6 2 3 2 2 5" xfId="36912"/>
    <cellStyle name="Normal 7 6 2 3 2 3" xfId="36913"/>
    <cellStyle name="Normal 7 6 2 3 2 3 2" xfId="36914"/>
    <cellStyle name="Normal 7 6 2 3 2 3 2 2" xfId="36915"/>
    <cellStyle name="Normal 7 6 2 3 2 3 3" xfId="36916"/>
    <cellStyle name="Normal 7 6 2 3 2 3 3 2" xfId="36917"/>
    <cellStyle name="Normal 7 6 2 3 2 3 4" xfId="36918"/>
    <cellStyle name="Normal 7 6 2 3 2 3 4 2" xfId="36919"/>
    <cellStyle name="Normal 7 6 2 3 2 3 5" xfId="36920"/>
    <cellStyle name="Normal 7 6 2 3 2 4" xfId="36921"/>
    <cellStyle name="Normal 7 6 2 3 2 4 2" xfId="36922"/>
    <cellStyle name="Normal 7 6 2 3 2 5" xfId="36923"/>
    <cellStyle name="Normal 7 6 2 3 2 5 2" xfId="36924"/>
    <cellStyle name="Normal 7 6 2 3 2 6" xfId="36925"/>
    <cellStyle name="Normal 7 6 2 3 2 6 2" xfId="36926"/>
    <cellStyle name="Normal 7 6 2 3 2 7" xfId="36927"/>
    <cellStyle name="Normal 7 6 2 3 3" xfId="36928"/>
    <cellStyle name="Normal 7 6 2 3 3 2" xfId="36929"/>
    <cellStyle name="Normal 7 6 2 3 3 2 2" xfId="36930"/>
    <cellStyle name="Normal 7 6 2 3 3 3" xfId="36931"/>
    <cellStyle name="Normal 7 6 2 3 3 3 2" xfId="36932"/>
    <cellStyle name="Normal 7 6 2 3 3 4" xfId="36933"/>
    <cellStyle name="Normal 7 6 2 3 3 4 2" xfId="36934"/>
    <cellStyle name="Normal 7 6 2 3 3 5" xfId="36935"/>
    <cellStyle name="Normal 7 6 2 3 4" xfId="36936"/>
    <cellStyle name="Normal 7 6 2 3 4 2" xfId="36937"/>
    <cellStyle name="Normal 7 6 2 3 4 2 2" xfId="36938"/>
    <cellStyle name="Normal 7 6 2 3 4 3" xfId="36939"/>
    <cellStyle name="Normal 7 6 2 3 4 3 2" xfId="36940"/>
    <cellStyle name="Normal 7 6 2 3 4 4" xfId="36941"/>
    <cellStyle name="Normal 7 6 2 3 4 4 2" xfId="36942"/>
    <cellStyle name="Normal 7 6 2 3 4 5" xfId="36943"/>
    <cellStyle name="Normal 7 6 2 3 5" xfId="36944"/>
    <cellStyle name="Normal 7 6 2 3 5 2" xfId="36945"/>
    <cellStyle name="Normal 7 6 2 3 6" xfId="36946"/>
    <cellStyle name="Normal 7 6 2 3 6 2" xfId="36947"/>
    <cellStyle name="Normal 7 6 2 3 7" xfId="36948"/>
    <cellStyle name="Normal 7 6 2 3 7 2" xfId="36949"/>
    <cellStyle name="Normal 7 6 2 3 8" xfId="36950"/>
    <cellStyle name="Normal 7 6 2 4" xfId="36951"/>
    <cellStyle name="Normal 7 6 2 4 2" xfId="36952"/>
    <cellStyle name="Normal 7 6 2 4 2 2" xfId="36953"/>
    <cellStyle name="Normal 7 6 2 4 2 2 2" xfId="36954"/>
    <cellStyle name="Normal 7 6 2 4 2 2 2 2" xfId="36955"/>
    <cellStyle name="Normal 7 6 2 4 2 2 3" xfId="36956"/>
    <cellStyle name="Normal 7 6 2 4 2 2 3 2" xfId="36957"/>
    <cellStyle name="Normal 7 6 2 4 2 2 4" xfId="36958"/>
    <cellStyle name="Normal 7 6 2 4 2 2 4 2" xfId="36959"/>
    <cellStyle name="Normal 7 6 2 4 2 2 5" xfId="36960"/>
    <cellStyle name="Normal 7 6 2 4 2 3" xfId="36961"/>
    <cellStyle name="Normal 7 6 2 4 2 3 2" xfId="36962"/>
    <cellStyle name="Normal 7 6 2 4 2 3 2 2" xfId="36963"/>
    <cellStyle name="Normal 7 6 2 4 2 3 3" xfId="36964"/>
    <cellStyle name="Normal 7 6 2 4 2 3 3 2" xfId="36965"/>
    <cellStyle name="Normal 7 6 2 4 2 3 4" xfId="36966"/>
    <cellStyle name="Normal 7 6 2 4 2 3 4 2" xfId="36967"/>
    <cellStyle name="Normal 7 6 2 4 2 3 5" xfId="36968"/>
    <cellStyle name="Normal 7 6 2 4 2 4" xfId="36969"/>
    <cellStyle name="Normal 7 6 2 4 2 4 2" xfId="36970"/>
    <cellStyle name="Normal 7 6 2 4 2 5" xfId="36971"/>
    <cellStyle name="Normal 7 6 2 4 2 5 2" xfId="36972"/>
    <cellStyle name="Normal 7 6 2 4 2 6" xfId="36973"/>
    <cellStyle name="Normal 7 6 2 4 2 6 2" xfId="36974"/>
    <cellStyle name="Normal 7 6 2 4 2 7" xfId="36975"/>
    <cellStyle name="Normal 7 6 2 4 3" xfId="36976"/>
    <cellStyle name="Normal 7 6 2 4 3 2" xfId="36977"/>
    <cellStyle name="Normal 7 6 2 4 3 2 2" xfId="36978"/>
    <cellStyle name="Normal 7 6 2 4 3 3" xfId="36979"/>
    <cellStyle name="Normal 7 6 2 4 3 3 2" xfId="36980"/>
    <cellStyle name="Normal 7 6 2 4 3 4" xfId="36981"/>
    <cellStyle name="Normal 7 6 2 4 3 4 2" xfId="36982"/>
    <cellStyle name="Normal 7 6 2 4 3 5" xfId="36983"/>
    <cellStyle name="Normal 7 6 2 4 4" xfId="36984"/>
    <cellStyle name="Normal 7 6 2 4 4 2" xfId="36985"/>
    <cellStyle name="Normal 7 6 2 4 4 2 2" xfId="36986"/>
    <cellStyle name="Normal 7 6 2 4 4 3" xfId="36987"/>
    <cellStyle name="Normal 7 6 2 4 4 3 2" xfId="36988"/>
    <cellStyle name="Normal 7 6 2 4 4 4" xfId="36989"/>
    <cellStyle name="Normal 7 6 2 4 4 4 2" xfId="36990"/>
    <cellStyle name="Normal 7 6 2 4 4 5" xfId="36991"/>
    <cellStyle name="Normal 7 6 2 4 5" xfId="36992"/>
    <cellStyle name="Normal 7 6 2 4 5 2" xfId="36993"/>
    <cellStyle name="Normal 7 6 2 4 6" xfId="36994"/>
    <cellStyle name="Normal 7 6 2 4 6 2" xfId="36995"/>
    <cellStyle name="Normal 7 6 2 4 7" xfId="36996"/>
    <cellStyle name="Normal 7 6 2 4 7 2" xfId="36997"/>
    <cellStyle name="Normal 7 6 2 4 8" xfId="36998"/>
    <cellStyle name="Normal 7 6 2 5" xfId="36999"/>
    <cellStyle name="Normal 7 6 2 5 2" xfId="37000"/>
    <cellStyle name="Normal 7 6 2 5 2 2" xfId="37001"/>
    <cellStyle name="Normal 7 6 2 5 2 2 2" xfId="37002"/>
    <cellStyle name="Normal 7 6 2 5 2 2 2 2" xfId="37003"/>
    <cellStyle name="Normal 7 6 2 5 2 2 3" xfId="37004"/>
    <cellStyle name="Normal 7 6 2 5 2 2 3 2" xfId="37005"/>
    <cellStyle name="Normal 7 6 2 5 2 2 4" xfId="37006"/>
    <cellStyle name="Normal 7 6 2 5 2 2 4 2" xfId="37007"/>
    <cellStyle name="Normal 7 6 2 5 2 2 5" xfId="37008"/>
    <cellStyle name="Normal 7 6 2 5 2 3" xfId="37009"/>
    <cellStyle name="Normal 7 6 2 5 2 3 2" xfId="37010"/>
    <cellStyle name="Normal 7 6 2 5 2 3 2 2" xfId="37011"/>
    <cellStyle name="Normal 7 6 2 5 2 3 3" xfId="37012"/>
    <cellStyle name="Normal 7 6 2 5 2 3 3 2" xfId="37013"/>
    <cellStyle name="Normal 7 6 2 5 2 3 4" xfId="37014"/>
    <cellStyle name="Normal 7 6 2 5 2 3 4 2" xfId="37015"/>
    <cellStyle name="Normal 7 6 2 5 2 3 5" xfId="37016"/>
    <cellStyle name="Normal 7 6 2 5 2 4" xfId="37017"/>
    <cellStyle name="Normal 7 6 2 5 2 4 2" xfId="37018"/>
    <cellStyle name="Normal 7 6 2 5 2 5" xfId="37019"/>
    <cellStyle name="Normal 7 6 2 5 2 5 2" xfId="37020"/>
    <cellStyle name="Normal 7 6 2 5 2 6" xfId="37021"/>
    <cellStyle name="Normal 7 6 2 5 2 6 2" xfId="37022"/>
    <cellStyle name="Normal 7 6 2 5 2 7" xfId="37023"/>
    <cellStyle name="Normal 7 6 2 5 3" xfId="37024"/>
    <cellStyle name="Normal 7 6 2 5 3 2" xfId="37025"/>
    <cellStyle name="Normal 7 6 2 5 3 2 2" xfId="37026"/>
    <cellStyle name="Normal 7 6 2 5 3 3" xfId="37027"/>
    <cellStyle name="Normal 7 6 2 5 3 3 2" xfId="37028"/>
    <cellStyle name="Normal 7 6 2 5 3 4" xfId="37029"/>
    <cellStyle name="Normal 7 6 2 5 3 4 2" xfId="37030"/>
    <cellStyle name="Normal 7 6 2 5 3 5" xfId="37031"/>
    <cellStyle name="Normal 7 6 2 5 4" xfId="37032"/>
    <cellStyle name="Normal 7 6 2 5 4 2" xfId="37033"/>
    <cellStyle name="Normal 7 6 2 5 4 2 2" xfId="37034"/>
    <cellStyle name="Normal 7 6 2 5 4 3" xfId="37035"/>
    <cellStyle name="Normal 7 6 2 5 4 3 2" xfId="37036"/>
    <cellStyle name="Normal 7 6 2 5 4 4" xfId="37037"/>
    <cellStyle name="Normal 7 6 2 5 4 4 2" xfId="37038"/>
    <cellStyle name="Normal 7 6 2 5 4 5" xfId="37039"/>
    <cellStyle name="Normal 7 6 2 5 5" xfId="37040"/>
    <cellStyle name="Normal 7 6 2 5 5 2" xfId="37041"/>
    <cellStyle name="Normal 7 6 2 5 6" xfId="37042"/>
    <cellStyle name="Normal 7 6 2 5 6 2" xfId="37043"/>
    <cellStyle name="Normal 7 6 2 5 7" xfId="37044"/>
    <cellStyle name="Normal 7 6 2 5 7 2" xfId="37045"/>
    <cellStyle name="Normal 7 6 2 5 8" xfId="37046"/>
    <cellStyle name="Normal 7 6 2 6" xfId="37047"/>
    <cellStyle name="Normal 7 6 2 6 2" xfId="37048"/>
    <cellStyle name="Normal 7 6 2 6 2 2" xfId="37049"/>
    <cellStyle name="Normal 7 6 2 6 2 2 2" xfId="37050"/>
    <cellStyle name="Normal 7 6 2 6 2 2 2 2" xfId="37051"/>
    <cellStyle name="Normal 7 6 2 6 2 2 3" xfId="37052"/>
    <cellStyle name="Normal 7 6 2 6 2 2 3 2" xfId="37053"/>
    <cellStyle name="Normal 7 6 2 6 2 2 4" xfId="37054"/>
    <cellStyle name="Normal 7 6 2 6 2 2 4 2" xfId="37055"/>
    <cellStyle name="Normal 7 6 2 6 2 2 5" xfId="37056"/>
    <cellStyle name="Normal 7 6 2 6 2 3" xfId="37057"/>
    <cellStyle name="Normal 7 6 2 6 2 3 2" xfId="37058"/>
    <cellStyle name="Normal 7 6 2 6 2 3 2 2" xfId="37059"/>
    <cellStyle name="Normal 7 6 2 6 2 3 3" xfId="37060"/>
    <cellStyle name="Normal 7 6 2 6 2 3 3 2" xfId="37061"/>
    <cellStyle name="Normal 7 6 2 6 2 3 4" xfId="37062"/>
    <cellStyle name="Normal 7 6 2 6 2 3 4 2" xfId="37063"/>
    <cellStyle name="Normal 7 6 2 6 2 3 5" xfId="37064"/>
    <cellStyle name="Normal 7 6 2 6 2 4" xfId="37065"/>
    <cellStyle name="Normal 7 6 2 6 2 4 2" xfId="37066"/>
    <cellStyle name="Normal 7 6 2 6 2 5" xfId="37067"/>
    <cellStyle name="Normal 7 6 2 6 2 5 2" xfId="37068"/>
    <cellStyle name="Normal 7 6 2 6 2 6" xfId="37069"/>
    <cellStyle name="Normal 7 6 2 6 2 6 2" xfId="37070"/>
    <cellStyle name="Normal 7 6 2 6 2 7" xfId="37071"/>
    <cellStyle name="Normal 7 6 2 6 3" xfId="37072"/>
    <cellStyle name="Normal 7 6 2 6 3 2" xfId="37073"/>
    <cellStyle name="Normal 7 6 2 6 3 2 2" xfId="37074"/>
    <cellStyle name="Normal 7 6 2 6 3 3" xfId="37075"/>
    <cellStyle name="Normal 7 6 2 6 3 3 2" xfId="37076"/>
    <cellStyle name="Normal 7 6 2 6 3 4" xfId="37077"/>
    <cellStyle name="Normal 7 6 2 6 3 4 2" xfId="37078"/>
    <cellStyle name="Normal 7 6 2 6 3 5" xfId="37079"/>
    <cellStyle name="Normal 7 6 2 6 4" xfId="37080"/>
    <cellStyle name="Normal 7 6 2 6 4 2" xfId="37081"/>
    <cellStyle name="Normal 7 6 2 6 4 2 2" xfId="37082"/>
    <cellStyle name="Normal 7 6 2 6 4 3" xfId="37083"/>
    <cellStyle name="Normal 7 6 2 6 4 3 2" xfId="37084"/>
    <cellStyle name="Normal 7 6 2 6 4 4" xfId="37085"/>
    <cellStyle name="Normal 7 6 2 6 4 4 2" xfId="37086"/>
    <cellStyle name="Normal 7 6 2 6 4 5" xfId="37087"/>
    <cellStyle name="Normal 7 6 2 6 5" xfId="37088"/>
    <cellStyle name="Normal 7 6 2 6 5 2" xfId="37089"/>
    <cellStyle name="Normal 7 6 2 6 6" xfId="37090"/>
    <cellStyle name="Normal 7 6 2 6 6 2" xfId="37091"/>
    <cellStyle name="Normal 7 6 2 6 7" xfId="37092"/>
    <cellStyle name="Normal 7 6 2 6 7 2" xfId="37093"/>
    <cellStyle name="Normal 7 6 2 6 8" xfId="37094"/>
    <cellStyle name="Normal 7 6 2 7" xfId="37095"/>
    <cellStyle name="Normal 7 6 2 7 2" xfId="37096"/>
    <cellStyle name="Normal 7 6 2 7 2 2" xfId="37097"/>
    <cellStyle name="Normal 7 6 2 7 2 2 2" xfId="37098"/>
    <cellStyle name="Normal 7 6 2 7 2 3" xfId="37099"/>
    <cellStyle name="Normal 7 6 2 7 2 3 2" xfId="37100"/>
    <cellStyle name="Normal 7 6 2 7 2 4" xfId="37101"/>
    <cellStyle name="Normal 7 6 2 7 2 4 2" xfId="37102"/>
    <cellStyle name="Normal 7 6 2 7 2 5" xfId="37103"/>
    <cellStyle name="Normal 7 6 2 7 3" xfId="37104"/>
    <cellStyle name="Normal 7 6 2 7 3 2" xfId="37105"/>
    <cellStyle name="Normal 7 6 2 7 3 2 2" xfId="37106"/>
    <cellStyle name="Normal 7 6 2 7 3 3" xfId="37107"/>
    <cellStyle name="Normal 7 6 2 7 3 3 2" xfId="37108"/>
    <cellStyle name="Normal 7 6 2 7 3 4" xfId="37109"/>
    <cellStyle name="Normal 7 6 2 7 3 4 2" xfId="37110"/>
    <cellStyle name="Normal 7 6 2 7 3 5" xfId="37111"/>
    <cellStyle name="Normal 7 6 2 7 4" xfId="37112"/>
    <cellStyle name="Normal 7 6 2 7 4 2" xfId="37113"/>
    <cellStyle name="Normal 7 6 2 7 5" xfId="37114"/>
    <cellStyle name="Normal 7 6 2 7 5 2" xfId="37115"/>
    <cellStyle name="Normal 7 6 2 7 6" xfId="37116"/>
    <cellStyle name="Normal 7 6 2 7 6 2" xfId="37117"/>
    <cellStyle name="Normal 7 6 2 7 7" xfId="37118"/>
    <cellStyle name="Normal 7 6 2 8" xfId="37119"/>
    <cellStyle name="Normal 7 6 2 8 2" xfId="37120"/>
    <cellStyle name="Normal 7 6 2 8 2 2" xfId="37121"/>
    <cellStyle name="Normal 7 6 2 8 3" xfId="37122"/>
    <cellStyle name="Normal 7 6 2 8 3 2" xfId="37123"/>
    <cellStyle name="Normal 7 6 2 8 4" xfId="37124"/>
    <cellStyle name="Normal 7 6 2 8 4 2" xfId="37125"/>
    <cellStyle name="Normal 7 6 2 8 5" xfId="37126"/>
    <cellStyle name="Normal 7 6 2 9" xfId="37127"/>
    <cellStyle name="Normal 7 6 2 9 2" xfId="37128"/>
    <cellStyle name="Normal 7 6 2 9 2 2" xfId="37129"/>
    <cellStyle name="Normal 7 6 2 9 3" xfId="37130"/>
    <cellStyle name="Normal 7 6 2 9 3 2" xfId="37131"/>
    <cellStyle name="Normal 7 6 2 9 4" xfId="37132"/>
    <cellStyle name="Normal 7 6 2 9 4 2" xfId="37133"/>
    <cellStyle name="Normal 7 6 2 9 5" xfId="37134"/>
    <cellStyle name="Normal 7 6 3" xfId="37135"/>
    <cellStyle name="Normal 7 6 3 2" xfId="37136"/>
    <cellStyle name="Normal 7 6 3 2 2" xfId="37137"/>
    <cellStyle name="Normal 7 6 3 2 2 2" xfId="37138"/>
    <cellStyle name="Normal 7 6 3 2 2 2 2" xfId="37139"/>
    <cellStyle name="Normal 7 6 3 2 2 3" xfId="37140"/>
    <cellStyle name="Normal 7 6 3 2 2 3 2" xfId="37141"/>
    <cellStyle name="Normal 7 6 3 2 2 4" xfId="37142"/>
    <cellStyle name="Normal 7 6 3 2 2 4 2" xfId="37143"/>
    <cellStyle name="Normal 7 6 3 2 2 5" xfId="37144"/>
    <cellStyle name="Normal 7 6 3 2 3" xfId="37145"/>
    <cellStyle name="Normal 7 6 3 2 3 2" xfId="37146"/>
    <cellStyle name="Normal 7 6 3 2 3 2 2" xfId="37147"/>
    <cellStyle name="Normal 7 6 3 2 3 3" xfId="37148"/>
    <cellStyle name="Normal 7 6 3 2 3 3 2" xfId="37149"/>
    <cellStyle name="Normal 7 6 3 2 3 4" xfId="37150"/>
    <cellStyle name="Normal 7 6 3 2 3 4 2" xfId="37151"/>
    <cellStyle name="Normal 7 6 3 2 3 5" xfId="37152"/>
    <cellStyle name="Normal 7 6 3 2 4" xfId="37153"/>
    <cellStyle name="Normal 7 6 3 2 4 2" xfId="37154"/>
    <cellStyle name="Normal 7 6 3 2 5" xfId="37155"/>
    <cellStyle name="Normal 7 6 3 2 5 2" xfId="37156"/>
    <cellStyle name="Normal 7 6 3 2 6" xfId="37157"/>
    <cellStyle name="Normal 7 6 3 2 6 2" xfId="37158"/>
    <cellStyle name="Normal 7 6 3 2 7" xfId="37159"/>
    <cellStyle name="Normal 7 6 3 3" xfId="37160"/>
    <cellStyle name="Normal 7 6 3 3 2" xfId="37161"/>
    <cellStyle name="Normal 7 6 3 3 2 2" xfId="37162"/>
    <cellStyle name="Normal 7 6 3 3 3" xfId="37163"/>
    <cellStyle name="Normal 7 6 3 3 3 2" xfId="37164"/>
    <cellStyle name="Normal 7 6 3 3 4" xfId="37165"/>
    <cellStyle name="Normal 7 6 3 3 4 2" xfId="37166"/>
    <cellStyle name="Normal 7 6 3 3 5" xfId="37167"/>
    <cellStyle name="Normal 7 6 3 4" xfId="37168"/>
    <cellStyle name="Normal 7 6 3 4 2" xfId="37169"/>
    <cellStyle name="Normal 7 6 3 4 2 2" xfId="37170"/>
    <cellStyle name="Normal 7 6 3 4 3" xfId="37171"/>
    <cellStyle name="Normal 7 6 3 4 3 2" xfId="37172"/>
    <cellStyle name="Normal 7 6 3 4 4" xfId="37173"/>
    <cellStyle name="Normal 7 6 3 4 4 2" xfId="37174"/>
    <cellStyle name="Normal 7 6 3 4 5" xfId="37175"/>
    <cellStyle name="Normal 7 6 3 5" xfId="37176"/>
    <cellStyle name="Normal 7 6 3 5 2" xfId="37177"/>
    <cellStyle name="Normal 7 6 3 6" xfId="37178"/>
    <cellStyle name="Normal 7 6 3 6 2" xfId="37179"/>
    <cellStyle name="Normal 7 6 3 7" xfId="37180"/>
    <cellStyle name="Normal 7 6 3 7 2" xfId="37181"/>
    <cellStyle name="Normal 7 6 3 8" xfId="37182"/>
    <cellStyle name="Normal 7 6 4" xfId="37183"/>
    <cellStyle name="Normal 7 6 4 2" xfId="37184"/>
    <cellStyle name="Normal 7 6 4 2 2" xfId="37185"/>
    <cellStyle name="Normal 7 6 4 2 2 2" xfId="37186"/>
    <cellStyle name="Normal 7 6 4 2 2 2 2" xfId="37187"/>
    <cellStyle name="Normal 7 6 4 2 2 3" xfId="37188"/>
    <cellStyle name="Normal 7 6 4 2 2 3 2" xfId="37189"/>
    <cellStyle name="Normal 7 6 4 2 2 4" xfId="37190"/>
    <cellStyle name="Normal 7 6 4 2 2 4 2" xfId="37191"/>
    <cellStyle name="Normal 7 6 4 2 2 5" xfId="37192"/>
    <cellStyle name="Normal 7 6 4 2 3" xfId="37193"/>
    <cellStyle name="Normal 7 6 4 2 3 2" xfId="37194"/>
    <cellStyle name="Normal 7 6 4 2 3 2 2" xfId="37195"/>
    <cellStyle name="Normal 7 6 4 2 3 3" xfId="37196"/>
    <cellStyle name="Normal 7 6 4 2 3 3 2" xfId="37197"/>
    <cellStyle name="Normal 7 6 4 2 3 4" xfId="37198"/>
    <cellStyle name="Normal 7 6 4 2 3 4 2" xfId="37199"/>
    <cellStyle name="Normal 7 6 4 2 3 5" xfId="37200"/>
    <cellStyle name="Normal 7 6 4 2 4" xfId="37201"/>
    <cellStyle name="Normal 7 6 4 2 4 2" xfId="37202"/>
    <cellStyle name="Normal 7 6 4 2 5" xfId="37203"/>
    <cellStyle name="Normal 7 6 4 2 5 2" xfId="37204"/>
    <cellStyle name="Normal 7 6 4 2 6" xfId="37205"/>
    <cellStyle name="Normal 7 6 4 2 6 2" xfId="37206"/>
    <cellStyle name="Normal 7 6 4 2 7" xfId="37207"/>
    <cellStyle name="Normal 7 6 4 3" xfId="37208"/>
    <cellStyle name="Normal 7 6 4 3 2" xfId="37209"/>
    <cellStyle name="Normal 7 6 4 3 2 2" xfId="37210"/>
    <cellStyle name="Normal 7 6 4 3 3" xfId="37211"/>
    <cellStyle name="Normal 7 6 4 3 3 2" xfId="37212"/>
    <cellStyle name="Normal 7 6 4 3 4" xfId="37213"/>
    <cellStyle name="Normal 7 6 4 3 4 2" xfId="37214"/>
    <cellStyle name="Normal 7 6 4 3 5" xfId="37215"/>
    <cellStyle name="Normal 7 6 4 4" xfId="37216"/>
    <cellStyle name="Normal 7 6 4 4 2" xfId="37217"/>
    <cellStyle name="Normal 7 6 4 4 2 2" xfId="37218"/>
    <cellStyle name="Normal 7 6 4 4 3" xfId="37219"/>
    <cellStyle name="Normal 7 6 4 4 3 2" xfId="37220"/>
    <cellStyle name="Normal 7 6 4 4 4" xfId="37221"/>
    <cellStyle name="Normal 7 6 4 4 4 2" xfId="37222"/>
    <cellStyle name="Normal 7 6 4 4 5" xfId="37223"/>
    <cellStyle name="Normal 7 6 4 5" xfId="37224"/>
    <cellStyle name="Normal 7 6 4 5 2" xfId="37225"/>
    <cellStyle name="Normal 7 6 4 6" xfId="37226"/>
    <cellStyle name="Normal 7 6 4 6 2" xfId="37227"/>
    <cellStyle name="Normal 7 6 4 7" xfId="37228"/>
    <cellStyle name="Normal 7 6 4 7 2" xfId="37229"/>
    <cellStyle name="Normal 7 6 4 8" xfId="37230"/>
    <cellStyle name="Normal 7 6 5" xfId="37231"/>
    <cellStyle name="Normal 7 6 5 2" xfId="37232"/>
    <cellStyle name="Normal 7 6 5 2 2" xfId="37233"/>
    <cellStyle name="Normal 7 6 5 2 2 2" xfId="37234"/>
    <cellStyle name="Normal 7 6 5 2 2 2 2" xfId="37235"/>
    <cellStyle name="Normal 7 6 5 2 2 3" xfId="37236"/>
    <cellStyle name="Normal 7 6 5 2 2 3 2" xfId="37237"/>
    <cellStyle name="Normal 7 6 5 2 2 4" xfId="37238"/>
    <cellStyle name="Normal 7 6 5 2 2 4 2" xfId="37239"/>
    <cellStyle name="Normal 7 6 5 2 2 5" xfId="37240"/>
    <cellStyle name="Normal 7 6 5 2 3" xfId="37241"/>
    <cellStyle name="Normal 7 6 5 2 3 2" xfId="37242"/>
    <cellStyle name="Normal 7 6 5 2 3 2 2" xfId="37243"/>
    <cellStyle name="Normal 7 6 5 2 3 3" xfId="37244"/>
    <cellStyle name="Normal 7 6 5 2 3 3 2" xfId="37245"/>
    <cellStyle name="Normal 7 6 5 2 3 4" xfId="37246"/>
    <cellStyle name="Normal 7 6 5 2 3 4 2" xfId="37247"/>
    <cellStyle name="Normal 7 6 5 2 3 5" xfId="37248"/>
    <cellStyle name="Normal 7 6 5 2 4" xfId="37249"/>
    <cellStyle name="Normal 7 6 5 2 4 2" xfId="37250"/>
    <cellStyle name="Normal 7 6 5 2 5" xfId="37251"/>
    <cellStyle name="Normal 7 6 5 2 5 2" xfId="37252"/>
    <cellStyle name="Normal 7 6 5 2 6" xfId="37253"/>
    <cellStyle name="Normal 7 6 5 2 6 2" xfId="37254"/>
    <cellStyle name="Normal 7 6 5 2 7" xfId="37255"/>
    <cellStyle name="Normal 7 6 5 3" xfId="37256"/>
    <cellStyle name="Normal 7 6 5 3 2" xfId="37257"/>
    <cellStyle name="Normal 7 6 5 3 2 2" xfId="37258"/>
    <cellStyle name="Normal 7 6 5 3 3" xfId="37259"/>
    <cellStyle name="Normal 7 6 5 3 3 2" xfId="37260"/>
    <cellStyle name="Normal 7 6 5 3 4" xfId="37261"/>
    <cellStyle name="Normal 7 6 5 3 4 2" xfId="37262"/>
    <cellStyle name="Normal 7 6 5 3 5" xfId="37263"/>
    <cellStyle name="Normal 7 6 5 4" xfId="37264"/>
    <cellStyle name="Normal 7 6 5 4 2" xfId="37265"/>
    <cellStyle name="Normal 7 6 5 4 2 2" xfId="37266"/>
    <cellStyle name="Normal 7 6 5 4 3" xfId="37267"/>
    <cellStyle name="Normal 7 6 5 4 3 2" xfId="37268"/>
    <cellStyle name="Normal 7 6 5 4 4" xfId="37269"/>
    <cellStyle name="Normal 7 6 5 4 4 2" xfId="37270"/>
    <cellStyle name="Normal 7 6 5 4 5" xfId="37271"/>
    <cellStyle name="Normal 7 6 5 5" xfId="37272"/>
    <cellStyle name="Normal 7 6 5 5 2" xfId="37273"/>
    <cellStyle name="Normal 7 6 5 6" xfId="37274"/>
    <cellStyle name="Normal 7 6 5 6 2" xfId="37275"/>
    <cellStyle name="Normal 7 6 5 7" xfId="37276"/>
    <cellStyle name="Normal 7 6 5 7 2" xfId="37277"/>
    <cellStyle name="Normal 7 6 5 8" xfId="37278"/>
    <cellStyle name="Normal 7 6 6" xfId="37279"/>
    <cellStyle name="Normal 7 6 6 2" xfId="37280"/>
    <cellStyle name="Normal 7 6 6 2 2" xfId="37281"/>
    <cellStyle name="Normal 7 6 6 2 2 2" xfId="37282"/>
    <cellStyle name="Normal 7 6 6 2 2 2 2" xfId="37283"/>
    <cellStyle name="Normal 7 6 6 2 2 3" xfId="37284"/>
    <cellStyle name="Normal 7 6 6 2 2 3 2" xfId="37285"/>
    <cellStyle name="Normal 7 6 6 2 2 4" xfId="37286"/>
    <cellStyle name="Normal 7 6 6 2 2 4 2" xfId="37287"/>
    <cellStyle name="Normal 7 6 6 2 2 5" xfId="37288"/>
    <cellStyle name="Normal 7 6 6 2 3" xfId="37289"/>
    <cellStyle name="Normal 7 6 6 2 3 2" xfId="37290"/>
    <cellStyle name="Normal 7 6 6 2 3 2 2" xfId="37291"/>
    <cellStyle name="Normal 7 6 6 2 3 3" xfId="37292"/>
    <cellStyle name="Normal 7 6 6 2 3 3 2" xfId="37293"/>
    <cellStyle name="Normal 7 6 6 2 3 4" xfId="37294"/>
    <cellStyle name="Normal 7 6 6 2 3 4 2" xfId="37295"/>
    <cellStyle name="Normal 7 6 6 2 3 5" xfId="37296"/>
    <cellStyle name="Normal 7 6 6 2 4" xfId="37297"/>
    <cellStyle name="Normal 7 6 6 2 4 2" xfId="37298"/>
    <cellStyle name="Normal 7 6 6 2 5" xfId="37299"/>
    <cellStyle name="Normal 7 6 6 2 5 2" xfId="37300"/>
    <cellStyle name="Normal 7 6 6 2 6" xfId="37301"/>
    <cellStyle name="Normal 7 6 6 2 6 2" xfId="37302"/>
    <cellStyle name="Normal 7 6 6 2 7" xfId="37303"/>
    <cellStyle name="Normal 7 6 6 3" xfId="37304"/>
    <cellStyle name="Normal 7 6 6 3 2" xfId="37305"/>
    <cellStyle name="Normal 7 6 6 3 2 2" xfId="37306"/>
    <cellStyle name="Normal 7 6 6 3 3" xfId="37307"/>
    <cellStyle name="Normal 7 6 6 3 3 2" xfId="37308"/>
    <cellStyle name="Normal 7 6 6 3 4" xfId="37309"/>
    <cellStyle name="Normal 7 6 6 3 4 2" xfId="37310"/>
    <cellStyle name="Normal 7 6 6 3 5" xfId="37311"/>
    <cellStyle name="Normal 7 6 6 4" xfId="37312"/>
    <cellStyle name="Normal 7 6 6 4 2" xfId="37313"/>
    <cellStyle name="Normal 7 6 6 4 2 2" xfId="37314"/>
    <cellStyle name="Normal 7 6 6 4 3" xfId="37315"/>
    <cellStyle name="Normal 7 6 6 4 3 2" xfId="37316"/>
    <cellStyle name="Normal 7 6 6 4 4" xfId="37317"/>
    <cellStyle name="Normal 7 6 6 4 4 2" xfId="37318"/>
    <cellStyle name="Normal 7 6 6 4 5" xfId="37319"/>
    <cellStyle name="Normal 7 6 6 5" xfId="37320"/>
    <cellStyle name="Normal 7 6 6 5 2" xfId="37321"/>
    <cellStyle name="Normal 7 6 6 6" xfId="37322"/>
    <cellStyle name="Normal 7 6 6 6 2" xfId="37323"/>
    <cellStyle name="Normal 7 6 6 7" xfId="37324"/>
    <cellStyle name="Normal 7 6 6 7 2" xfId="37325"/>
    <cellStyle name="Normal 7 6 6 8" xfId="37326"/>
    <cellStyle name="Normal 7 6 7" xfId="37327"/>
    <cellStyle name="Normal 7 6 7 2" xfId="37328"/>
    <cellStyle name="Normal 7 6 7 2 2" xfId="37329"/>
    <cellStyle name="Normal 7 6 7 2 2 2" xfId="37330"/>
    <cellStyle name="Normal 7 6 7 2 2 2 2" xfId="37331"/>
    <cellStyle name="Normal 7 6 7 2 2 3" xfId="37332"/>
    <cellStyle name="Normal 7 6 7 2 2 3 2" xfId="37333"/>
    <cellStyle name="Normal 7 6 7 2 2 4" xfId="37334"/>
    <cellStyle name="Normal 7 6 7 2 2 4 2" xfId="37335"/>
    <cellStyle name="Normal 7 6 7 2 2 5" xfId="37336"/>
    <cellStyle name="Normal 7 6 7 2 3" xfId="37337"/>
    <cellStyle name="Normal 7 6 7 2 3 2" xfId="37338"/>
    <cellStyle name="Normal 7 6 7 2 3 2 2" xfId="37339"/>
    <cellStyle name="Normal 7 6 7 2 3 3" xfId="37340"/>
    <cellStyle name="Normal 7 6 7 2 3 3 2" xfId="37341"/>
    <cellStyle name="Normal 7 6 7 2 3 4" xfId="37342"/>
    <cellStyle name="Normal 7 6 7 2 3 4 2" xfId="37343"/>
    <cellStyle name="Normal 7 6 7 2 3 5" xfId="37344"/>
    <cellStyle name="Normal 7 6 7 2 4" xfId="37345"/>
    <cellStyle name="Normal 7 6 7 2 4 2" xfId="37346"/>
    <cellStyle name="Normal 7 6 7 2 5" xfId="37347"/>
    <cellStyle name="Normal 7 6 7 2 5 2" xfId="37348"/>
    <cellStyle name="Normal 7 6 7 2 6" xfId="37349"/>
    <cellStyle name="Normal 7 6 7 2 6 2" xfId="37350"/>
    <cellStyle name="Normal 7 6 7 2 7" xfId="37351"/>
    <cellStyle name="Normal 7 6 7 3" xfId="37352"/>
    <cellStyle name="Normal 7 6 7 3 2" xfId="37353"/>
    <cellStyle name="Normal 7 6 7 3 2 2" xfId="37354"/>
    <cellStyle name="Normal 7 6 7 3 3" xfId="37355"/>
    <cellStyle name="Normal 7 6 7 3 3 2" xfId="37356"/>
    <cellStyle name="Normal 7 6 7 3 4" xfId="37357"/>
    <cellStyle name="Normal 7 6 7 3 4 2" xfId="37358"/>
    <cellStyle name="Normal 7 6 7 3 5" xfId="37359"/>
    <cellStyle name="Normal 7 6 7 4" xfId="37360"/>
    <cellStyle name="Normal 7 6 7 4 2" xfId="37361"/>
    <cellStyle name="Normal 7 6 7 4 2 2" xfId="37362"/>
    <cellStyle name="Normal 7 6 7 4 3" xfId="37363"/>
    <cellStyle name="Normal 7 6 7 4 3 2" xfId="37364"/>
    <cellStyle name="Normal 7 6 7 4 4" xfId="37365"/>
    <cellStyle name="Normal 7 6 7 4 4 2" xfId="37366"/>
    <cellStyle name="Normal 7 6 7 4 5" xfId="37367"/>
    <cellStyle name="Normal 7 6 7 5" xfId="37368"/>
    <cellStyle name="Normal 7 6 7 5 2" xfId="37369"/>
    <cellStyle name="Normal 7 6 7 6" xfId="37370"/>
    <cellStyle name="Normal 7 6 7 6 2" xfId="37371"/>
    <cellStyle name="Normal 7 6 7 7" xfId="37372"/>
    <cellStyle name="Normal 7 6 7 7 2" xfId="37373"/>
    <cellStyle name="Normal 7 6 7 8" xfId="37374"/>
    <cellStyle name="Normal 7 6 8" xfId="37375"/>
    <cellStyle name="Normal 7 6 8 2" xfId="37376"/>
    <cellStyle name="Normal 7 6 8 2 2" xfId="37377"/>
    <cellStyle name="Normal 7 6 8 2 2 2" xfId="37378"/>
    <cellStyle name="Normal 7 6 8 2 3" xfId="37379"/>
    <cellStyle name="Normal 7 6 8 2 3 2" xfId="37380"/>
    <cellStyle name="Normal 7 6 8 2 4" xfId="37381"/>
    <cellStyle name="Normal 7 6 8 2 4 2" xfId="37382"/>
    <cellStyle name="Normal 7 6 8 2 5" xfId="37383"/>
    <cellStyle name="Normal 7 6 8 3" xfId="37384"/>
    <cellStyle name="Normal 7 6 8 3 2" xfId="37385"/>
    <cellStyle name="Normal 7 6 8 3 2 2" xfId="37386"/>
    <cellStyle name="Normal 7 6 8 3 3" xfId="37387"/>
    <cellStyle name="Normal 7 6 8 3 3 2" xfId="37388"/>
    <cellStyle name="Normal 7 6 8 3 4" xfId="37389"/>
    <cellStyle name="Normal 7 6 8 3 4 2" xfId="37390"/>
    <cellStyle name="Normal 7 6 8 3 5" xfId="37391"/>
    <cellStyle name="Normal 7 6 8 4" xfId="37392"/>
    <cellStyle name="Normal 7 6 8 4 2" xfId="37393"/>
    <cellStyle name="Normal 7 6 8 5" xfId="37394"/>
    <cellStyle name="Normal 7 6 8 5 2" xfId="37395"/>
    <cellStyle name="Normal 7 6 8 6" xfId="37396"/>
    <cellStyle name="Normal 7 6 8 6 2" xfId="37397"/>
    <cellStyle name="Normal 7 6 8 7" xfId="37398"/>
    <cellStyle name="Normal 7 6 9" xfId="37399"/>
    <cellStyle name="Normal 7 6 9 2" xfId="37400"/>
    <cellStyle name="Normal 7 6 9 2 2" xfId="37401"/>
    <cellStyle name="Normal 7 6 9 3" xfId="37402"/>
    <cellStyle name="Normal 7 6 9 3 2" xfId="37403"/>
    <cellStyle name="Normal 7 6 9 4" xfId="37404"/>
    <cellStyle name="Normal 7 6 9 4 2" xfId="37405"/>
    <cellStyle name="Normal 7 6 9 5" xfId="37406"/>
    <cellStyle name="Normal 7 7" xfId="37407"/>
    <cellStyle name="Normal 7 7 10" xfId="37408"/>
    <cellStyle name="Normal 7 7 10 2" xfId="37409"/>
    <cellStyle name="Normal 7 7 10 2 2" xfId="37410"/>
    <cellStyle name="Normal 7 7 10 3" xfId="37411"/>
    <cellStyle name="Normal 7 7 10 3 2" xfId="37412"/>
    <cellStyle name="Normal 7 7 10 4" xfId="37413"/>
    <cellStyle name="Normal 7 7 10 4 2" xfId="37414"/>
    <cellStyle name="Normal 7 7 10 5" xfId="37415"/>
    <cellStyle name="Normal 7 7 11" xfId="37416"/>
    <cellStyle name="Normal 7 7 11 2" xfId="37417"/>
    <cellStyle name="Normal 7 7 12" xfId="37418"/>
    <cellStyle name="Normal 7 7 12 2" xfId="37419"/>
    <cellStyle name="Normal 7 7 13" xfId="37420"/>
    <cellStyle name="Normal 7 7 13 2" xfId="37421"/>
    <cellStyle name="Normal 7 7 14" xfId="37422"/>
    <cellStyle name="Normal 7 7 2" xfId="37423"/>
    <cellStyle name="Normal 7 7 2 10" xfId="37424"/>
    <cellStyle name="Normal 7 7 2 10 2" xfId="37425"/>
    <cellStyle name="Normal 7 7 2 11" xfId="37426"/>
    <cellStyle name="Normal 7 7 2 11 2" xfId="37427"/>
    <cellStyle name="Normal 7 7 2 12" xfId="37428"/>
    <cellStyle name="Normal 7 7 2 12 2" xfId="37429"/>
    <cellStyle name="Normal 7 7 2 13" xfId="37430"/>
    <cellStyle name="Normal 7 7 2 2" xfId="37431"/>
    <cellStyle name="Normal 7 7 2 2 2" xfId="37432"/>
    <cellStyle name="Normal 7 7 2 2 2 2" xfId="37433"/>
    <cellStyle name="Normal 7 7 2 2 2 2 2" xfId="37434"/>
    <cellStyle name="Normal 7 7 2 2 2 2 2 2" xfId="37435"/>
    <cellStyle name="Normal 7 7 2 2 2 2 3" xfId="37436"/>
    <cellStyle name="Normal 7 7 2 2 2 2 3 2" xfId="37437"/>
    <cellStyle name="Normal 7 7 2 2 2 2 4" xfId="37438"/>
    <cellStyle name="Normal 7 7 2 2 2 2 4 2" xfId="37439"/>
    <cellStyle name="Normal 7 7 2 2 2 2 5" xfId="37440"/>
    <cellStyle name="Normal 7 7 2 2 2 3" xfId="37441"/>
    <cellStyle name="Normal 7 7 2 2 2 3 2" xfId="37442"/>
    <cellStyle name="Normal 7 7 2 2 2 3 2 2" xfId="37443"/>
    <cellStyle name="Normal 7 7 2 2 2 3 3" xfId="37444"/>
    <cellStyle name="Normal 7 7 2 2 2 3 3 2" xfId="37445"/>
    <cellStyle name="Normal 7 7 2 2 2 3 4" xfId="37446"/>
    <cellStyle name="Normal 7 7 2 2 2 3 4 2" xfId="37447"/>
    <cellStyle name="Normal 7 7 2 2 2 3 5" xfId="37448"/>
    <cellStyle name="Normal 7 7 2 2 2 4" xfId="37449"/>
    <cellStyle name="Normal 7 7 2 2 2 4 2" xfId="37450"/>
    <cellStyle name="Normal 7 7 2 2 2 5" xfId="37451"/>
    <cellStyle name="Normal 7 7 2 2 2 5 2" xfId="37452"/>
    <cellStyle name="Normal 7 7 2 2 2 6" xfId="37453"/>
    <cellStyle name="Normal 7 7 2 2 2 6 2" xfId="37454"/>
    <cellStyle name="Normal 7 7 2 2 2 7" xfId="37455"/>
    <cellStyle name="Normal 7 7 2 2 3" xfId="37456"/>
    <cellStyle name="Normal 7 7 2 2 3 2" xfId="37457"/>
    <cellStyle name="Normal 7 7 2 2 3 2 2" xfId="37458"/>
    <cellStyle name="Normal 7 7 2 2 3 3" xfId="37459"/>
    <cellStyle name="Normal 7 7 2 2 3 3 2" xfId="37460"/>
    <cellStyle name="Normal 7 7 2 2 3 4" xfId="37461"/>
    <cellStyle name="Normal 7 7 2 2 3 4 2" xfId="37462"/>
    <cellStyle name="Normal 7 7 2 2 3 5" xfId="37463"/>
    <cellStyle name="Normal 7 7 2 2 4" xfId="37464"/>
    <cellStyle name="Normal 7 7 2 2 4 2" xfId="37465"/>
    <cellStyle name="Normal 7 7 2 2 4 2 2" xfId="37466"/>
    <cellStyle name="Normal 7 7 2 2 4 3" xfId="37467"/>
    <cellStyle name="Normal 7 7 2 2 4 3 2" xfId="37468"/>
    <cellStyle name="Normal 7 7 2 2 4 4" xfId="37469"/>
    <cellStyle name="Normal 7 7 2 2 4 4 2" xfId="37470"/>
    <cellStyle name="Normal 7 7 2 2 4 5" xfId="37471"/>
    <cellStyle name="Normal 7 7 2 2 5" xfId="37472"/>
    <cellStyle name="Normal 7 7 2 2 5 2" xfId="37473"/>
    <cellStyle name="Normal 7 7 2 2 6" xfId="37474"/>
    <cellStyle name="Normal 7 7 2 2 6 2" xfId="37475"/>
    <cellStyle name="Normal 7 7 2 2 7" xfId="37476"/>
    <cellStyle name="Normal 7 7 2 2 7 2" xfId="37477"/>
    <cellStyle name="Normal 7 7 2 2 8" xfId="37478"/>
    <cellStyle name="Normal 7 7 2 3" xfId="37479"/>
    <cellStyle name="Normal 7 7 2 3 2" xfId="37480"/>
    <cellStyle name="Normal 7 7 2 3 2 2" xfId="37481"/>
    <cellStyle name="Normal 7 7 2 3 2 2 2" xfId="37482"/>
    <cellStyle name="Normal 7 7 2 3 2 2 2 2" xfId="37483"/>
    <cellStyle name="Normal 7 7 2 3 2 2 3" xfId="37484"/>
    <cellStyle name="Normal 7 7 2 3 2 2 3 2" xfId="37485"/>
    <cellStyle name="Normal 7 7 2 3 2 2 4" xfId="37486"/>
    <cellStyle name="Normal 7 7 2 3 2 2 4 2" xfId="37487"/>
    <cellStyle name="Normal 7 7 2 3 2 2 5" xfId="37488"/>
    <cellStyle name="Normal 7 7 2 3 2 3" xfId="37489"/>
    <cellStyle name="Normal 7 7 2 3 2 3 2" xfId="37490"/>
    <cellStyle name="Normal 7 7 2 3 2 3 2 2" xfId="37491"/>
    <cellStyle name="Normal 7 7 2 3 2 3 3" xfId="37492"/>
    <cellStyle name="Normal 7 7 2 3 2 3 3 2" xfId="37493"/>
    <cellStyle name="Normal 7 7 2 3 2 3 4" xfId="37494"/>
    <cellStyle name="Normal 7 7 2 3 2 3 4 2" xfId="37495"/>
    <cellStyle name="Normal 7 7 2 3 2 3 5" xfId="37496"/>
    <cellStyle name="Normal 7 7 2 3 2 4" xfId="37497"/>
    <cellStyle name="Normal 7 7 2 3 2 4 2" xfId="37498"/>
    <cellStyle name="Normal 7 7 2 3 2 5" xfId="37499"/>
    <cellStyle name="Normal 7 7 2 3 2 5 2" xfId="37500"/>
    <cellStyle name="Normal 7 7 2 3 2 6" xfId="37501"/>
    <cellStyle name="Normal 7 7 2 3 2 6 2" xfId="37502"/>
    <cellStyle name="Normal 7 7 2 3 2 7" xfId="37503"/>
    <cellStyle name="Normal 7 7 2 3 3" xfId="37504"/>
    <cellStyle name="Normal 7 7 2 3 3 2" xfId="37505"/>
    <cellStyle name="Normal 7 7 2 3 3 2 2" xfId="37506"/>
    <cellStyle name="Normal 7 7 2 3 3 3" xfId="37507"/>
    <cellStyle name="Normal 7 7 2 3 3 3 2" xfId="37508"/>
    <cellStyle name="Normal 7 7 2 3 3 4" xfId="37509"/>
    <cellStyle name="Normal 7 7 2 3 3 4 2" xfId="37510"/>
    <cellStyle name="Normal 7 7 2 3 3 5" xfId="37511"/>
    <cellStyle name="Normal 7 7 2 3 4" xfId="37512"/>
    <cellStyle name="Normal 7 7 2 3 4 2" xfId="37513"/>
    <cellStyle name="Normal 7 7 2 3 4 2 2" xfId="37514"/>
    <cellStyle name="Normal 7 7 2 3 4 3" xfId="37515"/>
    <cellStyle name="Normal 7 7 2 3 4 3 2" xfId="37516"/>
    <cellStyle name="Normal 7 7 2 3 4 4" xfId="37517"/>
    <cellStyle name="Normal 7 7 2 3 4 4 2" xfId="37518"/>
    <cellStyle name="Normal 7 7 2 3 4 5" xfId="37519"/>
    <cellStyle name="Normal 7 7 2 3 5" xfId="37520"/>
    <cellStyle name="Normal 7 7 2 3 5 2" xfId="37521"/>
    <cellStyle name="Normal 7 7 2 3 6" xfId="37522"/>
    <cellStyle name="Normal 7 7 2 3 6 2" xfId="37523"/>
    <cellStyle name="Normal 7 7 2 3 7" xfId="37524"/>
    <cellStyle name="Normal 7 7 2 3 7 2" xfId="37525"/>
    <cellStyle name="Normal 7 7 2 3 8" xfId="37526"/>
    <cellStyle name="Normal 7 7 2 4" xfId="37527"/>
    <cellStyle name="Normal 7 7 2 4 2" xfId="37528"/>
    <cellStyle name="Normal 7 7 2 4 2 2" xfId="37529"/>
    <cellStyle name="Normal 7 7 2 4 2 2 2" xfId="37530"/>
    <cellStyle name="Normal 7 7 2 4 2 2 2 2" xfId="37531"/>
    <cellStyle name="Normal 7 7 2 4 2 2 3" xfId="37532"/>
    <cellStyle name="Normal 7 7 2 4 2 2 3 2" xfId="37533"/>
    <cellStyle name="Normal 7 7 2 4 2 2 4" xfId="37534"/>
    <cellStyle name="Normal 7 7 2 4 2 2 4 2" xfId="37535"/>
    <cellStyle name="Normal 7 7 2 4 2 2 5" xfId="37536"/>
    <cellStyle name="Normal 7 7 2 4 2 3" xfId="37537"/>
    <cellStyle name="Normal 7 7 2 4 2 3 2" xfId="37538"/>
    <cellStyle name="Normal 7 7 2 4 2 3 2 2" xfId="37539"/>
    <cellStyle name="Normal 7 7 2 4 2 3 3" xfId="37540"/>
    <cellStyle name="Normal 7 7 2 4 2 3 3 2" xfId="37541"/>
    <cellStyle name="Normal 7 7 2 4 2 3 4" xfId="37542"/>
    <cellStyle name="Normal 7 7 2 4 2 3 4 2" xfId="37543"/>
    <cellStyle name="Normal 7 7 2 4 2 3 5" xfId="37544"/>
    <cellStyle name="Normal 7 7 2 4 2 4" xfId="37545"/>
    <cellStyle name="Normal 7 7 2 4 2 4 2" xfId="37546"/>
    <cellStyle name="Normal 7 7 2 4 2 5" xfId="37547"/>
    <cellStyle name="Normal 7 7 2 4 2 5 2" xfId="37548"/>
    <cellStyle name="Normal 7 7 2 4 2 6" xfId="37549"/>
    <cellStyle name="Normal 7 7 2 4 2 6 2" xfId="37550"/>
    <cellStyle name="Normal 7 7 2 4 2 7" xfId="37551"/>
    <cellStyle name="Normal 7 7 2 4 3" xfId="37552"/>
    <cellStyle name="Normal 7 7 2 4 3 2" xfId="37553"/>
    <cellStyle name="Normal 7 7 2 4 3 2 2" xfId="37554"/>
    <cellStyle name="Normal 7 7 2 4 3 3" xfId="37555"/>
    <cellStyle name="Normal 7 7 2 4 3 3 2" xfId="37556"/>
    <cellStyle name="Normal 7 7 2 4 3 4" xfId="37557"/>
    <cellStyle name="Normal 7 7 2 4 3 4 2" xfId="37558"/>
    <cellStyle name="Normal 7 7 2 4 3 5" xfId="37559"/>
    <cellStyle name="Normal 7 7 2 4 4" xfId="37560"/>
    <cellStyle name="Normal 7 7 2 4 4 2" xfId="37561"/>
    <cellStyle name="Normal 7 7 2 4 4 2 2" xfId="37562"/>
    <cellStyle name="Normal 7 7 2 4 4 3" xfId="37563"/>
    <cellStyle name="Normal 7 7 2 4 4 3 2" xfId="37564"/>
    <cellStyle name="Normal 7 7 2 4 4 4" xfId="37565"/>
    <cellStyle name="Normal 7 7 2 4 4 4 2" xfId="37566"/>
    <cellStyle name="Normal 7 7 2 4 4 5" xfId="37567"/>
    <cellStyle name="Normal 7 7 2 4 5" xfId="37568"/>
    <cellStyle name="Normal 7 7 2 4 5 2" xfId="37569"/>
    <cellStyle name="Normal 7 7 2 4 6" xfId="37570"/>
    <cellStyle name="Normal 7 7 2 4 6 2" xfId="37571"/>
    <cellStyle name="Normal 7 7 2 4 7" xfId="37572"/>
    <cellStyle name="Normal 7 7 2 4 7 2" xfId="37573"/>
    <cellStyle name="Normal 7 7 2 4 8" xfId="37574"/>
    <cellStyle name="Normal 7 7 2 5" xfId="37575"/>
    <cellStyle name="Normal 7 7 2 5 2" xfId="37576"/>
    <cellStyle name="Normal 7 7 2 5 2 2" xfId="37577"/>
    <cellStyle name="Normal 7 7 2 5 2 2 2" xfId="37578"/>
    <cellStyle name="Normal 7 7 2 5 2 2 2 2" xfId="37579"/>
    <cellStyle name="Normal 7 7 2 5 2 2 3" xfId="37580"/>
    <cellStyle name="Normal 7 7 2 5 2 2 3 2" xfId="37581"/>
    <cellStyle name="Normal 7 7 2 5 2 2 4" xfId="37582"/>
    <cellStyle name="Normal 7 7 2 5 2 2 4 2" xfId="37583"/>
    <cellStyle name="Normal 7 7 2 5 2 2 5" xfId="37584"/>
    <cellStyle name="Normal 7 7 2 5 2 3" xfId="37585"/>
    <cellStyle name="Normal 7 7 2 5 2 3 2" xfId="37586"/>
    <cellStyle name="Normal 7 7 2 5 2 3 2 2" xfId="37587"/>
    <cellStyle name="Normal 7 7 2 5 2 3 3" xfId="37588"/>
    <cellStyle name="Normal 7 7 2 5 2 3 3 2" xfId="37589"/>
    <cellStyle name="Normal 7 7 2 5 2 3 4" xfId="37590"/>
    <cellStyle name="Normal 7 7 2 5 2 3 4 2" xfId="37591"/>
    <cellStyle name="Normal 7 7 2 5 2 3 5" xfId="37592"/>
    <cellStyle name="Normal 7 7 2 5 2 4" xfId="37593"/>
    <cellStyle name="Normal 7 7 2 5 2 4 2" xfId="37594"/>
    <cellStyle name="Normal 7 7 2 5 2 5" xfId="37595"/>
    <cellStyle name="Normal 7 7 2 5 2 5 2" xfId="37596"/>
    <cellStyle name="Normal 7 7 2 5 2 6" xfId="37597"/>
    <cellStyle name="Normal 7 7 2 5 2 6 2" xfId="37598"/>
    <cellStyle name="Normal 7 7 2 5 2 7" xfId="37599"/>
    <cellStyle name="Normal 7 7 2 5 3" xfId="37600"/>
    <cellStyle name="Normal 7 7 2 5 3 2" xfId="37601"/>
    <cellStyle name="Normal 7 7 2 5 3 2 2" xfId="37602"/>
    <cellStyle name="Normal 7 7 2 5 3 3" xfId="37603"/>
    <cellStyle name="Normal 7 7 2 5 3 3 2" xfId="37604"/>
    <cellStyle name="Normal 7 7 2 5 3 4" xfId="37605"/>
    <cellStyle name="Normal 7 7 2 5 3 4 2" xfId="37606"/>
    <cellStyle name="Normal 7 7 2 5 3 5" xfId="37607"/>
    <cellStyle name="Normal 7 7 2 5 4" xfId="37608"/>
    <cellStyle name="Normal 7 7 2 5 4 2" xfId="37609"/>
    <cellStyle name="Normal 7 7 2 5 4 2 2" xfId="37610"/>
    <cellStyle name="Normal 7 7 2 5 4 3" xfId="37611"/>
    <cellStyle name="Normal 7 7 2 5 4 3 2" xfId="37612"/>
    <cellStyle name="Normal 7 7 2 5 4 4" xfId="37613"/>
    <cellStyle name="Normal 7 7 2 5 4 4 2" xfId="37614"/>
    <cellStyle name="Normal 7 7 2 5 4 5" xfId="37615"/>
    <cellStyle name="Normal 7 7 2 5 5" xfId="37616"/>
    <cellStyle name="Normal 7 7 2 5 5 2" xfId="37617"/>
    <cellStyle name="Normal 7 7 2 5 6" xfId="37618"/>
    <cellStyle name="Normal 7 7 2 5 6 2" xfId="37619"/>
    <cellStyle name="Normal 7 7 2 5 7" xfId="37620"/>
    <cellStyle name="Normal 7 7 2 5 7 2" xfId="37621"/>
    <cellStyle name="Normal 7 7 2 5 8" xfId="37622"/>
    <cellStyle name="Normal 7 7 2 6" xfId="37623"/>
    <cellStyle name="Normal 7 7 2 6 2" xfId="37624"/>
    <cellStyle name="Normal 7 7 2 6 2 2" xfId="37625"/>
    <cellStyle name="Normal 7 7 2 6 2 2 2" xfId="37626"/>
    <cellStyle name="Normal 7 7 2 6 2 2 2 2" xfId="37627"/>
    <cellStyle name="Normal 7 7 2 6 2 2 3" xfId="37628"/>
    <cellStyle name="Normal 7 7 2 6 2 2 3 2" xfId="37629"/>
    <cellStyle name="Normal 7 7 2 6 2 2 4" xfId="37630"/>
    <cellStyle name="Normal 7 7 2 6 2 2 4 2" xfId="37631"/>
    <cellStyle name="Normal 7 7 2 6 2 2 5" xfId="37632"/>
    <cellStyle name="Normal 7 7 2 6 2 3" xfId="37633"/>
    <cellStyle name="Normal 7 7 2 6 2 3 2" xfId="37634"/>
    <cellStyle name="Normal 7 7 2 6 2 3 2 2" xfId="37635"/>
    <cellStyle name="Normal 7 7 2 6 2 3 3" xfId="37636"/>
    <cellStyle name="Normal 7 7 2 6 2 3 3 2" xfId="37637"/>
    <cellStyle name="Normal 7 7 2 6 2 3 4" xfId="37638"/>
    <cellStyle name="Normal 7 7 2 6 2 3 4 2" xfId="37639"/>
    <cellStyle name="Normal 7 7 2 6 2 3 5" xfId="37640"/>
    <cellStyle name="Normal 7 7 2 6 2 4" xfId="37641"/>
    <cellStyle name="Normal 7 7 2 6 2 4 2" xfId="37642"/>
    <cellStyle name="Normal 7 7 2 6 2 5" xfId="37643"/>
    <cellStyle name="Normal 7 7 2 6 2 5 2" xfId="37644"/>
    <cellStyle name="Normal 7 7 2 6 2 6" xfId="37645"/>
    <cellStyle name="Normal 7 7 2 6 2 6 2" xfId="37646"/>
    <cellStyle name="Normal 7 7 2 6 2 7" xfId="37647"/>
    <cellStyle name="Normal 7 7 2 6 3" xfId="37648"/>
    <cellStyle name="Normal 7 7 2 6 3 2" xfId="37649"/>
    <cellStyle name="Normal 7 7 2 6 3 2 2" xfId="37650"/>
    <cellStyle name="Normal 7 7 2 6 3 3" xfId="37651"/>
    <cellStyle name="Normal 7 7 2 6 3 3 2" xfId="37652"/>
    <cellStyle name="Normal 7 7 2 6 3 4" xfId="37653"/>
    <cellStyle name="Normal 7 7 2 6 3 4 2" xfId="37654"/>
    <cellStyle name="Normal 7 7 2 6 3 5" xfId="37655"/>
    <cellStyle name="Normal 7 7 2 6 4" xfId="37656"/>
    <cellStyle name="Normal 7 7 2 6 4 2" xfId="37657"/>
    <cellStyle name="Normal 7 7 2 6 4 2 2" xfId="37658"/>
    <cellStyle name="Normal 7 7 2 6 4 3" xfId="37659"/>
    <cellStyle name="Normal 7 7 2 6 4 3 2" xfId="37660"/>
    <cellStyle name="Normal 7 7 2 6 4 4" xfId="37661"/>
    <cellStyle name="Normal 7 7 2 6 4 4 2" xfId="37662"/>
    <cellStyle name="Normal 7 7 2 6 4 5" xfId="37663"/>
    <cellStyle name="Normal 7 7 2 6 5" xfId="37664"/>
    <cellStyle name="Normal 7 7 2 6 5 2" xfId="37665"/>
    <cellStyle name="Normal 7 7 2 6 6" xfId="37666"/>
    <cellStyle name="Normal 7 7 2 6 6 2" xfId="37667"/>
    <cellStyle name="Normal 7 7 2 6 7" xfId="37668"/>
    <cellStyle name="Normal 7 7 2 6 7 2" xfId="37669"/>
    <cellStyle name="Normal 7 7 2 6 8" xfId="37670"/>
    <cellStyle name="Normal 7 7 2 7" xfId="37671"/>
    <cellStyle name="Normal 7 7 2 7 2" xfId="37672"/>
    <cellStyle name="Normal 7 7 2 7 2 2" xfId="37673"/>
    <cellStyle name="Normal 7 7 2 7 2 2 2" xfId="37674"/>
    <cellStyle name="Normal 7 7 2 7 2 3" xfId="37675"/>
    <cellStyle name="Normal 7 7 2 7 2 3 2" xfId="37676"/>
    <cellStyle name="Normal 7 7 2 7 2 4" xfId="37677"/>
    <cellStyle name="Normal 7 7 2 7 2 4 2" xfId="37678"/>
    <cellStyle name="Normal 7 7 2 7 2 5" xfId="37679"/>
    <cellStyle name="Normal 7 7 2 7 3" xfId="37680"/>
    <cellStyle name="Normal 7 7 2 7 3 2" xfId="37681"/>
    <cellStyle name="Normal 7 7 2 7 3 2 2" xfId="37682"/>
    <cellStyle name="Normal 7 7 2 7 3 3" xfId="37683"/>
    <cellStyle name="Normal 7 7 2 7 3 3 2" xfId="37684"/>
    <cellStyle name="Normal 7 7 2 7 3 4" xfId="37685"/>
    <cellStyle name="Normal 7 7 2 7 3 4 2" xfId="37686"/>
    <cellStyle name="Normal 7 7 2 7 3 5" xfId="37687"/>
    <cellStyle name="Normal 7 7 2 7 4" xfId="37688"/>
    <cellStyle name="Normal 7 7 2 7 4 2" xfId="37689"/>
    <cellStyle name="Normal 7 7 2 7 5" xfId="37690"/>
    <cellStyle name="Normal 7 7 2 7 5 2" xfId="37691"/>
    <cellStyle name="Normal 7 7 2 7 6" xfId="37692"/>
    <cellStyle name="Normal 7 7 2 7 6 2" xfId="37693"/>
    <cellStyle name="Normal 7 7 2 7 7" xfId="37694"/>
    <cellStyle name="Normal 7 7 2 8" xfId="37695"/>
    <cellStyle name="Normal 7 7 2 8 2" xfId="37696"/>
    <cellStyle name="Normal 7 7 2 8 2 2" xfId="37697"/>
    <cellStyle name="Normal 7 7 2 8 3" xfId="37698"/>
    <cellStyle name="Normal 7 7 2 8 3 2" xfId="37699"/>
    <cellStyle name="Normal 7 7 2 8 4" xfId="37700"/>
    <cellStyle name="Normal 7 7 2 8 4 2" xfId="37701"/>
    <cellStyle name="Normal 7 7 2 8 5" xfId="37702"/>
    <cellStyle name="Normal 7 7 2 9" xfId="37703"/>
    <cellStyle name="Normal 7 7 2 9 2" xfId="37704"/>
    <cellStyle name="Normal 7 7 2 9 2 2" xfId="37705"/>
    <cellStyle name="Normal 7 7 2 9 3" xfId="37706"/>
    <cellStyle name="Normal 7 7 2 9 3 2" xfId="37707"/>
    <cellStyle name="Normal 7 7 2 9 4" xfId="37708"/>
    <cellStyle name="Normal 7 7 2 9 4 2" xfId="37709"/>
    <cellStyle name="Normal 7 7 2 9 5" xfId="37710"/>
    <cellStyle name="Normal 7 7 3" xfId="37711"/>
    <cellStyle name="Normal 7 7 3 2" xfId="37712"/>
    <cellStyle name="Normal 7 7 3 2 2" xfId="37713"/>
    <cellStyle name="Normal 7 7 3 2 2 2" xfId="37714"/>
    <cellStyle name="Normal 7 7 3 2 2 2 2" xfId="37715"/>
    <cellStyle name="Normal 7 7 3 2 2 3" xfId="37716"/>
    <cellStyle name="Normal 7 7 3 2 2 3 2" xfId="37717"/>
    <cellStyle name="Normal 7 7 3 2 2 4" xfId="37718"/>
    <cellStyle name="Normal 7 7 3 2 2 4 2" xfId="37719"/>
    <cellStyle name="Normal 7 7 3 2 2 5" xfId="37720"/>
    <cellStyle name="Normal 7 7 3 2 3" xfId="37721"/>
    <cellStyle name="Normal 7 7 3 2 3 2" xfId="37722"/>
    <cellStyle name="Normal 7 7 3 2 3 2 2" xfId="37723"/>
    <cellStyle name="Normal 7 7 3 2 3 3" xfId="37724"/>
    <cellStyle name="Normal 7 7 3 2 3 3 2" xfId="37725"/>
    <cellStyle name="Normal 7 7 3 2 3 4" xfId="37726"/>
    <cellStyle name="Normal 7 7 3 2 3 4 2" xfId="37727"/>
    <cellStyle name="Normal 7 7 3 2 3 5" xfId="37728"/>
    <cellStyle name="Normal 7 7 3 2 4" xfId="37729"/>
    <cellStyle name="Normal 7 7 3 2 4 2" xfId="37730"/>
    <cellStyle name="Normal 7 7 3 2 5" xfId="37731"/>
    <cellStyle name="Normal 7 7 3 2 5 2" xfId="37732"/>
    <cellStyle name="Normal 7 7 3 2 6" xfId="37733"/>
    <cellStyle name="Normal 7 7 3 2 6 2" xfId="37734"/>
    <cellStyle name="Normal 7 7 3 2 7" xfId="37735"/>
    <cellStyle name="Normal 7 7 3 3" xfId="37736"/>
    <cellStyle name="Normal 7 7 3 3 2" xfId="37737"/>
    <cellStyle name="Normal 7 7 3 3 2 2" xfId="37738"/>
    <cellStyle name="Normal 7 7 3 3 3" xfId="37739"/>
    <cellStyle name="Normal 7 7 3 3 3 2" xfId="37740"/>
    <cellStyle name="Normal 7 7 3 3 4" xfId="37741"/>
    <cellStyle name="Normal 7 7 3 3 4 2" xfId="37742"/>
    <cellStyle name="Normal 7 7 3 3 5" xfId="37743"/>
    <cellStyle name="Normal 7 7 3 4" xfId="37744"/>
    <cellStyle name="Normal 7 7 3 4 2" xfId="37745"/>
    <cellStyle name="Normal 7 7 3 4 2 2" xfId="37746"/>
    <cellStyle name="Normal 7 7 3 4 3" xfId="37747"/>
    <cellStyle name="Normal 7 7 3 4 3 2" xfId="37748"/>
    <cellStyle name="Normal 7 7 3 4 4" xfId="37749"/>
    <cellStyle name="Normal 7 7 3 4 4 2" xfId="37750"/>
    <cellStyle name="Normal 7 7 3 4 5" xfId="37751"/>
    <cellStyle name="Normal 7 7 3 5" xfId="37752"/>
    <cellStyle name="Normal 7 7 3 5 2" xfId="37753"/>
    <cellStyle name="Normal 7 7 3 6" xfId="37754"/>
    <cellStyle name="Normal 7 7 3 6 2" xfId="37755"/>
    <cellStyle name="Normal 7 7 3 7" xfId="37756"/>
    <cellStyle name="Normal 7 7 3 7 2" xfId="37757"/>
    <cellStyle name="Normal 7 7 3 8" xfId="37758"/>
    <cellStyle name="Normal 7 7 4" xfId="37759"/>
    <cellStyle name="Normal 7 7 4 2" xfId="37760"/>
    <cellStyle name="Normal 7 7 4 2 2" xfId="37761"/>
    <cellStyle name="Normal 7 7 4 2 2 2" xfId="37762"/>
    <cellStyle name="Normal 7 7 4 2 2 2 2" xfId="37763"/>
    <cellStyle name="Normal 7 7 4 2 2 3" xfId="37764"/>
    <cellStyle name="Normal 7 7 4 2 2 3 2" xfId="37765"/>
    <cellStyle name="Normal 7 7 4 2 2 4" xfId="37766"/>
    <cellStyle name="Normal 7 7 4 2 2 4 2" xfId="37767"/>
    <cellStyle name="Normal 7 7 4 2 2 5" xfId="37768"/>
    <cellStyle name="Normal 7 7 4 2 3" xfId="37769"/>
    <cellStyle name="Normal 7 7 4 2 3 2" xfId="37770"/>
    <cellStyle name="Normal 7 7 4 2 3 2 2" xfId="37771"/>
    <cellStyle name="Normal 7 7 4 2 3 3" xfId="37772"/>
    <cellStyle name="Normal 7 7 4 2 3 3 2" xfId="37773"/>
    <cellStyle name="Normal 7 7 4 2 3 4" xfId="37774"/>
    <cellStyle name="Normal 7 7 4 2 3 4 2" xfId="37775"/>
    <cellStyle name="Normal 7 7 4 2 3 5" xfId="37776"/>
    <cellStyle name="Normal 7 7 4 2 4" xfId="37777"/>
    <cellStyle name="Normal 7 7 4 2 4 2" xfId="37778"/>
    <cellStyle name="Normal 7 7 4 2 5" xfId="37779"/>
    <cellStyle name="Normal 7 7 4 2 5 2" xfId="37780"/>
    <cellStyle name="Normal 7 7 4 2 6" xfId="37781"/>
    <cellStyle name="Normal 7 7 4 2 6 2" xfId="37782"/>
    <cellStyle name="Normal 7 7 4 2 7" xfId="37783"/>
    <cellStyle name="Normal 7 7 4 3" xfId="37784"/>
    <cellStyle name="Normal 7 7 4 3 2" xfId="37785"/>
    <cellStyle name="Normal 7 7 4 3 2 2" xfId="37786"/>
    <cellStyle name="Normal 7 7 4 3 3" xfId="37787"/>
    <cellStyle name="Normal 7 7 4 3 3 2" xfId="37788"/>
    <cellStyle name="Normal 7 7 4 3 4" xfId="37789"/>
    <cellStyle name="Normal 7 7 4 3 4 2" xfId="37790"/>
    <cellStyle name="Normal 7 7 4 3 5" xfId="37791"/>
    <cellStyle name="Normal 7 7 4 4" xfId="37792"/>
    <cellStyle name="Normal 7 7 4 4 2" xfId="37793"/>
    <cellStyle name="Normal 7 7 4 4 2 2" xfId="37794"/>
    <cellStyle name="Normal 7 7 4 4 3" xfId="37795"/>
    <cellStyle name="Normal 7 7 4 4 3 2" xfId="37796"/>
    <cellStyle name="Normal 7 7 4 4 4" xfId="37797"/>
    <cellStyle name="Normal 7 7 4 4 4 2" xfId="37798"/>
    <cellStyle name="Normal 7 7 4 4 5" xfId="37799"/>
    <cellStyle name="Normal 7 7 4 5" xfId="37800"/>
    <cellStyle name="Normal 7 7 4 5 2" xfId="37801"/>
    <cellStyle name="Normal 7 7 4 6" xfId="37802"/>
    <cellStyle name="Normal 7 7 4 6 2" xfId="37803"/>
    <cellStyle name="Normal 7 7 4 7" xfId="37804"/>
    <cellStyle name="Normal 7 7 4 7 2" xfId="37805"/>
    <cellStyle name="Normal 7 7 4 8" xfId="37806"/>
    <cellStyle name="Normal 7 7 5" xfId="37807"/>
    <cellStyle name="Normal 7 7 5 2" xfId="37808"/>
    <cellStyle name="Normal 7 7 5 2 2" xfId="37809"/>
    <cellStyle name="Normal 7 7 5 2 2 2" xfId="37810"/>
    <cellStyle name="Normal 7 7 5 2 2 2 2" xfId="37811"/>
    <cellStyle name="Normal 7 7 5 2 2 3" xfId="37812"/>
    <cellStyle name="Normal 7 7 5 2 2 3 2" xfId="37813"/>
    <cellStyle name="Normal 7 7 5 2 2 4" xfId="37814"/>
    <cellStyle name="Normal 7 7 5 2 2 4 2" xfId="37815"/>
    <cellStyle name="Normal 7 7 5 2 2 5" xfId="37816"/>
    <cellStyle name="Normal 7 7 5 2 3" xfId="37817"/>
    <cellStyle name="Normal 7 7 5 2 3 2" xfId="37818"/>
    <cellStyle name="Normal 7 7 5 2 3 2 2" xfId="37819"/>
    <cellStyle name="Normal 7 7 5 2 3 3" xfId="37820"/>
    <cellStyle name="Normal 7 7 5 2 3 3 2" xfId="37821"/>
    <cellStyle name="Normal 7 7 5 2 3 4" xfId="37822"/>
    <cellStyle name="Normal 7 7 5 2 3 4 2" xfId="37823"/>
    <cellStyle name="Normal 7 7 5 2 3 5" xfId="37824"/>
    <cellStyle name="Normal 7 7 5 2 4" xfId="37825"/>
    <cellStyle name="Normal 7 7 5 2 4 2" xfId="37826"/>
    <cellStyle name="Normal 7 7 5 2 5" xfId="37827"/>
    <cellStyle name="Normal 7 7 5 2 5 2" xfId="37828"/>
    <cellStyle name="Normal 7 7 5 2 6" xfId="37829"/>
    <cellStyle name="Normal 7 7 5 2 6 2" xfId="37830"/>
    <cellStyle name="Normal 7 7 5 2 7" xfId="37831"/>
    <cellStyle name="Normal 7 7 5 3" xfId="37832"/>
    <cellStyle name="Normal 7 7 5 3 2" xfId="37833"/>
    <cellStyle name="Normal 7 7 5 3 2 2" xfId="37834"/>
    <cellStyle name="Normal 7 7 5 3 3" xfId="37835"/>
    <cellStyle name="Normal 7 7 5 3 3 2" xfId="37836"/>
    <cellStyle name="Normal 7 7 5 3 4" xfId="37837"/>
    <cellStyle name="Normal 7 7 5 3 4 2" xfId="37838"/>
    <cellStyle name="Normal 7 7 5 3 5" xfId="37839"/>
    <cellStyle name="Normal 7 7 5 4" xfId="37840"/>
    <cellStyle name="Normal 7 7 5 4 2" xfId="37841"/>
    <cellStyle name="Normal 7 7 5 4 2 2" xfId="37842"/>
    <cellStyle name="Normal 7 7 5 4 3" xfId="37843"/>
    <cellStyle name="Normal 7 7 5 4 3 2" xfId="37844"/>
    <cellStyle name="Normal 7 7 5 4 4" xfId="37845"/>
    <cellStyle name="Normal 7 7 5 4 4 2" xfId="37846"/>
    <cellStyle name="Normal 7 7 5 4 5" xfId="37847"/>
    <cellStyle name="Normal 7 7 5 5" xfId="37848"/>
    <cellStyle name="Normal 7 7 5 5 2" xfId="37849"/>
    <cellStyle name="Normal 7 7 5 6" xfId="37850"/>
    <cellStyle name="Normal 7 7 5 6 2" xfId="37851"/>
    <cellStyle name="Normal 7 7 5 7" xfId="37852"/>
    <cellStyle name="Normal 7 7 5 7 2" xfId="37853"/>
    <cellStyle name="Normal 7 7 5 8" xfId="37854"/>
    <cellStyle name="Normal 7 7 6" xfId="37855"/>
    <cellStyle name="Normal 7 7 6 2" xfId="37856"/>
    <cellStyle name="Normal 7 7 6 2 2" xfId="37857"/>
    <cellStyle name="Normal 7 7 6 2 2 2" xfId="37858"/>
    <cellStyle name="Normal 7 7 6 2 2 2 2" xfId="37859"/>
    <cellStyle name="Normal 7 7 6 2 2 3" xfId="37860"/>
    <cellStyle name="Normal 7 7 6 2 2 3 2" xfId="37861"/>
    <cellStyle name="Normal 7 7 6 2 2 4" xfId="37862"/>
    <cellStyle name="Normal 7 7 6 2 2 4 2" xfId="37863"/>
    <cellStyle name="Normal 7 7 6 2 2 5" xfId="37864"/>
    <cellStyle name="Normal 7 7 6 2 3" xfId="37865"/>
    <cellStyle name="Normal 7 7 6 2 3 2" xfId="37866"/>
    <cellStyle name="Normal 7 7 6 2 3 2 2" xfId="37867"/>
    <cellStyle name="Normal 7 7 6 2 3 3" xfId="37868"/>
    <cellStyle name="Normal 7 7 6 2 3 3 2" xfId="37869"/>
    <cellStyle name="Normal 7 7 6 2 3 4" xfId="37870"/>
    <cellStyle name="Normal 7 7 6 2 3 4 2" xfId="37871"/>
    <cellStyle name="Normal 7 7 6 2 3 5" xfId="37872"/>
    <cellStyle name="Normal 7 7 6 2 4" xfId="37873"/>
    <cellStyle name="Normal 7 7 6 2 4 2" xfId="37874"/>
    <cellStyle name="Normal 7 7 6 2 5" xfId="37875"/>
    <cellStyle name="Normal 7 7 6 2 5 2" xfId="37876"/>
    <cellStyle name="Normal 7 7 6 2 6" xfId="37877"/>
    <cellStyle name="Normal 7 7 6 2 6 2" xfId="37878"/>
    <cellStyle name="Normal 7 7 6 2 7" xfId="37879"/>
    <cellStyle name="Normal 7 7 6 3" xfId="37880"/>
    <cellStyle name="Normal 7 7 6 3 2" xfId="37881"/>
    <cellStyle name="Normal 7 7 6 3 2 2" xfId="37882"/>
    <cellStyle name="Normal 7 7 6 3 3" xfId="37883"/>
    <cellStyle name="Normal 7 7 6 3 3 2" xfId="37884"/>
    <cellStyle name="Normal 7 7 6 3 4" xfId="37885"/>
    <cellStyle name="Normal 7 7 6 3 4 2" xfId="37886"/>
    <cellStyle name="Normal 7 7 6 3 5" xfId="37887"/>
    <cellStyle name="Normal 7 7 6 4" xfId="37888"/>
    <cellStyle name="Normal 7 7 6 4 2" xfId="37889"/>
    <cellStyle name="Normal 7 7 6 4 2 2" xfId="37890"/>
    <cellStyle name="Normal 7 7 6 4 3" xfId="37891"/>
    <cellStyle name="Normal 7 7 6 4 3 2" xfId="37892"/>
    <cellStyle name="Normal 7 7 6 4 4" xfId="37893"/>
    <cellStyle name="Normal 7 7 6 4 4 2" xfId="37894"/>
    <cellStyle name="Normal 7 7 6 4 5" xfId="37895"/>
    <cellStyle name="Normal 7 7 6 5" xfId="37896"/>
    <cellStyle name="Normal 7 7 6 5 2" xfId="37897"/>
    <cellStyle name="Normal 7 7 6 6" xfId="37898"/>
    <cellStyle name="Normal 7 7 6 6 2" xfId="37899"/>
    <cellStyle name="Normal 7 7 6 7" xfId="37900"/>
    <cellStyle name="Normal 7 7 6 7 2" xfId="37901"/>
    <cellStyle name="Normal 7 7 6 8" xfId="37902"/>
    <cellStyle name="Normal 7 7 7" xfId="37903"/>
    <cellStyle name="Normal 7 7 7 2" xfId="37904"/>
    <cellStyle name="Normal 7 7 7 2 2" xfId="37905"/>
    <cellStyle name="Normal 7 7 7 2 2 2" xfId="37906"/>
    <cellStyle name="Normal 7 7 7 2 2 2 2" xfId="37907"/>
    <cellStyle name="Normal 7 7 7 2 2 3" xfId="37908"/>
    <cellStyle name="Normal 7 7 7 2 2 3 2" xfId="37909"/>
    <cellStyle name="Normal 7 7 7 2 2 4" xfId="37910"/>
    <cellStyle name="Normal 7 7 7 2 2 4 2" xfId="37911"/>
    <cellStyle name="Normal 7 7 7 2 2 5" xfId="37912"/>
    <cellStyle name="Normal 7 7 7 2 3" xfId="37913"/>
    <cellStyle name="Normal 7 7 7 2 3 2" xfId="37914"/>
    <cellStyle name="Normal 7 7 7 2 3 2 2" xfId="37915"/>
    <cellStyle name="Normal 7 7 7 2 3 3" xfId="37916"/>
    <cellStyle name="Normal 7 7 7 2 3 3 2" xfId="37917"/>
    <cellStyle name="Normal 7 7 7 2 3 4" xfId="37918"/>
    <cellStyle name="Normal 7 7 7 2 3 4 2" xfId="37919"/>
    <cellStyle name="Normal 7 7 7 2 3 5" xfId="37920"/>
    <cellStyle name="Normal 7 7 7 2 4" xfId="37921"/>
    <cellStyle name="Normal 7 7 7 2 4 2" xfId="37922"/>
    <cellStyle name="Normal 7 7 7 2 5" xfId="37923"/>
    <cellStyle name="Normal 7 7 7 2 5 2" xfId="37924"/>
    <cellStyle name="Normal 7 7 7 2 6" xfId="37925"/>
    <cellStyle name="Normal 7 7 7 2 6 2" xfId="37926"/>
    <cellStyle name="Normal 7 7 7 2 7" xfId="37927"/>
    <cellStyle name="Normal 7 7 7 3" xfId="37928"/>
    <cellStyle name="Normal 7 7 7 3 2" xfId="37929"/>
    <cellStyle name="Normal 7 7 7 3 2 2" xfId="37930"/>
    <cellStyle name="Normal 7 7 7 3 3" xfId="37931"/>
    <cellStyle name="Normal 7 7 7 3 3 2" xfId="37932"/>
    <cellStyle name="Normal 7 7 7 3 4" xfId="37933"/>
    <cellStyle name="Normal 7 7 7 3 4 2" xfId="37934"/>
    <cellStyle name="Normal 7 7 7 3 5" xfId="37935"/>
    <cellStyle name="Normal 7 7 7 4" xfId="37936"/>
    <cellStyle name="Normal 7 7 7 4 2" xfId="37937"/>
    <cellStyle name="Normal 7 7 7 4 2 2" xfId="37938"/>
    <cellStyle name="Normal 7 7 7 4 3" xfId="37939"/>
    <cellStyle name="Normal 7 7 7 4 3 2" xfId="37940"/>
    <cellStyle name="Normal 7 7 7 4 4" xfId="37941"/>
    <cellStyle name="Normal 7 7 7 4 4 2" xfId="37942"/>
    <cellStyle name="Normal 7 7 7 4 5" xfId="37943"/>
    <cellStyle name="Normal 7 7 7 5" xfId="37944"/>
    <cellStyle name="Normal 7 7 7 5 2" xfId="37945"/>
    <cellStyle name="Normal 7 7 7 6" xfId="37946"/>
    <cellStyle name="Normal 7 7 7 6 2" xfId="37947"/>
    <cellStyle name="Normal 7 7 7 7" xfId="37948"/>
    <cellStyle name="Normal 7 7 7 7 2" xfId="37949"/>
    <cellStyle name="Normal 7 7 7 8" xfId="37950"/>
    <cellStyle name="Normal 7 7 8" xfId="37951"/>
    <cellStyle name="Normal 7 7 8 2" xfId="37952"/>
    <cellStyle name="Normal 7 7 8 2 2" xfId="37953"/>
    <cellStyle name="Normal 7 7 8 2 2 2" xfId="37954"/>
    <cellStyle name="Normal 7 7 8 2 3" xfId="37955"/>
    <cellStyle name="Normal 7 7 8 2 3 2" xfId="37956"/>
    <cellStyle name="Normal 7 7 8 2 4" xfId="37957"/>
    <cellStyle name="Normal 7 7 8 2 4 2" xfId="37958"/>
    <cellStyle name="Normal 7 7 8 2 5" xfId="37959"/>
    <cellStyle name="Normal 7 7 8 3" xfId="37960"/>
    <cellStyle name="Normal 7 7 8 3 2" xfId="37961"/>
    <cellStyle name="Normal 7 7 8 3 2 2" xfId="37962"/>
    <cellStyle name="Normal 7 7 8 3 3" xfId="37963"/>
    <cellStyle name="Normal 7 7 8 3 3 2" xfId="37964"/>
    <cellStyle name="Normal 7 7 8 3 4" xfId="37965"/>
    <cellStyle name="Normal 7 7 8 3 4 2" xfId="37966"/>
    <cellStyle name="Normal 7 7 8 3 5" xfId="37967"/>
    <cellStyle name="Normal 7 7 8 4" xfId="37968"/>
    <cellStyle name="Normal 7 7 8 4 2" xfId="37969"/>
    <cellStyle name="Normal 7 7 8 5" xfId="37970"/>
    <cellStyle name="Normal 7 7 8 5 2" xfId="37971"/>
    <cellStyle name="Normal 7 7 8 6" xfId="37972"/>
    <cellStyle name="Normal 7 7 8 6 2" xfId="37973"/>
    <cellStyle name="Normal 7 7 8 7" xfId="37974"/>
    <cellStyle name="Normal 7 7 9" xfId="37975"/>
    <cellStyle name="Normal 7 7 9 2" xfId="37976"/>
    <cellStyle name="Normal 7 7 9 2 2" xfId="37977"/>
    <cellStyle name="Normal 7 7 9 3" xfId="37978"/>
    <cellStyle name="Normal 7 7 9 3 2" xfId="37979"/>
    <cellStyle name="Normal 7 7 9 4" xfId="37980"/>
    <cellStyle name="Normal 7 7 9 4 2" xfId="37981"/>
    <cellStyle name="Normal 7 7 9 5" xfId="37982"/>
    <cellStyle name="Normal 7 8" xfId="37983"/>
    <cellStyle name="Normal 7 8 10" xfId="37984"/>
    <cellStyle name="Normal 7 8 10 2" xfId="37985"/>
    <cellStyle name="Normal 7 8 10 2 2" xfId="37986"/>
    <cellStyle name="Normal 7 8 10 3" xfId="37987"/>
    <cellStyle name="Normal 7 8 10 3 2" xfId="37988"/>
    <cellStyle name="Normal 7 8 10 4" xfId="37989"/>
    <cellStyle name="Normal 7 8 10 4 2" xfId="37990"/>
    <cellStyle name="Normal 7 8 10 5" xfId="37991"/>
    <cellStyle name="Normal 7 8 11" xfId="37992"/>
    <cellStyle name="Normal 7 8 11 2" xfId="37993"/>
    <cellStyle name="Normal 7 8 12" xfId="37994"/>
    <cellStyle name="Normal 7 8 12 2" xfId="37995"/>
    <cellStyle name="Normal 7 8 13" xfId="37996"/>
    <cellStyle name="Normal 7 8 13 2" xfId="37997"/>
    <cellStyle name="Normal 7 8 14" xfId="37998"/>
    <cellStyle name="Normal 7 8 2" xfId="37999"/>
    <cellStyle name="Normal 7 8 2 10" xfId="38000"/>
    <cellStyle name="Normal 7 8 2 10 2" xfId="38001"/>
    <cellStyle name="Normal 7 8 2 11" xfId="38002"/>
    <cellStyle name="Normal 7 8 2 11 2" xfId="38003"/>
    <cellStyle name="Normal 7 8 2 12" xfId="38004"/>
    <cellStyle name="Normal 7 8 2 12 2" xfId="38005"/>
    <cellStyle name="Normal 7 8 2 13" xfId="38006"/>
    <cellStyle name="Normal 7 8 2 2" xfId="38007"/>
    <cellStyle name="Normal 7 8 2 2 2" xfId="38008"/>
    <cellStyle name="Normal 7 8 2 2 2 2" xfId="38009"/>
    <cellStyle name="Normal 7 8 2 2 2 2 2" xfId="38010"/>
    <cellStyle name="Normal 7 8 2 2 2 2 2 2" xfId="38011"/>
    <cellStyle name="Normal 7 8 2 2 2 2 3" xfId="38012"/>
    <cellStyle name="Normal 7 8 2 2 2 2 3 2" xfId="38013"/>
    <cellStyle name="Normal 7 8 2 2 2 2 4" xfId="38014"/>
    <cellStyle name="Normal 7 8 2 2 2 2 4 2" xfId="38015"/>
    <cellStyle name="Normal 7 8 2 2 2 2 5" xfId="38016"/>
    <cellStyle name="Normal 7 8 2 2 2 3" xfId="38017"/>
    <cellStyle name="Normal 7 8 2 2 2 3 2" xfId="38018"/>
    <cellStyle name="Normal 7 8 2 2 2 3 2 2" xfId="38019"/>
    <cellStyle name="Normal 7 8 2 2 2 3 3" xfId="38020"/>
    <cellStyle name="Normal 7 8 2 2 2 3 3 2" xfId="38021"/>
    <cellStyle name="Normal 7 8 2 2 2 3 4" xfId="38022"/>
    <cellStyle name="Normal 7 8 2 2 2 3 4 2" xfId="38023"/>
    <cellStyle name="Normal 7 8 2 2 2 3 5" xfId="38024"/>
    <cellStyle name="Normal 7 8 2 2 2 4" xfId="38025"/>
    <cellStyle name="Normal 7 8 2 2 2 4 2" xfId="38026"/>
    <cellStyle name="Normal 7 8 2 2 2 5" xfId="38027"/>
    <cellStyle name="Normal 7 8 2 2 2 5 2" xfId="38028"/>
    <cellStyle name="Normal 7 8 2 2 2 6" xfId="38029"/>
    <cellStyle name="Normal 7 8 2 2 2 6 2" xfId="38030"/>
    <cellStyle name="Normal 7 8 2 2 2 7" xfId="38031"/>
    <cellStyle name="Normal 7 8 2 2 3" xfId="38032"/>
    <cellStyle name="Normal 7 8 2 2 3 2" xfId="38033"/>
    <cellStyle name="Normal 7 8 2 2 3 2 2" xfId="38034"/>
    <cellStyle name="Normal 7 8 2 2 3 3" xfId="38035"/>
    <cellStyle name="Normal 7 8 2 2 3 3 2" xfId="38036"/>
    <cellStyle name="Normal 7 8 2 2 3 4" xfId="38037"/>
    <cellStyle name="Normal 7 8 2 2 3 4 2" xfId="38038"/>
    <cellStyle name="Normal 7 8 2 2 3 5" xfId="38039"/>
    <cellStyle name="Normal 7 8 2 2 4" xfId="38040"/>
    <cellStyle name="Normal 7 8 2 2 4 2" xfId="38041"/>
    <cellStyle name="Normal 7 8 2 2 4 2 2" xfId="38042"/>
    <cellStyle name="Normal 7 8 2 2 4 3" xfId="38043"/>
    <cellStyle name="Normal 7 8 2 2 4 3 2" xfId="38044"/>
    <cellStyle name="Normal 7 8 2 2 4 4" xfId="38045"/>
    <cellStyle name="Normal 7 8 2 2 4 4 2" xfId="38046"/>
    <cellStyle name="Normal 7 8 2 2 4 5" xfId="38047"/>
    <cellStyle name="Normal 7 8 2 2 5" xfId="38048"/>
    <cellStyle name="Normal 7 8 2 2 5 2" xfId="38049"/>
    <cellStyle name="Normal 7 8 2 2 6" xfId="38050"/>
    <cellStyle name="Normal 7 8 2 2 6 2" xfId="38051"/>
    <cellStyle name="Normal 7 8 2 2 7" xfId="38052"/>
    <cellStyle name="Normal 7 8 2 2 7 2" xfId="38053"/>
    <cellStyle name="Normal 7 8 2 2 8" xfId="38054"/>
    <cellStyle name="Normal 7 8 2 3" xfId="38055"/>
    <cellStyle name="Normal 7 8 2 3 2" xfId="38056"/>
    <cellStyle name="Normal 7 8 2 3 2 2" xfId="38057"/>
    <cellStyle name="Normal 7 8 2 3 2 2 2" xfId="38058"/>
    <cellStyle name="Normal 7 8 2 3 2 2 2 2" xfId="38059"/>
    <cellStyle name="Normal 7 8 2 3 2 2 3" xfId="38060"/>
    <cellStyle name="Normal 7 8 2 3 2 2 3 2" xfId="38061"/>
    <cellStyle name="Normal 7 8 2 3 2 2 4" xfId="38062"/>
    <cellStyle name="Normal 7 8 2 3 2 2 4 2" xfId="38063"/>
    <cellStyle name="Normal 7 8 2 3 2 2 5" xfId="38064"/>
    <cellStyle name="Normal 7 8 2 3 2 3" xfId="38065"/>
    <cellStyle name="Normal 7 8 2 3 2 3 2" xfId="38066"/>
    <cellStyle name="Normal 7 8 2 3 2 3 2 2" xfId="38067"/>
    <cellStyle name="Normal 7 8 2 3 2 3 3" xfId="38068"/>
    <cellStyle name="Normal 7 8 2 3 2 3 3 2" xfId="38069"/>
    <cellStyle name="Normal 7 8 2 3 2 3 4" xfId="38070"/>
    <cellStyle name="Normal 7 8 2 3 2 3 4 2" xfId="38071"/>
    <cellStyle name="Normal 7 8 2 3 2 3 5" xfId="38072"/>
    <cellStyle name="Normal 7 8 2 3 2 4" xfId="38073"/>
    <cellStyle name="Normal 7 8 2 3 2 4 2" xfId="38074"/>
    <cellStyle name="Normal 7 8 2 3 2 5" xfId="38075"/>
    <cellStyle name="Normal 7 8 2 3 2 5 2" xfId="38076"/>
    <cellStyle name="Normal 7 8 2 3 2 6" xfId="38077"/>
    <cellStyle name="Normal 7 8 2 3 2 6 2" xfId="38078"/>
    <cellStyle name="Normal 7 8 2 3 2 7" xfId="38079"/>
    <cellStyle name="Normal 7 8 2 3 3" xfId="38080"/>
    <cellStyle name="Normal 7 8 2 3 3 2" xfId="38081"/>
    <cellStyle name="Normal 7 8 2 3 3 2 2" xfId="38082"/>
    <cellStyle name="Normal 7 8 2 3 3 3" xfId="38083"/>
    <cellStyle name="Normal 7 8 2 3 3 3 2" xfId="38084"/>
    <cellStyle name="Normal 7 8 2 3 3 4" xfId="38085"/>
    <cellStyle name="Normal 7 8 2 3 3 4 2" xfId="38086"/>
    <cellStyle name="Normal 7 8 2 3 3 5" xfId="38087"/>
    <cellStyle name="Normal 7 8 2 3 4" xfId="38088"/>
    <cellStyle name="Normal 7 8 2 3 4 2" xfId="38089"/>
    <cellStyle name="Normal 7 8 2 3 4 2 2" xfId="38090"/>
    <cellStyle name="Normal 7 8 2 3 4 3" xfId="38091"/>
    <cellStyle name="Normal 7 8 2 3 4 3 2" xfId="38092"/>
    <cellStyle name="Normal 7 8 2 3 4 4" xfId="38093"/>
    <cellStyle name="Normal 7 8 2 3 4 4 2" xfId="38094"/>
    <cellStyle name="Normal 7 8 2 3 4 5" xfId="38095"/>
    <cellStyle name="Normal 7 8 2 3 5" xfId="38096"/>
    <cellStyle name="Normal 7 8 2 3 5 2" xfId="38097"/>
    <cellStyle name="Normal 7 8 2 3 6" xfId="38098"/>
    <cellStyle name="Normal 7 8 2 3 6 2" xfId="38099"/>
    <cellStyle name="Normal 7 8 2 3 7" xfId="38100"/>
    <cellStyle name="Normal 7 8 2 3 7 2" xfId="38101"/>
    <cellStyle name="Normal 7 8 2 3 8" xfId="38102"/>
    <cellStyle name="Normal 7 8 2 4" xfId="38103"/>
    <cellStyle name="Normal 7 8 2 4 2" xfId="38104"/>
    <cellStyle name="Normal 7 8 2 4 2 2" xfId="38105"/>
    <cellStyle name="Normal 7 8 2 4 2 2 2" xfId="38106"/>
    <cellStyle name="Normal 7 8 2 4 2 2 2 2" xfId="38107"/>
    <cellStyle name="Normal 7 8 2 4 2 2 3" xfId="38108"/>
    <cellStyle name="Normal 7 8 2 4 2 2 3 2" xfId="38109"/>
    <cellStyle name="Normal 7 8 2 4 2 2 4" xfId="38110"/>
    <cellStyle name="Normal 7 8 2 4 2 2 4 2" xfId="38111"/>
    <cellStyle name="Normal 7 8 2 4 2 2 5" xfId="38112"/>
    <cellStyle name="Normal 7 8 2 4 2 3" xfId="38113"/>
    <cellStyle name="Normal 7 8 2 4 2 3 2" xfId="38114"/>
    <cellStyle name="Normal 7 8 2 4 2 3 2 2" xfId="38115"/>
    <cellStyle name="Normal 7 8 2 4 2 3 3" xfId="38116"/>
    <cellStyle name="Normal 7 8 2 4 2 3 3 2" xfId="38117"/>
    <cellStyle name="Normal 7 8 2 4 2 3 4" xfId="38118"/>
    <cellStyle name="Normal 7 8 2 4 2 3 4 2" xfId="38119"/>
    <cellStyle name="Normal 7 8 2 4 2 3 5" xfId="38120"/>
    <cellStyle name="Normal 7 8 2 4 2 4" xfId="38121"/>
    <cellStyle name="Normal 7 8 2 4 2 4 2" xfId="38122"/>
    <cellStyle name="Normal 7 8 2 4 2 5" xfId="38123"/>
    <cellStyle name="Normal 7 8 2 4 2 5 2" xfId="38124"/>
    <cellStyle name="Normal 7 8 2 4 2 6" xfId="38125"/>
    <cellStyle name="Normal 7 8 2 4 2 6 2" xfId="38126"/>
    <cellStyle name="Normal 7 8 2 4 2 7" xfId="38127"/>
    <cellStyle name="Normal 7 8 2 4 3" xfId="38128"/>
    <cellStyle name="Normal 7 8 2 4 3 2" xfId="38129"/>
    <cellStyle name="Normal 7 8 2 4 3 2 2" xfId="38130"/>
    <cellStyle name="Normal 7 8 2 4 3 3" xfId="38131"/>
    <cellStyle name="Normal 7 8 2 4 3 3 2" xfId="38132"/>
    <cellStyle name="Normal 7 8 2 4 3 4" xfId="38133"/>
    <cellStyle name="Normal 7 8 2 4 3 4 2" xfId="38134"/>
    <cellStyle name="Normal 7 8 2 4 3 5" xfId="38135"/>
    <cellStyle name="Normal 7 8 2 4 4" xfId="38136"/>
    <cellStyle name="Normal 7 8 2 4 4 2" xfId="38137"/>
    <cellStyle name="Normal 7 8 2 4 4 2 2" xfId="38138"/>
    <cellStyle name="Normal 7 8 2 4 4 3" xfId="38139"/>
    <cellStyle name="Normal 7 8 2 4 4 3 2" xfId="38140"/>
    <cellStyle name="Normal 7 8 2 4 4 4" xfId="38141"/>
    <cellStyle name="Normal 7 8 2 4 4 4 2" xfId="38142"/>
    <cellStyle name="Normal 7 8 2 4 4 5" xfId="38143"/>
    <cellStyle name="Normal 7 8 2 4 5" xfId="38144"/>
    <cellStyle name="Normal 7 8 2 4 5 2" xfId="38145"/>
    <cellStyle name="Normal 7 8 2 4 6" xfId="38146"/>
    <cellStyle name="Normal 7 8 2 4 6 2" xfId="38147"/>
    <cellStyle name="Normal 7 8 2 4 7" xfId="38148"/>
    <cellStyle name="Normal 7 8 2 4 7 2" xfId="38149"/>
    <cellStyle name="Normal 7 8 2 4 8" xfId="38150"/>
    <cellStyle name="Normal 7 8 2 5" xfId="38151"/>
    <cellStyle name="Normal 7 8 2 5 2" xfId="38152"/>
    <cellStyle name="Normal 7 8 2 5 2 2" xfId="38153"/>
    <cellStyle name="Normal 7 8 2 5 2 2 2" xfId="38154"/>
    <cellStyle name="Normal 7 8 2 5 2 2 2 2" xfId="38155"/>
    <cellStyle name="Normal 7 8 2 5 2 2 3" xfId="38156"/>
    <cellStyle name="Normal 7 8 2 5 2 2 3 2" xfId="38157"/>
    <cellStyle name="Normal 7 8 2 5 2 2 4" xfId="38158"/>
    <cellStyle name="Normal 7 8 2 5 2 2 4 2" xfId="38159"/>
    <cellStyle name="Normal 7 8 2 5 2 2 5" xfId="38160"/>
    <cellStyle name="Normal 7 8 2 5 2 3" xfId="38161"/>
    <cellStyle name="Normal 7 8 2 5 2 3 2" xfId="38162"/>
    <cellStyle name="Normal 7 8 2 5 2 3 2 2" xfId="38163"/>
    <cellStyle name="Normal 7 8 2 5 2 3 3" xfId="38164"/>
    <cellStyle name="Normal 7 8 2 5 2 3 3 2" xfId="38165"/>
    <cellStyle name="Normal 7 8 2 5 2 3 4" xfId="38166"/>
    <cellStyle name="Normal 7 8 2 5 2 3 4 2" xfId="38167"/>
    <cellStyle name="Normal 7 8 2 5 2 3 5" xfId="38168"/>
    <cellStyle name="Normal 7 8 2 5 2 4" xfId="38169"/>
    <cellStyle name="Normal 7 8 2 5 2 4 2" xfId="38170"/>
    <cellStyle name="Normal 7 8 2 5 2 5" xfId="38171"/>
    <cellStyle name="Normal 7 8 2 5 2 5 2" xfId="38172"/>
    <cellStyle name="Normal 7 8 2 5 2 6" xfId="38173"/>
    <cellStyle name="Normal 7 8 2 5 2 6 2" xfId="38174"/>
    <cellStyle name="Normal 7 8 2 5 2 7" xfId="38175"/>
    <cellStyle name="Normal 7 8 2 5 3" xfId="38176"/>
    <cellStyle name="Normal 7 8 2 5 3 2" xfId="38177"/>
    <cellStyle name="Normal 7 8 2 5 3 2 2" xfId="38178"/>
    <cellStyle name="Normal 7 8 2 5 3 3" xfId="38179"/>
    <cellStyle name="Normal 7 8 2 5 3 3 2" xfId="38180"/>
    <cellStyle name="Normal 7 8 2 5 3 4" xfId="38181"/>
    <cellStyle name="Normal 7 8 2 5 3 4 2" xfId="38182"/>
    <cellStyle name="Normal 7 8 2 5 3 5" xfId="38183"/>
    <cellStyle name="Normal 7 8 2 5 4" xfId="38184"/>
    <cellStyle name="Normal 7 8 2 5 4 2" xfId="38185"/>
    <cellStyle name="Normal 7 8 2 5 4 2 2" xfId="38186"/>
    <cellStyle name="Normal 7 8 2 5 4 3" xfId="38187"/>
    <cellStyle name="Normal 7 8 2 5 4 3 2" xfId="38188"/>
    <cellStyle name="Normal 7 8 2 5 4 4" xfId="38189"/>
    <cellStyle name="Normal 7 8 2 5 4 4 2" xfId="38190"/>
    <cellStyle name="Normal 7 8 2 5 4 5" xfId="38191"/>
    <cellStyle name="Normal 7 8 2 5 5" xfId="38192"/>
    <cellStyle name="Normal 7 8 2 5 5 2" xfId="38193"/>
    <cellStyle name="Normal 7 8 2 5 6" xfId="38194"/>
    <cellStyle name="Normal 7 8 2 5 6 2" xfId="38195"/>
    <cellStyle name="Normal 7 8 2 5 7" xfId="38196"/>
    <cellStyle name="Normal 7 8 2 5 7 2" xfId="38197"/>
    <cellStyle name="Normal 7 8 2 5 8" xfId="38198"/>
    <cellStyle name="Normal 7 8 2 6" xfId="38199"/>
    <cellStyle name="Normal 7 8 2 6 2" xfId="38200"/>
    <cellStyle name="Normal 7 8 2 6 2 2" xfId="38201"/>
    <cellStyle name="Normal 7 8 2 6 2 2 2" xfId="38202"/>
    <cellStyle name="Normal 7 8 2 6 2 2 2 2" xfId="38203"/>
    <cellStyle name="Normal 7 8 2 6 2 2 3" xfId="38204"/>
    <cellStyle name="Normal 7 8 2 6 2 2 3 2" xfId="38205"/>
    <cellStyle name="Normal 7 8 2 6 2 2 4" xfId="38206"/>
    <cellStyle name="Normal 7 8 2 6 2 2 4 2" xfId="38207"/>
    <cellStyle name="Normal 7 8 2 6 2 2 5" xfId="38208"/>
    <cellStyle name="Normal 7 8 2 6 2 3" xfId="38209"/>
    <cellStyle name="Normal 7 8 2 6 2 3 2" xfId="38210"/>
    <cellStyle name="Normal 7 8 2 6 2 3 2 2" xfId="38211"/>
    <cellStyle name="Normal 7 8 2 6 2 3 3" xfId="38212"/>
    <cellStyle name="Normal 7 8 2 6 2 3 3 2" xfId="38213"/>
    <cellStyle name="Normal 7 8 2 6 2 3 4" xfId="38214"/>
    <cellStyle name="Normal 7 8 2 6 2 3 4 2" xfId="38215"/>
    <cellStyle name="Normal 7 8 2 6 2 3 5" xfId="38216"/>
    <cellStyle name="Normal 7 8 2 6 2 4" xfId="38217"/>
    <cellStyle name="Normal 7 8 2 6 2 4 2" xfId="38218"/>
    <cellStyle name="Normal 7 8 2 6 2 5" xfId="38219"/>
    <cellStyle name="Normal 7 8 2 6 2 5 2" xfId="38220"/>
    <cellStyle name="Normal 7 8 2 6 2 6" xfId="38221"/>
    <cellStyle name="Normal 7 8 2 6 2 6 2" xfId="38222"/>
    <cellStyle name="Normal 7 8 2 6 2 7" xfId="38223"/>
    <cellStyle name="Normal 7 8 2 6 3" xfId="38224"/>
    <cellStyle name="Normal 7 8 2 6 3 2" xfId="38225"/>
    <cellStyle name="Normal 7 8 2 6 3 2 2" xfId="38226"/>
    <cellStyle name="Normal 7 8 2 6 3 3" xfId="38227"/>
    <cellStyle name="Normal 7 8 2 6 3 3 2" xfId="38228"/>
    <cellStyle name="Normal 7 8 2 6 3 4" xfId="38229"/>
    <cellStyle name="Normal 7 8 2 6 3 4 2" xfId="38230"/>
    <cellStyle name="Normal 7 8 2 6 3 5" xfId="38231"/>
    <cellStyle name="Normal 7 8 2 6 4" xfId="38232"/>
    <cellStyle name="Normal 7 8 2 6 4 2" xfId="38233"/>
    <cellStyle name="Normal 7 8 2 6 4 2 2" xfId="38234"/>
    <cellStyle name="Normal 7 8 2 6 4 3" xfId="38235"/>
    <cellStyle name="Normal 7 8 2 6 4 3 2" xfId="38236"/>
    <cellStyle name="Normal 7 8 2 6 4 4" xfId="38237"/>
    <cellStyle name="Normal 7 8 2 6 4 4 2" xfId="38238"/>
    <cellStyle name="Normal 7 8 2 6 4 5" xfId="38239"/>
    <cellStyle name="Normal 7 8 2 6 5" xfId="38240"/>
    <cellStyle name="Normal 7 8 2 6 5 2" xfId="38241"/>
    <cellStyle name="Normal 7 8 2 6 6" xfId="38242"/>
    <cellStyle name="Normal 7 8 2 6 6 2" xfId="38243"/>
    <cellStyle name="Normal 7 8 2 6 7" xfId="38244"/>
    <cellStyle name="Normal 7 8 2 6 7 2" xfId="38245"/>
    <cellStyle name="Normal 7 8 2 6 8" xfId="38246"/>
    <cellStyle name="Normal 7 8 2 7" xfId="38247"/>
    <cellStyle name="Normal 7 8 2 7 2" xfId="38248"/>
    <cellStyle name="Normal 7 8 2 7 2 2" xfId="38249"/>
    <cellStyle name="Normal 7 8 2 7 2 2 2" xfId="38250"/>
    <cellStyle name="Normal 7 8 2 7 2 3" xfId="38251"/>
    <cellStyle name="Normal 7 8 2 7 2 3 2" xfId="38252"/>
    <cellStyle name="Normal 7 8 2 7 2 4" xfId="38253"/>
    <cellStyle name="Normal 7 8 2 7 2 4 2" xfId="38254"/>
    <cellStyle name="Normal 7 8 2 7 2 5" xfId="38255"/>
    <cellStyle name="Normal 7 8 2 7 3" xfId="38256"/>
    <cellStyle name="Normal 7 8 2 7 3 2" xfId="38257"/>
    <cellStyle name="Normal 7 8 2 7 3 2 2" xfId="38258"/>
    <cellStyle name="Normal 7 8 2 7 3 3" xfId="38259"/>
    <cellStyle name="Normal 7 8 2 7 3 3 2" xfId="38260"/>
    <cellStyle name="Normal 7 8 2 7 3 4" xfId="38261"/>
    <cellStyle name="Normal 7 8 2 7 3 4 2" xfId="38262"/>
    <cellStyle name="Normal 7 8 2 7 3 5" xfId="38263"/>
    <cellStyle name="Normal 7 8 2 7 4" xfId="38264"/>
    <cellStyle name="Normal 7 8 2 7 4 2" xfId="38265"/>
    <cellStyle name="Normal 7 8 2 7 5" xfId="38266"/>
    <cellStyle name="Normal 7 8 2 7 5 2" xfId="38267"/>
    <cellStyle name="Normal 7 8 2 7 6" xfId="38268"/>
    <cellStyle name="Normal 7 8 2 7 6 2" xfId="38269"/>
    <cellStyle name="Normal 7 8 2 7 7" xfId="38270"/>
    <cellStyle name="Normal 7 8 2 8" xfId="38271"/>
    <cellStyle name="Normal 7 8 2 8 2" xfId="38272"/>
    <cellStyle name="Normal 7 8 2 8 2 2" xfId="38273"/>
    <cellStyle name="Normal 7 8 2 8 3" xfId="38274"/>
    <cellStyle name="Normal 7 8 2 8 3 2" xfId="38275"/>
    <cellStyle name="Normal 7 8 2 8 4" xfId="38276"/>
    <cellStyle name="Normal 7 8 2 8 4 2" xfId="38277"/>
    <cellStyle name="Normal 7 8 2 8 5" xfId="38278"/>
    <cellStyle name="Normal 7 8 2 9" xfId="38279"/>
    <cellStyle name="Normal 7 8 2 9 2" xfId="38280"/>
    <cellStyle name="Normal 7 8 2 9 2 2" xfId="38281"/>
    <cellStyle name="Normal 7 8 2 9 3" xfId="38282"/>
    <cellStyle name="Normal 7 8 2 9 3 2" xfId="38283"/>
    <cellStyle name="Normal 7 8 2 9 4" xfId="38284"/>
    <cellStyle name="Normal 7 8 2 9 4 2" xfId="38285"/>
    <cellStyle name="Normal 7 8 2 9 5" xfId="38286"/>
    <cellStyle name="Normal 7 8 3" xfId="38287"/>
    <cellStyle name="Normal 7 8 3 2" xfId="38288"/>
    <cellStyle name="Normal 7 8 3 2 2" xfId="38289"/>
    <cellStyle name="Normal 7 8 3 2 2 2" xfId="38290"/>
    <cellStyle name="Normal 7 8 3 2 2 2 2" xfId="38291"/>
    <cellStyle name="Normal 7 8 3 2 2 3" xfId="38292"/>
    <cellStyle name="Normal 7 8 3 2 2 3 2" xfId="38293"/>
    <cellStyle name="Normal 7 8 3 2 2 4" xfId="38294"/>
    <cellStyle name="Normal 7 8 3 2 2 4 2" xfId="38295"/>
    <cellStyle name="Normal 7 8 3 2 2 5" xfId="38296"/>
    <cellStyle name="Normal 7 8 3 2 3" xfId="38297"/>
    <cellStyle name="Normal 7 8 3 2 3 2" xfId="38298"/>
    <cellStyle name="Normal 7 8 3 2 3 2 2" xfId="38299"/>
    <cellStyle name="Normal 7 8 3 2 3 3" xfId="38300"/>
    <cellStyle name="Normal 7 8 3 2 3 3 2" xfId="38301"/>
    <cellStyle name="Normal 7 8 3 2 3 4" xfId="38302"/>
    <cellStyle name="Normal 7 8 3 2 3 4 2" xfId="38303"/>
    <cellStyle name="Normal 7 8 3 2 3 5" xfId="38304"/>
    <cellStyle name="Normal 7 8 3 2 4" xfId="38305"/>
    <cellStyle name="Normal 7 8 3 2 4 2" xfId="38306"/>
    <cellStyle name="Normal 7 8 3 2 5" xfId="38307"/>
    <cellStyle name="Normal 7 8 3 2 5 2" xfId="38308"/>
    <cellStyle name="Normal 7 8 3 2 6" xfId="38309"/>
    <cellStyle name="Normal 7 8 3 2 6 2" xfId="38310"/>
    <cellStyle name="Normal 7 8 3 2 7" xfId="38311"/>
    <cellStyle name="Normal 7 8 3 3" xfId="38312"/>
    <cellStyle name="Normal 7 8 3 3 2" xfId="38313"/>
    <cellStyle name="Normal 7 8 3 3 2 2" xfId="38314"/>
    <cellStyle name="Normal 7 8 3 3 3" xfId="38315"/>
    <cellStyle name="Normal 7 8 3 3 3 2" xfId="38316"/>
    <cellStyle name="Normal 7 8 3 3 4" xfId="38317"/>
    <cellStyle name="Normal 7 8 3 3 4 2" xfId="38318"/>
    <cellStyle name="Normal 7 8 3 3 5" xfId="38319"/>
    <cellStyle name="Normal 7 8 3 4" xfId="38320"/>
    <cellStyle name="Normal 7 8 3 4 2" xfId="38321"/>
    <cellStyle name="Normal 7 8 3 4 2 2" xfId="38322"/>
    <cellStyle name="Normal 7 8 3 4 3" xfId="38323"/>
    <cellStyle name="Normal 7 8 3 4 3 2" xfId="38324"/>
    <cellStyle name="Normal 7 8 3 4 4" xfId="38325"/>
    <cellStyle name="Normal 7 8 3 4 4 2" xfId="38326"/>
    <cellStyle name="Normal 7 8 3 4 5" xfId="38327"/>
    <cellStyle name="Normal 7 8 3 5" xfId="38328"/>
    <cellStyle name="Normal 7 8 3 5 2" xfId="38329"/>
    <cellStyle name="Normal 7 8 3 6" xfId="38330"/>
    <cellStyle name="Normal 7 8 3 6 2" xfId="38331"/>
    <cellStyle name="Normal 7 8 3 7" xfId="38332"/>
    <cellStyle name="Normal 7 8 3 7 2" xfId="38333"/>
    <cellStyle name="Normal 7 8 3 8" xfId="38334"/>
    <cellStyle name="Normal 7 8 4" xfId="38335"/>
    <cellStyle name="Normal 7 8 4 2" xfId="38336"/>
    <cellStyle name="Normal 7 8 4 2 2" xfId="38337"/>
    <cellStyle name="Normal 7 8 4 2 2 2" xfId="38338"/>
    <cellStyle name="Normal 7 8 4 2 2 2 2" xfId="38339"/>
    <cellStyle name="Normal 7 8 4 2 2 3" xfId="38340"/>
    <cellStyle name="Normal 7 8 4 2 2 3 2" xfId="38341"/>
    <cellStyle name="Normal 7 8 4 2 2 4" xfId="38342"/>
    <cellStyle name="Normal 7 8 4 2 2 4 2" xfId="38343"/>
    <cellStyle name="Normal 7 8 4 2 2 5" xfId="38344"/>
    <cellStyle name="Normal 7 8 4 2 3" xfId="38345"/>
    <cellStyle name="Normal 7 8 4 2 3 2" xfId="38346"/>
    <cellStyle name="Normal 7 8 4 2 3 2 2" xfId="38347"/>
    <cellStyle name="Normal 7 8 4 2 3 3" xfId="38348"/>
    <cellStyle name="Normal 7 8 4 2 3 3 2" xfId="38349"/>
    <cellStyle name="Normal 7 8 4 2 3 4" xfId="38350"/>
    <cellStyle name="Normal 7 8 4 2 3 4 2" xfId="38351"/>
    <cellStyle name="Normal 7 8 4 2 3 5" xfId="38352"/>
    <cellStyle name="Normal 7 8 4 2 4" xfId="38353"/>
    <cellStyle name="Normal 7 8 4 2 4 2" xfId="38354"/>
    <cellStyle name="Normal 7 8 4 2 5" xfId="38355"/>
    <cellStyle name="Normal 7 8 4 2 5 2" xfId="38356"/>
    <cellStyle name="Normal 7 8 4 2 6" xfId="38357"/>
    <cellStyle name="Normal 7 8 4 2 6 2" xfId="38358"/>
    <cellStyle name="Normal 7 8 4 2 7" xfId="38359"/>
    <cellStyle name="Normal 7 8 4 3" xfId="38360"/>
    <cellStyle name="Normal 7 8 4 3 2" xfId="38361"/>
    <cellStyle name="Normal 7 8 4 3 2 2" xfId="38362"/>
    <cellStyle name="Normal 7 8 4 3 3" xfId="38363"/>
    <cellStyle name="Normal 7 8 4 3 3 2" xfId="38364"/>
    <cellStyle name="Normal 7 8 4 3 4" xfId="38365"/>
    <cellStyle name="Normal 7 8 4 3 4 2" xfId="38366"/>
    <cellStyle name="Normal 7 8 4 3 5" xfId="38367"/>
    <cellStyle name="Normal 7 8 4 4" xfId="38368"/>
    <cellStyle name="Normal 7 8 4 4 2" xfId="38369"/>
    <cellStyle name="Normal 7 8 4 4 2 2" xfId="38370"/>
    <cellStyle name="Normal 7 8 4 4 3" xfId="38371"/>
    <cellStyle name="Normal 7 8 4 4 3 2" xfId="38372"/>
    <cellStyle name="Normal 7 8 4 4 4" xfId="38373"/>
    <cellStyle name="Normal 7 8 4 4 4 2" xfId="38374"/>
    <cellStyle name="Normal 7 8 4 4 5" xfId="38375"/>
    <cellStyle name="Normal 7 8 4 5" xfId="38376"/>
    <cellStyle name="Normal 7 8 4 5 2" xfId="38377"/>
    <cellStyle name="Normal 7 8 4 6" xfId="38378"/>
    <cellStyle name="Normal 7 8 4 6 2" xfId="38379"/>
    <cellStyle name="Normal 7 8 4 7" xfId="38380"/>
    <cellStyle name="Normal 7 8 4 7 2" xfId="38381"/>
    <cellStyle name="Normal 7 8 4 8" xfId="38382"/>
    <cellStyle name="Normal 7 8 5" xfId="38383"/>
    <cellStyle name="Normal 7 8 5 2" xfId="38384"/>
    <cellStyle name="Normal 7 8 5 2 2" xfId="38385"/>
    <cellStyle name="Normal 7 8 5 2 2 2" xfId="38386"/>
    <cellStyle name="Normal 7 8 5 2 2 2 2" xfId="38387"/>
    <cellStyle name="Normal 7 8 5 2 2 3" xfId="38388"/>
    <cellStyle name="Normal 7 8 5 2 2 3 2" xfId="38389"/>
    <cellStyle name="Normal 7 8 5 2 2 4" xfId="38390"/>
    <cellStyle name="Normal 7 8 5 2 2 4 2" xfId="38391"/>
    <cellStyle name="Normal 7 8 5 2 2 5" xfId="38392"/>
    <cellStyle name="Normal 7 8 5 2 3" xfId="38393"/>
    <cellStyle name="Normal 7 8 5 2 3 2" xfId="38394"/>
    <cellStyle name="Normal 7 8 5 2 3 2 2" xfId="38395"/>
    <cellStyle name="Normal 7 8 5 2 3 3" xfId="38396"/>
    <cellStyle name="Normal 7 8 5 2 3 3 2" xfId="38397"/>
    <cellStyle name="Normal 7 8 5 2 3 4" xfId="38398"/>
    <cellStyle name="Normal 7 8 5 2 3 4 2" xfId="38399"/>
    <cellStyle name="Normal 7 8 5 2 3 5" xfId="38400"/>
    <cellStyle name="Normal 7 8 5 2 4" xfId="38401"/>
    <cellStyle name="Normal 7 8 5 2 4 2" xfId="38402"/>
    <cellStyle name="Normal 7 8 5 2 5" xfId="38403"/>
    <cellStyle name="Normal 7 8 5 2 5 2" xfId="38404"/>
    <cellStyle name="Normal 7 8 5 2 6" xfId="38405"/>
    <cellStyle name="Normal 7 8 5 2 6 2" xfId="38406"/>
    <cellStyle name="Normal 7 8 5 2 7" xfId="38407"/>
    <cellStyle name="Normal 7 8 5 3" xfId="38408"/>
    <cellStyle name="Normal 7 8 5 3 2" xfId="38409"/>
    <cellStyle name="Normal 7 8 5 3 2 2" xfId="38410"/>
    <cellStyle name="Normal 7 8 5 3 3" xfId="38411"/>
    <cellStyle name="Normal 7 8 5 3 3 2" xfId="38412"/>
    <cellStyle name="Normal 7 8 5 3 4" xfId="38413"/>
    <cellStyle name="Normal 7 8 5 3 4 2" xfId="38414"/>
    <cellStyle name="Normal 7 8 5 3 5" xfId="38415"/>
    <cellStyle name="Normal 7 8 5 4" xfId="38416"/>
    <cellStyle name="Normal 7 8 5 4 2" xfId="38417"/>
    <cellStyle name="Normal 7 8 5 4 2 2" xfId="38418"/>
    <cellStyle name="Normal 7 8 5 4 3" xfId="38419"/>
    <cellStyle name="Normal 7 8 5 4 3 2" xfId="38420"/>
    <cellStyle name="Normal 7 8 5 4 4" xfId="38421"/>
    <cellStyle name="Normal 7 8 5 4 4 2" xfId="38422"/>
    <cellStyle name="Normal 7 8 5 4 5" xfId="38423"/>
    <cellStyle name="Normal 7 8 5 5" xfId="38424"/>
    <cellStyle name="Normal 7 8 5 5 2" xfId="38425"/>
    <cellStyle name="Normal 7 8 5 6" xfId="38426"/>
    <cellStyle name="Normal 7 8 5 6 2" xfId="38427"/>
    <cellStyle name="Normal 7 8 5 7" xfId="38428"/>
    <cellStyle name="Normal 7 8 5 7 2" xfId="38429"/>
    <cellStyle name="Normal 7 8 5 8" xfId="38430"/>
    <cellStyle name="Normal 7 8 6" xfId="38431"/>
    <cellStyle name="Normal 7 8 6 2" xfId="38432"/>
    <cellStyle name="Normal 7 8 6 2 2" xfId="38433"/>
    <cellStyle name="Normal 7 8 6 2 2 2" xfId="38434"/>
    <cellStyle name="Normal 7 8 6 2 2 2 2" xfId="38435"/>
    <cellStyle name="Normal 7 8 6 2 2 3" xfId="38436"/>
    <cellStyle name="Normal 7 8 6 2 2 3 2" xfId="38437"/>
    <cellStyle name="Normal 7 8 6 2 2 4" xfId="38438"/>
    <cellStyle name="Normal 7 8 6 2 2 4 2" xfId="38439"/>
    <cellStyle name="Normal 7 8 6 2 2 5" xfId="38440"/>
    <cellStyle name="Normal 7 8 6 2 3" xfId="38441"/>
    <cellStyle name="Normal 7 8 6 2 3 2" xfId="38442"/>
    <cellStyle name="Normal 7 8 6 2 3 2 2" xfId="38443"/>
    <cellStyle name="Normal 7 8 6 2 3 3" xfId="38444"/>
    <cellStyle name="Normal 7 8 6 2 3 3 2" xfId="38445"/>
    <cellStyle name="Normal 7 8 6 2 3 4" xfId="38446"/>
    <cellStyle name="Normal 7 8 6 2 3 4 2" xfId="38447"/>
    <cellStyle name="Normal 7 8 6 2 3 5" xfId="38448"/>
    <cellStyle name="Normal 7 8 6 2 4" xfId="38449"/>
    <cellStyle name="Normal 7 8 6 2 4 2" xfId="38450"/>
    <cellStyle name="Normal 7 8 6 2 5" xfId="38451"/>
    <cellStyle name="Normal 7 8 6 2 5 2" xfId="38452"/>
    <cellStyle name="Normal 7 8 6 2 6" xfId="38453"/>
    <cellStyle name="Normal 7 8 6 2 6 2" xfId="38454"/>
    <cellStyle name="Normal 7 8 6 2 7" xfId="38455"/>
    <cellStyle name="Normal 7 8 6 3" xfId="38456"/>
    <cellStyle name="Normal 7 8 6 3 2" xfId="38457"/>
    <cellStyle name="Normal 7 8 6 3 2 2" xfId="38458"/>
    <cellStyle name="Normal 7 8 6 3 3" xfId="38459"/>
    <cellStyle name="Normal 7 8 6 3 3 2" xfId="38460"/>
    <cellStyle name="Normal 7 8 6 3 4" xfId="38461"/>
    <cellStyle name="Normal 7 8 6 3 4 2" xfId="38462"/>
    <cellStyle name="Normal 7 8 6 3 5" xfId="38463"/>
    <cellStyle name="Normal 7 8 6 4" xfId="38464"/>
    <cellStyle name="Normal 7 8 6 4 2" xfId="38465"/>
    <cellStyle name="Normal 7 8 6 4 2 2" xfId="38466"/>
    <cellStyle name="Normal 7 8 6 4 3" xfId="38467"/>
    <cellStyle name="Normal 7 8 6 4 3 2" xfId="38468"/>
    <cellStyle name="Normal 7 8 6 4 4" xfId="38469"/>
    <cellStyle name="Normal 7 8 6 4 4 2" xfId="38470"/>
    <cellStyle name="Normal 7 8 6 4 5" xfId="38471"/>
    <cellStyle name="Normal 7 8 6 5" xfId="38472"/>
    <cellStyle name="Normal 7 8 6 5 2" xfId="38473"/>
    <cellStyle name="Normal 7 8 6 6" xfId="38474"/>
    <cellStyle name="Normal 7 8 6 6 2" xfId="38475"/>
    <cellStyle name="Normal 7 8 6 7" xfId="38476"/>
    <cellStyle name="Normal 7 8 6 7 2" xfId="38477"/>
    <cellStyle name="Normal 7 8 6 8" xfId="38478"/>
    <cellStyle name="Normal 7 8 7" xfId="38479"/>
    <cellStyle name="Normal 7 8 7 2" xfId="38480"/>
    <cellStyle name="Normal 7 8 7 2 2" xfId="38481"/>
    <cellStyle name="Normal 7 8 7 2 2 2" xfId="38482"/>
    <cellStyle name="Normal 7 8 7 2 2 2 2" xfId="38483"/>
    <cellStyle name="Normal 7 8 7 2 2 3" xfId="38484"/>
    <cellStyle name="Normal 7 8 7 2 2 3 2" xfId="38485"/>
    <cellStyle name="Normal 7 8 7 2 2 4" xfId="38486"/>
    <cellStyle name="Normal 7 8 7 2 2 4 2" xfId="38487"/>
    <cellStyle name="Normal 7 8 7 2 2 5" xfId="38488"/>
    <cellStyle name="Normal 7 8 7 2 3" xfId="38489"/>
    <cellStyle name="Normal 7 8 7 2 3 2" xfId="38490"/>
    <cellStyle name="Normal 7 8 7 2 3 2 2" xfId="38491"/>
    <cellStyle name="Normal 7 8 7 2 3 3" xfId="38492"/>
    <cellStyle name="Normal 7 8 7 2 3 3 2" xfId="38493"/>
    <cellStyle name="Normal 7 8 7 2 3 4" xfId="38494"/>
    <cellStyle name="Normal 7 8 7 2 3 4 2" xfId="38495"/>
    <cellStyle name="Normal 7 8 7 2 3 5" xfId="38496"/>
    <cellStyle name="Normal 7 8 7 2 4" xfId="38497"/>
    <cellStyle name="Normal 7 8 7 2 4 2" xfId="38498"/>
    <cellStyle name="Normal 7 8 7 2 5" xfId="38499"/>
    <cellStyle name="Normal 7 8 7 2 5 2" xfId="38500"/>
    <cellStyle name="Normal 7 8 7 2 6" xfId="38501"/>
    <cellStyle name="Normal 7 8 7 2 6 2" xfId="38502"/>
    <cellStyle name="Normal 7 8 7 2 7" xfId="38503"/>
    <cellStyle name="Normal 7 8 7 3" xfId="38504"/>
    <cellStyle name="Normal 7 8 7 3 2" xfId="38505"/>
    <cellStyle name="Normal 7 8 7 3 2 2" xfId="38506"/>
    <cellStyle name="Normal 7 8 7 3 3" xfId="38507"/>
    <cellStyle name="Normal 7 8 7 3 3 2" xfId="38508"/>
    <cellStyle name="Normal 7 8 7 3 4" xfId="38509"/>
    <cellStyle name="Normal 7 8 7 3 4 2" xfId="38510"/>
    <cellStyle name="Normal 7 8 7 3 5" xfId="38511"/>
    <cellStyle name="Normal 7 8 7 4" xfId="38512"/>
    <cellStyle name="Normal 7 8 7 4 2" xfId="38513"/>
    <cellStyle name="Normal 7 8 7 4 2 2" xfId="38514"/>
    <cellStyle name="Normal 7 8 7 4 3" xfId="38515"/>
    <cellStyle name="Normal 7 8 7 4 3 2" xfId="38516"/>
    <cellStyle name="Normal 7 8 7 4 4" xfId="38517"/>
    <cellStyle name="Normal 7 8 7 4 4 2" xfId="38518"/>
    <cellStyle name="Normal 7 8 7 4 5" xfId="38519"/>
    <cellStyle name="Normal 7 8 7 5" xfId="38520"/>
    <cellStyle name="Normal 7 8 7 5 2" xfId="38521"/>
    <cellStyle name="Normal 7 8 7 6" xfId="38522"/>
    <cellStyle name="Normal 7 8 7 6 2" xfId="38523"/>
    <cellStyle name="Normal 7 8 7 7" xfId="38524"/>
    <cellStyle name="Normal 7 8 7 7 2" xfId="38525"/>
    <cellStyle name="Normal 7 8 7 8" xfId="38526"/>
    <cellStyle name="Normal 7 8 8" xfId="38527"/>
    <cellStyle name="Normal 7 8 8 2" xfId="38528"/>
    <cellStyle name="Normal 7 8 8 2 2" xfId="38529"/>
    <cellStyle name="Normal 7 8 8 2 2 2" xfId="38530"/>
    <cellStyle name="Normal 7 8 8 2 3" xfId="38531"/>
    <cellStyle name="Normal 7 8 8 2 3 2" xfId="38532"/>
    <cellStyle name="Normal 7 8 8 2 4" xfId="38533"/>
    <cellStyle name="Normal 7 8 8 2 4 2" xfId="38534"/>
    <cellStyle name="Normal 7 8 8 2 5" xfId="38535"/>
    <cellStyle name="Normal 7 8 8 3" xfId="38536"/>
    <cellStyle name="Normal 7 8 8 3 2" xfId="38537"/>
    <cellStyle name="Normal 7 8 8 3 2 2" xfId="38538"/>
    <cellStyle name="Normal 7 8 8 3 3" xfId="38539"/>
    <cellStyle name="Normal 7 8 8 3 3 2" xfId="38540"/>
    <cellStyle name="Normal 7 8 8 3 4" xfId="38541"/>
    <cellStyle name="Normal 7 8 8 3 4 2" xfId="38542"/>
    <cellStyle name="Normal 7 8 8 3 5" xfId="38543"/>
    <cellStyle name="Normal 7 8 8 4" xfId="38544"/>
    <cellStyle name="Normal 7 8 8 4 2" xfId="38545"/>
    <cellStyle name="Normal 7 8 8 5" xfId="38546"/>
    <cellStyle name="Normal 7 8 8 5 2" xfId="38547"/>
    <cellStyle name="Normal 7 8 8 6" xfId="38548"/>
    <cellStyle name="Normal 7 8 8 6 2" xfId="38549"/>
    <cellStyle name="Normal 7 8 8 7" xfId="38550"/>
    <cellStyle name="Normal 7 8 9" xfId="38551"/>
    <cellStyle name="Normal 7 8 9 2" xfId="38552"/>
    <cellStyle name="Normal 7 8 9 2 2" xfId="38553"/>
    <cellStyle name="Normal 7 8 9 3" xfId="38554"/>
    <cellStyle name="Normal 7 8 9 3 2" xfId="38555"/>
    <cellStyle name="Normal 7 8 9 4" xfId="38556"/>
    <cellStyle name="Normal 7 8 9 4 2" xfId="38557"/>
    <cellStyle name="Normal 7 8 9 5" xfId="38558"/>
    <cellStyle name="Normal 7 9" xfId="38559"/>
    <cellStyle name="Normal 7 9 10" xfId="38560"/>
    <cellStyle name="Normal 7 9 10 2" xfId="38561"/>
    <cellStyle name="Normal 7 9 10 2 2" xfId="38562"/>
    <cellStyle name="Normal 7 9 10 3" xfId="38563"/>
    <cellStyle name="Normal 7 9 10 3 2" xfId="38564"/>
    <cellStyle name="Normal 7 9 10 4" xfId="38565"/>
    <cellStyle name="Normal 7 9 10 4 2" xfId="38566"/>
    <cellStyle name="Normal 7 9 10 5" xfId="38567"/>
    <cellStyle name="Normal 7 9 11" xfId="38568"/>
    <cellStyle name="Normal 7 9 11 2" xfId="38569"/>
    <cellStyle name="Normal 7 9 12" xfId="38570"/>
    <cellStyle name="Normal 7 9 12 2" xfId="38571"/>
    <cellStyle name="Normal 7 9 13" xfId="38572"/>
    <cellStyle name="Normal 7 9 13 2" xfId="38573"/>
    <cellStyle name="Normal 7 9 14" xfId="38574"/>
    <cellStyle name="Normal 7 9 2" xfId="38575"/>
    <cellStyle name="Normal 7 9 2 10" xfId="38576"/>
    <cellStyle name="Normal 7 9 2 10 2" xfId="38577"/>
    <cellStyle name="Normal 7 9 2 11" xfId="38578"/>
    <cellStyle name="Normal 7 9 2 11 2" xfId="38579"/>
    <cellStyle name="Normal 7 9 2 12" xfId="38580"/>
    <cellStyle name="Normal 7 9 2 12 2" xfId="38581"/>
    <cellStyle name="Normal 7 9 2 13" xfId="38582"/>
    <cellStyle name="Normal 7 9 2 2" xfId="38583"/>
    <cellStyle name="Normal 7 9 2 2 2" xfId="38584"/>
    <cellStyle name="Normal 7 9 2 2 2 2" xfId="38585"/>
    <cellStyle name="Normal 7 9 2 2 2 2 2" xfId="38586"/>
    <cellStyle name="Normal 7 9 2 2 2 2 2 2" xfId="38587"/>
    <cellStyle name="Normal 7 9 2 2 2 2 3" xfId="38588"/>
    <cellStyle name="Normal 7 9 2 2 2 2 3 2" xfId="38589"/>
    <cellStyle name="Normal 7 9 2 2 2 2 4" xfId="38590"/>
    <cellStyle name="Normal 7 9 2 2 2 2 4 2" xfId="38591"/>
    <cellStyle name="Normal 7 9 2 2 2 2 5" xfId="38592"/>
    <cellStyle name="Normal 7 9 2 2 2 3" xfId="38593"/>
    <cellStyle name="Normal 7 9 2 2 2 3 2" xfId="38594"/>
    <cellStyle name="Normal 7 9 2 2 2 3 2 2" xfId="38595"/>
    <cellStyle name="Normal 7 9 2 2 2 3 3" xfId="38596"/>
    <cellStyle name="Normal 7 9 2 2 2 3 3 2" xfId="38597"/>
    <cellStyle name="Normal 7 9 2 2 2 3 4" xfId="38598"/>
    <cellStyle name="Normal 7 9 2 2 2 3 4 2" xfId="38599"/>
    <cellStyle name="Normal 7 9 2 2 2 3 5" xfId="38600"/>
    <cellStyle name="Normal 7 9 2 2 2 4" xfId="38601"/>
    <cellStyle name="Normal 7 9 2 2 2 4 2" xfId="38602"/>
    <cellStyle name="Normal 7 9 2 2 2 5" xfId="38603"/>
    <cellStyle name="Normal 7 9 2 2 2 5 2" xfId="38604"/>
    <cellStyle name="Normal 7 9 2 2 2 6" xfId="38605"/>
    <cellStyle name="Normal 7 9 2 2 2 6 2" xfId="38606"/>
    <cellStyle name="Normal 7 9 2 2 2 7" xfId="38607"/>
    <cellStyle name="Normal 7 9 2 2 3" xfId="38608"/>
    <cellStyle name="Normal 7 9 2 2 3 2" xfId="38609"/>
    <cellStyle name="Normal 7 9 2 2 3 2 2" xfId="38610"/>
    <cellStyle name="Normal 7 9 2 2 3 3" xfId="38611"/>
    <cellStyle name="Normal 7 9 2 2 3 3 2" xfId="38612"/>
    <cellStyle name="Normal 7 9 2 2 3 4" xfId="38613"/>
    <cellStyle name="Normal 7 9 2 2 3 4 2" xfId="38614"/>
    <cellStyle name="Normal 7 9 2 2 3 5" xfId="38615"/>
    <cellStyle name="Normal 7 9 2 2 4" xfId="38616"/>
    <cellStyle name="Normal 7 9 2 2 4 2" xfId="38617"/>
    <cellStyle name="Normal 7 9 2 2 4 2 2" xfId="38618"/>
    <cellStyle name="Normal 7 9 2 2 4 3" xfId="38619"/>
    <cellStyle name="Normal 7 9 2 2 4 3 2" xfId="38620"/>
    <cellStyle name="Normal 7 9 2 2 4 4" xfId="38621"/>
    <cellStyle name="Normal 7 9 2 2 4 4 2" xfId="38622"/>
    <cellStyle name="Normal 7 9 2 2 4 5" xfId="38623"/>
    <cellStyle name="Normal 7 9 2 2 5" xfId="38624"/>
    <cellStyle name="Normal 7 9 2 2 5 2" xfId="38625"/>
    <cellStyle name="Normal 7 9 2 2 6" xfId="38626"/>
    <cellStyle name="Normal 7 9 2 2 6 2" xfId="38627"/>
    <cellStyle name="Normal 7 9 2 2 7" xfId="38628"/>
    <cellStyle name="Normal 7 9 2 2 7 2" xfId="38629"/>
    <cellStyle name="Normal 7 9 2 2 8" xfId="38630"/>
    <cellStyle name="Normal 7 9 2 3" xfId="38631"/>
    <cellStyle name="Normal 7 9 2 3 2" xfId="38632"/>
    <cellStyle name="Normal 7 9 2 3 2 2" xfId="38633"/>
    <cellStyle name="Normal 7 9 2 3 2 2 2" xfId="38634"/>
    <cellStyle name="Normal 7 9 2 3 2 2 2 2" xfId="38635"/>
    <cellStyle name="Normal 7 9 2 3 2 2 3" xfId="38636"/>
    <cellStyle name="Normal 7 9 2 3 2 2 3 2" xfId="38637"/>
    <cellStyle name="Normal 7 9 2 3 2 2 4" xfId="38638"/>
    <cellStyle name="Normal 7 9 2 3 2 2 4 2" xfId="38639"/>
    <cellStyle name="Normal 7 9 2 3 2 2 5" xfId="38640"/>
    <cellStyle name="Normal 7 9 2 3 2 3" xfId="38641"/>
    <cellStyle name="Normal 7 9 2 3 2 3 2" xfId="38642"/>
    <cellStyle name="Normal 7 9 2 3 2 3 2 2" xfId="38643"/>
    <cellStyle name="Normal 7 9 2 3 2 3 3" xfId="38644"/>
    <cellStyle name="Normal 7 9 2 3 2 3 3 2" xfId="38645"/>
    <cellStyle name="Normal 7 9 2 3 2 3 4" xfId="38646"/>
    <cellStyle name="Normal 7 9 2 3 2 3 4 2" xfId="38647"/>
    <cellStyle name="Normal 7 9 2 3 2 3 5" xfId="38648"/>
    <cellStyle name="Normal 7 9 2 3 2 4" xfId="38649"/>
    <cellStyle name="Normal 7 9 2 3 2 4 2" xfId="38650"/>
    <cellStyle name="Normal 7 9 2 3 2 5" xfId="38651"/>
    <cellStyle name="Normal 7 9 2 3 2 5 2" xfId="38652"/>
    <cellStyle name="Normal 7 9 2 3 2 6" xfId="38653"/>
    <cellStyle name="Normal 7 9 2 3 2 6 2" xfId="38654"/>
    <cellStyle name="Normal 7 9 2 3 2 7" xfId="38655"/>
    <cellStyle name="Normal 7 9 2 3 3" xfId="38656"/>
    <cellStyle name="Normal 7 9 2 3 3 2" xfId="38657"/>
    <cellStyle name="Normal 7 9 2 3 3 2 2" xfId="38658"/>
    <cellStyle name="Normal 7 9 2 3 3 3" xfId="38659"/>
    <cellStyle name="Normal 7 9 2 3 3 3 2" xfId="38660"/>
    <cellStyle name="Normal 7 9 2 3 3 4" xfId="38661"/>
    <cellStyle name="Normal 7 9 2 3 3 4 2" xfId="38662"/>
    <cellStyle name="Normal 7 9 2 3 3 5" xfId="38663"/>
    <cellStyle name="Normal 7 9 2 3 4" xfId="38664"/>
    <cellStyle name="Normal 7 9 2 3 4 2" xfId="38665"/>
    <cellStyle name="Normal 7 9 2 3 4 2 2" xfId="38666"/>
    <cellStyle name="Normal 7 9 2 3 4 3" xfId="38667"/>
    <cellStyle name="Normal 7 9 2 3 4 3 2" xfId="38668"/>
    <cellStyle name="Normal 7 9 2 3 4 4" xfId="38669"/>
    <cellStyle name="Normal 7 9 2 3 4 4 2" xfId="38670"/>
    <cellStyle name="Normal 7 9 2 3 4 5" xfId="38671"/>
    <cellStyle name="Normal 7 9 2 3 5" xfId="38672"/>
    <cellStyle name="Normal 7 9 2 3 5 2" xfId="38673"/>
    <cellStyle name="Normal 7 9 2 3 6" xfId="38674"/>
    <cellStyle name="Normal 7 9 2 3 6 2" xfId="38675"/>
    <cellStyle name="Normal 7 9 2 3 7" xfId="38676"/>
    <cellStyle name="Normal 7 9 2 3 7 2" xfId="38677"/>
    <cellStyle name="Normal 7 9 2 3 8" xfId="38678"/>
    <cellStyle name="Normal 7 9 2 4" xfId="38679"/>
    <cellStyle name="Normal 7 9 2 4 2" xfId="38680"/>
    <cellStyle name="Normal 7 9 2 4 2 2" xfId="38681"/>
    <cellStyle name="Normal 7 9 2 4 2 2 2" xfId="38682"/>
    <cellStyle name="Normal 7 9 2 4 2 2 2 2" xfId="38683"/>
    <cellStyle name="Normal 7 9 2 4 2 2 3" xfId="38684"/>
    <cellStyle name="Normal 7 9 2 4 2 2 3 2" xfId="38685"/>
    <cellStyle name="Normal 7 9 2 4 2 2 4" xfId="38686"/>
    <cellStyle name="Normal 7 9 2 4 2 2 4 2" xfId="38687"/>
    <cellStyle name="Normal 7 9 2 4 2 2 5" xfId="38688"/>
    <cellStyle name="Normal 7 9 2 4 2 3" xfId="38689"/>
    <cellStyle name="Normal 7 9 2 4 2 3 2" xfId="38690"/>
    <cellStyle name="Normal 7 9 2 4 2 3 2 2" xfId="38691"/>
    <cellStyle name="Normal 7 9 2 4 2 3 3" xfId="38692"/>
    <cellStyle name="Normal 7 9 2 4 2 3 3 2" xfId="38693"/>
    <cellStyle name="Normal 7 9 2 4 2 3 4" xfId="38694"/>
    <cellStyle name="Normal 7 9 2 4 2 3 4 2" xfId="38695"/>
    <cellStyle name="Normal 7 9 2 4 2 3 5" xfId="38696"/>
    <cellStyle name="Normal 7 9 2 4 2 4" xfId="38697"/>
    <cellStyle name="Normal 7 9 2 4 2 4 2" xfId="38698"/>
    <cellStyle name="Normal 7 9 2 4 2 5" xfId="38699"/>
    <cellStyle name="Normal 7 9 2 4 2 5 2" xfId="38700"/>
    <cellStyle name="Normal 7 9 2 4 2 6" xfId="38701"/>
    <cellStyle name="Normal 7 9 2 4 2 6 2" xfId="38702"/>
    <cellStyle name="Normal 7 9 2 4 2 7" xfId="38703"/>
    <cellStyle name="Normal 7 9 2 4 3" xfId="38704"/>
    <cellStyle name="Normal 7 9 2 4 3 2" xfId="38705"/>
    <cellStyle name="Normal 7 9 2 4 3 2 2" xfId="38706"/>
    <cellStyle name="Normal 7 9 2 4 3 3" xfId="38707"/>
    <cellStyle name="Normal 7 9 2 4 3 3 2" xfId="38708"/>
    <cellStyle name="Normal 7 9 2 4 3 4" xfId="38709"/>
    <cellStyle name="Normal 7 9 2 4 3 4 2" xfId="38710"/>
    <cellStyle name="Normal 7 9 2 4 3 5" xfId="38711"/>
    <cellStyle name="Normal 7 9 2 4 4" xfId="38712"/>
    <cellStyle name="Normal 7 9 2 4 4 2" xfId="38713"/>
    <cellStyle name="Normal 7 9 2 4 4 2 2" xfId="38714"/>
    <cellStyle name="Normal 7 9 2 4 4 3" xfId="38715"/>
    <cellStyle name="Normal 7 9 2 4 4 3 2" xfId="38716"/>
    <cellStyle name="Normal 7 9 2 4 4 4" xfId="38717"/>
    <cellStyle name="Normal 7 9 2 4 4 4 2" xfId="38718"/>
    <cellStyle name="Normal 7 9 2 4 4 5" xfId="38719"/>
    <cellStyle name="Normal 7 9 2 4 5" xfId="38720"/>
    <cellStyle name="Normal 7 9 2 4 5 2" xfId="38721"/>
    <cellStyle name="Normal 7 9 2 4 6" xfId="38722"/>
    <cellStyle name="Normal 7 9 2 4 6 2" xfId="38723"/>
    <cellStyle name="Normal 7 9 2 4 7" xfId="38724"/>
    <cellStyle name="Normal 7 9 2 4 7 2" xfId="38725"/>
    <cellStyle name="Normal 7 9 2 4 8" xfId="38726"/>
    <cellStyle name="Normal 7 9 2 5" xfId="38727"/>
    <cellStyle name="Normal 7 9 2 5 2" xfId="38728"/>
    <cellStyle name="Normal 7 9 2 5 2 2" xfId="38729"/>
    <cellStyle name="Normal 7 9 2 5 2 2 2" xfId="38730"/>
    <cellStyle name="Normal 7 9 2 5 2 2 2 2" xfId="38731"/>
    <cellStyle name="Normal 7 9 2 5 2 2 3" xfId="38732"/>
    <cellStyle name="Normal 7 9 2 5 2 2 3 2" xfId="38733"/>
    <cellStyle name="Normal 7 9 2 5 2 2 4" xfId="38734"/>
    <cellStyle name="Normal 7 9 2 5 2 2 4 2" xfId="38735"/>
    <cellStyle name="Normal 7 9 2 5 2 2 5" xfId="38736"/>
    <cellStyle name="Normal 7 9 2 5 2 3" xfId="38737"/>
    <cellStyle name="Normal 7 9 2 5 2 3 2" xfId="38738"/>
    <cellStyle name="Normal 7 9 2 5 2 3 2 2" xfId="38739"/>
    <cellStyle name="Normal 7 9 2 5 2 3 3" xfId="38740"/>
    <cellStyle name="Normal 7 9 2 5 2 3 3 2" xfId="38741"/>
    <cellStyle name="Normal 7 9 2 5 2 3 4" xfId="38742"/>
    <cellStyle name="Normal 7 9 2 5 2 3 4 2" xfId="38743"/>
    <cellStyle name="Normal 7 9 2 5 2 3 5" xfId="38744"/>
    <cellStyle name="Normal 7 9 2 5 2 4" xfId="38745"/>
    <cellStyle name="Normal 7 9 2 5 2 4 2" xfId="38746"/>
    <cellStyle name="Normal 7 9 2 5 2 5" xfId="38747"/>
    <cellStyle name="Normal 7 9 2 5 2 5 2" xfId="38748"/>
    <cellStyle name="Normal 7 9 2 5 2 6" xfId="38749"/>
    <cellStyle name="Normal 7 9 2 5 2 6 2" xfId="38750"/>
    <cellStyle name="Normal 7 9 2 5 2 7" xfId="38751"/>
    <cellStyle name="Normal 7 9 2 5 3" xfId="38752"/>
    <cellStyle name="Normal 7 9 2 5 3 2" xfId="38753"/>
    <cellStyle name="Normal 7 9 2 5 3 2 2" xfId="38754"/>
    <cellStyle name="Normal 7 9 2 5 3 3" xfId="38755"/>
    <cellStyle name="Normal 7 9 2 5 3 3 2" xfId="38756"/>
    <cellStyle name="Normal 7 9 2 5 3 4" xfId="38757"/>
    <cellStyle name="Normal 7 9 2 5 3 4 2" xfId="38758"/>
    <cellStyle name="Normal 7 9 2 5 3 5" xfId="38759"/>
    <cellStyle name="Normal 7 9 2 5 4" xfId="38760"/>
    <cellStyle name="Normal 7 9 2 5 4 2" xfId="38761"/>
    <cellStyle name="Normal 7 9 2 5 4 2 2" xfId="38762"/>
    <cellStyle name="Normal 7 9 2 5 4 3" xfId="38763"/>
    <cellStyle name="Normal 7 9 2 5 4 3 2" xfId="38764"/>
    <cellStyle name="Normal 7 9 2 5 4 4" xfId="38765"/>
    <cellStyle name="Normal 7 9 2 5 4 4 2" xfId="38766"/>
    <cellStyle name="Normal 7 9 2 5 4 5" xfId="38767"/>
    <cellStyle name="Normal 7 9 2 5 5" xfId="38768"/>
    <cellStyle name="Normal 7 9 2 5 5 2" xfId="38769"/>
    <cellStyle name="Normal 7 9 2 5 6" xfId="38770"/>
    <cellStyle name="Normal 7 9 2 5 6 2" xfId="38771"/>
    <cellStyle name="Normal 7 9 2 5 7" xfId="38772"/>
    <cellStyle name="Normal 7 9 2 5 7 2" xfId="38773"/>
    <cellStyle name="Normal 7 9 2 5 8" xfId="38774"/>
    <cellStyle name="Normal 7 9 2 6" xfId="38775"/>
    <cellStyle name="Normal 7 9 2 6 2" xfId="38776"/>
    <cellStyle name="Normal 7 9 2 6 2 2" xfId="38777"/>
    <cellStyle name="Normal 7 9 2 6 2 2 2" xfId="38778"/>
    <cellStyle name="Normal 7 9 2 6 2 2 2 2" xfId="38779"/>
    <cellStyle name="Normal 7 9 2 6 2 2 3" xfId="38780"/>
    <cellStyle name="Normal 7 9 2 6 2 2 3 2" xfId="38781"/>
    <cellStyle name="Normal 7 9 2 6 2 2 4" xfId="38782"/>
    <cellStyle name="Normal 7 9 2 6 2 2 4 2" xfId="38783"/>
    <cellStyle name="Normal 7 9 2 6 2 2 5" xfId="38784"/>
    <cellStyle name="Normal 7 9 2 6 2 3" xfId="38785"/>
    <cellStyle name="Normal 7 9 2 6 2 3 2" xfId="38786"/>
    <cellStyle name="Normal 7 9 2 6 2 3 2 2" xfId="38787"/>
    <cellStyle name="Normal 7 9 2 6 2 3 3" xfId="38788"/>
    <cellStyle name="Normal 7 9 2 6 2 3 3 2" xfId="38789"/>
    <cellStyle name="Normal 7 9 2 6 2 3 4" xfId="38790"/>
    <cellStyle name="Normal 7 9 2 6 2 3 4 2" xfId="38791"/>
    <cellStyle name="Normal 7 9 2 6 2 3 5" xfId="38792"/>
    <cellStyle name="Normal 7 9 2 6 2 4" xfId="38793"/>
    <cellStyle name="Normal 7 9 2 6 2 4 2" xfId="38794"/>
    <cellStyle name="Normal 7 9 2 6 2 5" xfId="38795"/>
    <cellStyle name="Normal 7 9 2 6 2 5 2" xfId="38796"/>
    <cellStyle name="Normal 7 9 2 6 2 6" xfId="38797"/>
    <cellStyle name="Normal 7 9 2 6 2 6 2" xfId="38798"/>
    <cellStyle name="Normal 7 9 2 6 2 7" xfId="38799"/>
    <cellStyle name="Normal 7 9 2 6 3" xfId="38800"/>
    <cellStyle name="Normal 7 9 2 6 3 2" xfId="38801"/>
    <cellStyle name="Normal 7 9 2 6 3 2 2" xfId="38802"/>
    <cellStyle name="Normal 7 9 2 6 3 3" xfId="38803"/>
    <cellStyle name="Normal 7 9 2 6 3 3 2" xfId="38804"/>
    <cellStyle name="Normal 7 9 2 6 3 4" xfId="38805"/>
    <cellStyle name="Normal 7 9 2 6 3 4 2" xfId="38806"/>
    <cellStyle name="Normal 7 9 2 6 3 5" xfId="38807"/>
    <cellStyle name="Normal 7 9 2 6 4" xfId="38808"/>
    <cellStyle name="Normal 7 9 2 6 4 2" xfId="38809"/>
    <cellStyle name="Normal 7 9 2 6 4 2 2" xfId="38810"/>
    <cellStyle name="Normal 7 9 2 6 4 3" xfId="38811"/>
    <cellStyle name="Normal 7 9 2 6 4 3 2" xfId="38812"/>
    <cellStyle name="Normal 7 9 2 6 4 4" xfId="38813"/>
    <cellStyle name="Normal 7 9 2 6 4 4 2" xfId="38814"/>
    <cellStyle name="Normal 7 9 2 6 4 5" xfId="38815"/>
    <cellStyle name="Normal 7 9 2 6 5" xfId="38816"/>
    <cellStyle name="Normal 7 9 2 6 5 2" xfId="38817"/>
    <cellStyle name="Normal 7 9 2 6 6" xfId="38818"/>
    <cellStyle name="Normal 7 9 2 6 6 2" xfId="38819"/>
    <cellStyle name="Normal 7 9 2 6 7" xfId="38820"/>
    <cellStyle name="Normal 7 9 2 6 7 2" xfId="38821"/>
    <cellStyle name="Normal 7 9 2 6 8" xfId="38822"/>
    <cellStyle name="Normal 7 9 2 7" xfId="38823"/>
    <cellStyle name="Normal 7 9 2 7 2" xfId="38824"/>
    <cellStyle name="Normal 7 9 2 7 2 2" xfId="38825"/>
    <cellStyle name="Normal 7 9 2 7 2 2 2" xfId="38826"/>
    <cellStyle name="Normal 7 9 2 7 2 3" xfId="38827"/>
    <cellStyle name="Normal 7 9 2 7 2 3 2" xfId="38828"/>
    <cellStyle name="Normal 7 9 2 7 2 4" xfId="38829"/>
    <cellStyle name="Normal 7 9 2 7 2 4 2" xfId="38830"/>
    <cellStyle name="Normal 7 9 2 7 2 5" xfId="38831"/>
    <cellStyle name="Normal 7 9 2 7 3" xfId="38832"/>
    <cellStyle name="Normal 7 9 2 7 3 2" xfId="38833"/>
    <cellStyle name="Normal 7 9 2 7 3 2 2" xfId="38834"/>
    <cellStyle name="Normal 7 9 2 7 3 3" xfId="38835"/>
    <cellStyle name="Normal 7 9 2 7 3 3 2" xfId="38836"/>
    <cellStyle name="Normal 7 9 2 7 3 4" xfId="38837"/>
    <cellStyle name="Normal 7 9 2 7 3 4 2" xfId="38838"/>
    <cellStyle name="Normal 7 9 2 7 3 5" xfId="38839"/>
    <cellStyle name="Normal 7 9 2 7 4" xfId="38840"/>
    <cellStyle name="Normal 7 9 2 7 4 2" xfId="38841"/>
    <cellStyle name="Normal 7 9 2 7 5" xfId="38842"/>
    <cellStyle name="Normal 7 9 2 7 5 2" xfId="38843"/>
    <cellStyle name="Normal 7 9 2 7 6" xfId="38844"/>
    <cellStyle name="Normal 7 9 2 7 6 2" xfId="38845"/>
    <cellStyle name="Normal 7 9 2 7 7" xfId="38846"/>
    <cellStyle name="Normal 7 9 2 8" xfId="38847"/>
    <cellStyle name="Normal 7 9 2 8 2" xfId="38848"/>
    <cellStyle name="Normal 7 9 2 8 2 2" xfId="38849"/>
    <cellStyle name="Normal 7 9 2 8 3" xfId="38850"/>
    <cellStyle name="Normal 7 9 2 8 3 2" xfId="38851"/>
    <cellStyle name="Normal 7 9 2 8 4" xfId="38852"/>
    <cellStyle name="Normal 7 9 2 8 4 2" xfId="38853"/>
    <cellStyle name="Normal 7 9 2 8 5" xfId="38854"/>
    <cellStyle name="Normal 7 9 2 9" xfId="38855"/>
    <cellStyle name="Normal 7 9 2 9 2" xfId="38856"/>
    <cellStyle name="Normal 7 9 2 9 2 2" xfId="38857"/>
    <cellStyle name="Normal 7 9 2 9 3" xfId="38858"/>
    <cellStyle name="Normal 7 9 2 9 3 2" xfId="38859"/>
    <cellStyle name="Normal 7 9 2 9 4" xfId="38860"/>
    <cellStyle name="Normal 7 9 2 9 4 2" xfId="38861"/>
    <cellStyle name="Normal 7 9 2 9 5" xfId="38862"/>
    <cellStyle name="Normal 7 9 3" xfId="38863"/>
    <cellStyle name="Normal 7 9 3 2" xfId="38864"/>
    <cellStyle name="Normal 7 9 3 2 2" xfId="38865"/>
    <cellStyle name="Normal 7 9 3 2 2 2" xfId="38866"/>
    <cellStyle name="Normal 7 9 3 2 2 2 2" xfId="38867"/>
    <cellStyle name="Normal 7 9 3 2 2 3" xfId="38868"/>
    <cellStyle name="Normal 7 9 3 2 2 3 2" xfId="38869"/>
    <cellStyle name="Normal 7 9 3 2 2 4" xfId="38870"/>
    <cellStyle name="Normal 7 9 3 2 2 4 2" xfId="38871"/>
    <cellStyle name="Normal 7 9 3 2 2 5" xfId="38872"/>
    <cellStyle name="Normal 7 9 3 2 3" xfId="38873"/>
    <cellStyle name="Normal 7 9 3 2 3 2" xfId="38874"/>
    <cellStyle name="Normal 7 9 3 2 3 2 2" xfId="38875"/>
    <cellStyle name="Normal 7 9 3 2 3 3" xfId="38876"/>
    <cellStyle name="Normal 7 9 3 2 3 3 2" xfId="38877"/>
    <cellStyle name="Normal 7 9 3 2 3 4" xfId="38878"/>
    <cellStyle name="Normal 7 9 3 2 3 4 2" xfId="38879"/>
    <cellStyle name="Normal 7 9 3 2 3 5" xfId="38880"/>
    <cellStyle name="Normal 7 9 3 2 4" xfId="38881"/>
    <cellStyle name="Normal 7 9 3 2 4 2" xfId="38882"/>
    <cellStyle name="Normal 7 9 3 2 5" xfId="38883"/>
    <cellStyle name="Normal 7 9 3 2 5 2" xfId="38884"/>
    <cellStyle name="Normal 7 9 3 2 6" xfId="38885"/>
    <cellStyle name="Normal 7 9 3 2 6 2" xfId="38886"/>
    <cellStyle name="Normal 7 9 3 2 7" xfId="38887"/>
    <cellStyle name="Normal 7 9 3 3" xfId="38888"/>
    <cellStyle name="Normal 7 9 3 3 2" xfId="38889"/>
    <cellStyle name="Normal 7 9 3 3 2 2" xfId="38890"/>
    <cellStyle name="Normal 7 9 3 3 3" xfId="38891"/>
    <cellStyle name="Normal 7 9 3 3 3 2" xfId="38892"/>
    <cellStyle name="Normal 7 9 3 3 4" xfId="38893"/>
    <cellStyle name="Normal 7 9 3 3 4 2" xfId="38894"/>
    <cellStyle name="Normal 7 9 3 3 5" xfId="38895"/>
    <cellStyle name="Normal 7 9 3 4" xfId="38896"/>
    <cellStyle name="Normal 7 9 3 4 2" xfId="38897"/>
    <cellStyle name="Normal 7 9 3 4 2 2" xfId="38898"/>
    <cellStyle name="Normal 7 9 3 4 3" xfId="38899"/>
    <cellStyle name="Normal 7 9 3 4 3 2" xfId="38900"/>
    <cellStyle name="Normal 7 9 3 4 4" xfId="38901"/>
    <cellStyle name="Normal 7 9 3 4 4 2" xfId="38902"/>
    <cellStyle name="Normal 7 9 3 4 5" xfId="38903"/>
    <cellStyle name="Normal 7 9 3 5" xfId="38904"/>
    <cellStyle name="Normal 7 9 3 5 2" xfId="38905"/>
    <cellStyle name="Normal 7 9 3 6" xfId="38906"/>
    <cellStyle name="Normal 7 9 3 6 2" xfId="38907"/>
    <cellStyle name="Normal 7 9 3 7" xfId="38908"/>
    <cellStyle name="Normal 7 9 3 7 2" xfId="38909"/>
    <cellStyle name="Normal 7 9 3 8" xfId="38910"/>
    <cellStyle name="Normal 7 9 4" xfId="38911"/>
    <cellStyle name="Normal 7 9 4 2" xfId="38912"/>
    <cellStyle name="Normal 7 9 4 2 2" xfId="38913"/>
    <cellStyle name="Normal 7 9 4 2 2 2" xfId="38914"/>
    <cellStyle name="Normal 7 9 4 2 2 2 2" xfId="38915"/>
    <cellStyle name="Normal 7 9 4 2 2 3" xfId="38916"/>
    <cellStyle name="Normal 7 9 4 2 2 3 2" xfId="38917"/>
    <cellStyle name="Normal 7 9 4 2 2 4" xfId="38918"/>
    <cellStyle name="Normal 7 9 4 2 2 4 2" xfId="38919"/>
    <cellStyle name="Normal 7 9 4 2 2 5" xfId="38920"/>
    <cellStyle name="Normal 7 9 4 2 3" xfId="38921"/>
    <cellStyle name="Normal 7 9 4 2 3 2" xfId="38922"/>
    <cellStyle name="Normal 7 9 4 2 3 2 2" xfId="38923"/>
    <cellStyle name="Normal 7 9 4 2 3 3" xfId="38924"/>
    <cellStyle name="Normal 7 9 4 2 3 3 2" xfId="38925"/>
    <cellStyle name="Normal 7 9 4 2 3 4" xfId="38926"/>
    <cellStyle name="Normal 7 9 4 2 3 4 2" xfId="38927"/>
    <cellStyle name="Normal 7 9 4 2 3 5" xfId="38928"/>
    <cellStyle name="Normal 7 9 4 2 4" xfId="38929"/>
    <cellStyle name="Normal 7 9 4 2 4 2" xfId="38930"/>
    <cellStyle name="Normal 7 9 4 2 5" xfId="38931"/>
    <cellStyle name="Normal 7 9 4 2 5 2" xfId="38932"/>
    <cellStyle name="Normal 7 9 4 2 6" xfId="38933"/>
    <cellStyle name="Normal 7 9 4 2 6 2" xfId="38934"/>
    <cellStyle name="Normal 7 9 4 2 7" xfId="38935"/>
    <cellStyle name="Normal 7 9 4 3" xfId="38936"/>
    <cellStyle name="Normal 7 9 4 3 2" xfId="38937"/>
    <cellStyle name="Normal 7 9 4 3 2 2" xfId="38938"/>
    <cellStyle name="Normal 7 9 4 3 3" xfId="38939"/>
    <cellStyle name="Normal 7 9 4 3 3 2" xfId="38940"/>
    <cellStyle name="Normal 7 9 4 3 4" xfId="38941"/>
    <cellStyle name="Normal 7 9 4 3 4 2" xfId="38942"/>
    <cellStyle name="Normal 7 9 4 3 5" xfId="38943"/>
    <cellStyle name="Normal 7 9 4 4" xfId="38944"/>
    <cellStyle name="Normal 7 9 4 4 2" xfId="38945"/>
    <cellStyle name="Normal 7 9 4 4 2 2" xfId="38946"/>
    <cellStyle name="Normal 7 9 4 4 3" xfId="38947"/>
    <cellStyle name="Normal 7 9 4 4 3 2" xfId="38948"/>
    <cellStyle name="Normal 7 9 4 4 4" xfId="38949"/>
    <cellStyle name="Normal 7 9 4 4 4 2" xfId="38950"/>
    <cellStyle name="Normal 7 9 4 4 5" xfId="38951"/>
    <cellStyle name="Normal 7 9 4 5" xfId="38952"/>
    <cellStyle name="Normal 7 9 4 5 2" xfId="38953"/>
    <cellStyle name="Normal 7 9 4 6" xfId="38954"/>
    <cellStyle name="Normal 7 9 4 6 2" xfId="38955"/>
    <cellStyle name="Normal 7 9 4 7" xfId="38956"/>
    <cellStyle name="Normal 7 9 4 7 2" xfId="38957"/>
    <cellStyle name="Normal 7 9 4 8" xfId="38958"/>
    <cellStyle name="Normal 7 9 5" xfId="38959"/>
    <cellStyle name="Normal 7 9 5 2" xfId="38960"/>
    <cellStyle name="Normal 7 9 5 2 2" xfId="38961"/>
    <cellStyle name="Normal 7 9 5 2 2 2" xfId="38962"/>
    <cellStyle name="Normal 7 9 5 2 2 2 2" xfId="38963"/>
    <cellStyle name="Normal 7 9 5 2 2 3" xfId="38964"/>
    <cellStyle name="Normal 7 9 5 2 2 3 2" xfId="38965"/>
    <cellStyle name="Normal 7 9 5 2 2 4" xfId="38966"/>
    <cellStyle name="Normal 7 9 5 2 2 4 2" xfId="38967"/>
    <cellStyle name="Normal 7 9 5 2 2 5" xfId="38968"/>
    <cellStyle name="Normal 7 9 5 2 3" xfId="38969"/>
    <cellStyle name="Normal 7 9 5 2 3 2" xfId="38970"/>
    <cellStyle name="Normal 7 9 5 2 3 2 2" xfId="38971"/>
    <cellStyle name="Normal 7 9 5 2 3 3" xfId="38972"/>
    <cellStyle name="Normal 7 9 5 2 3 3 2" xfId="38973"/>
    <cellStyle name="Normal 7 9 5 2 3 4" xfId="38974"/>
    <cellStyle name="Normal 7 9 5 2 3 4 2" xfId="38975"/>
    <cellStyle name="Normal 7 9 5 2 3 5" xfId="38976"/>
    <cellStyle name="Normal 7 9 5 2 4" xfId="38977"/>
    <cellStyle name="Normal 7 9 5 2 4 2" xfId="38978"/>
    <cellStyle name="Normal 7 9 5 2 5" xfId="38979"/>
    <cellStyle name="Normal 7 9 5 2 5 2" xfId="38980"/>
    <cellStyle name="Normal 7 9 5 2 6" xfId="38981"/>
    <cellStyle name="Normal 7 9 5 2 6 2" xfId="38982"/>
    <cellStyle name="Normal 7 9 5 2 7" xfId="38983"/>
    <cellStyle name="Normal 7 9 5 3" xfId="38984"/>
    <cellStyle name="Normal 7 9 5 3 2" xfId="38985"/>
    <cellStyle name="Normal 7 9 5 3 2 2" xfId="38986"/>
    <cellStyle name="Normal 7 9 5 3 3" xfId="38987"/>
    <cellStyle name="Normal 7 9 5 3 3 2" xfId="38988"/>
    <cellStyle name="Normal 7 9 5 3 4" xfId="38989"/>
    <cellStyle name="Normal 7 9 5 3 4 2" xfId="38990"/>
    <cellStyle name="Normal 7 9 5 3 5" xfId="38991"/>
    <cellStyle name="Normal 7 9 5 4" xfId="38992"/>
    <cellStyle name="Normal 7 9 5 4 2" xfId="38993"/>
    <cellStyle name="Normal 7 9 5 4 2 2" xfId="38994"/>
    <cellStyle name="Normal 7 9 5 4 3" xfId="38995"/>
    <cellStyle name="Normal 7 9 5 4 3 2" xfId="38996"/>
    <cellStyle name="Normal 7 9 5 4 4" xfId="38997"/>
    <cellStyle name="Normal 7 9 5 4 4 2" xfId="38998"/>
    <cellStyle name="Normal 7 9 5 4 5" xfId="38999"/>
    <cellStyle name="Normal 7 9 5 5" xfId="39000"/>
    <cellStyle name="Normal 7 9 5 5 2" xfId="39001"/>
    <cellStyle name="Normal 7 9 5 6" xfId="39002"/>
    <cellStyle name="Normal 7 9 5 6 2" xfId="39003"/>
    <cellStyle name="Normal 7 9 5 7" xfId="39004"/>
    <cellStyle name="Normal 7 9 5 7 2" xfId="39005"/>
    <cellStyle name="Normal 7 9 5 8" xfId="39006"/>
    <cellStyle name="Normal 7 9 6" xfId="39007"/>
    <cellStyle name="Normal 7 9 6 2" xfId="39008"/>
    <cellStyle name="Normal 7 9 6 2 2" xfId="39009"/>
    <cellStyle name="Normal 7 9 6 2 2 2" xfId="39010"/>
    <cellStyle name="Normal 7 9 6 2 2 2 2" xfId="39011"/>
    <cellStyle name="Normal 7 9 6 2 2 3" xfId="39012"/>
    <cellStyle name="Normal 7 9 6 2 2 3 2" xfId="39013"/>
    <cellStyle name="Normal 7 9 6 2 2 4" xfId="39014"/>
    <cellStyle name="Normal 7 9 6 2 2 4 2" xfId="39015"/>
    <cellStyle name="Normal 7 9 6 2 2 5" xfId="39016"/>
    <cellStyle name="Normal 7 9 6 2 3" xfId="39017"/>
    <cellStyle name="Normal 7 9 6 2 3 2" xfId="39018"/>
    <cellStyle name="Normal 7 9 6 2 3 2 2" xfId="39019"/>
    <cellStyle name="Normal 7 9 6 2 3 3" xfId="39020"/>
    <cellStyle name="Normal 7 9 6 2 3 3 2" xfId="39021"/>
    <cellStyle name="Normal 7 9 6 2 3 4" xfId="39022"/>
    <cellStyle name="Normal 7 9 6 2 3 4 2" xfId="39023"/>
    <cellStyle name="Normal 7 9 6 2 3 5" xfId="39024"/>
    <cellStyle name="Normal 7 9 6 2 4" xfId="39025"/>
    <cellStyle name="Normal 7 9 6 2 4 2" xfId="39026"/>
    <cellStyle name="Normal 7 9 6 2 5" xfId="39027"/>
    <cellStyle name="Normal 7 9 6 2 5 2" xfId="39028"/>
    <cellStyle name="Normal 7 9 6 2 6" xfId="39029"/>
    <cellStyle name="Normal 7 9 6 2 6 2" xfId="39030"/>
    <cellStyle name="Normal 7 9 6 2 7" xfId="39031"/>
    <cellStyle name="Normal 7 9 6 3" xfId="39032"/>
    <cellStyle name="Normal 7 9 6 3 2" xfId="39033"/>
    <cellStyle name="Normal 7 9 6 3 2 2" xfId="39034"/>
    <cellStyle name="Normal 7 9 6 3 3" xfId="39035"/>
    <cellStyle name="Normal 7 9 6 3 3 2" xfId="39036"/>
    <cellStyle name="Normal 7 9 6 3 4" xfId="39037"/>
    <cellStyle name="Normal 7 9 6 3 4 2" xfId="39038"/>
    <cellStyle name="Normal 7 9 6 3 5" xfId="39039"/>
    <cellStyle name="Normal 7 9 6 4" xfId="39040"/>
    <cellStyle name="Normal 7 9 6 4 2" xfId="39041"/>
    <cellStyle name="Normal 7 9 6 4 2 2" xfId="39042"/>
    <cellStyle name="Normal 7 9 6 4 3" xfId="39043"/>
    <cellStyle name="Normal 7 9 6 4 3 2" xfId="39044"/>
    <cellStyle name="Normal 7 9 6 4 4" xfId="39045"/>
    <cellStyle name="Normal 7 9 6 4 4 2" xfId="39046"/>
    <cellStyle name="Normal 7 9 6 4 5" xfId="39047"/>
    <cellStyle name="Normal 7 9 6 5" xfId="39048"/>
    <cellStyle name="Normal 7 9 6 5 2" xfId="39049"/>
    <cellStyle name="Normal 7 9 6 6" xfId="39050"/>
    <cellStyle name="Normal 7 9 6 6 2" xfId="39051"/>
    <cellStyle name="Normal 7 9 6 7" xfId="39052"/>
    <cellStyle name="Normal 7 9 6 7 2" xfId="39053"/>
    <cellStyle name="Normal 7 9 6 8" xfId="39054"/>
    <cellStyle name="Normal 7 9 7" xfId="39055"/>
    <cellStyle name="Normal 7 9 7 2" xfId="39056"/>
    <cellStyle name="Normal 7 9 7 2 2" xfId="39057"/>
    <cellStyle name="Normal 7 9 7 2 2 2" xfId="39058"/>
    <cellStyle name="Normal 7 9 7 2 2 2 2" xfId="39059"/>
    <cellStyle name="Normal 7 9 7 2 2 3" xfId="39060"/>
    <cellStyle name="Normal 7 9 7 2 2 3 2" xfId="39061"/>
    <cellStyle name="Normal 7 9 7 2 2 4" xfId="39062"/>
    <cellStyle name="Normal 7 9 7 2 2 4 2" xfId="39063"/>
    <cellStyle name="Normal 7 9 7 2 2 5" xfId="39064"/>
    <cellStyle name="Normal 7 9 7 2 3" xfId="39065"/>
    <cellStyle name="Normal 7 9 7 2 3 2" xfId="39066"/>
    <cellStyle name="Normal 7 9 7 2 3 2 2" xfId="39067"/>
    <cellStyle name="Normal 7 9 7 2 3 3" xfId="39068"/>
    <cellStyle name="Normal 7 9 7 2 3 3 2" xfId="39069"/>
    <cellStyle name="Normal 7 9 7 2 3 4" xfId="39070"/>
    <cellStyle name="Normal 7 9 7 2 3 4 2" xfId="39071"/>
    <cellStyle name="Normal 7 9 7 2 3 5" xfId="39072"/>
    <cellStyle name="Normal 7 9 7 2 4" xfId="39073"/>
    <cellStyle name="Normal 7 9 7 2 4 2" xfId="39074"/>
    <cellStyle name="Normal 7 9 7 2 5" xfId="39075"/>
    <cellStyle name="Normal 7 9 7 2 5 2" xfId="39076"/>
    <cellStyle name="Normal 7 9 7 2 6" xfId="39077"/>
    <cellStyle name="Normal 7 9 7 2 6 2" xfId="39078"/>
    <cellStyle name="Normal 7 9 7 2 7" xfId="39079"/>
    <cellStyle name="Normal 7 9 7 3" xfId="39080"/>
    <cellStyle name="Normal 7 9 7 3 2" xfId="39081"/>
    <cellStyle name="Normal 7 9 7 3 2 2" xfId="39082"/>
    <cellStyle name="Normal 7 9 7 3 3" xfId="39083"/>
    <cellStyle name="Normal 7 9 7 3 3 2" xfId="39084"/>
    <cellStyle name="Normal 7 9 7 3 4" xfId="39085"/>
    <cellStyle name="Normal 7 9 7 3 4 2" xfId="39086"/>
    <cellStyle name="Normal 7 9 7 3 5" xfId="39087"/>
    <cellStyle name="Normal 7 9 7 4" xfId="39088"/>
    <cellStyle name="Normal 7 9 7 4 2" xfId="39089"/>
    <cellStyle name="Normal 7 9 7 4 2 2" xfId="39090"/>
    <cellStyle name="Normal 7 9 7 4 3" xfId="39091"/>
    <cellStyle name="Normal 7 9 7 4 3 2" xfId="39092"/>
    <cellStyle name="Normal 7 9 7 4 4" xfId="39093"/>
    <cellStyle name="Normal 7 9 7 4 4 2" xfId="39094"/>
    <cellStyle name="Normal 7 9 7 4 5" xfId="39095"/>
    <cellStyle name="Normal 7 9 7 5" xfId="39096"/>
    <cellStyle name="Normal 7 9 7 5 2" xfId="39097"/>
    <cellStyle name="Normal 7 9 7 6" xfId="39098"/>
    <cellStyle name="Normal 7 9 7 6 2" xfId="39099"/>
    <cellStyle name="Normal 7 9 7 7" xfId="39100"/>
    <cellStyle name="Normal 7 9 7 7 2" xfId="39101"/>
    <cellStyle name="Normal 7 9 7 8" xfId="39102"/>
    <cellStyle name="Normal 7 9 8" xfId="39103"/>
    <cellStyle name="Normal 7 9 8 2" xfId="39104"/>
    <cellStyle name="Normal 7 9 8 2 2" xfId="39105"/>
    <cellStyle name="Normal 7 9 8 2 2 2" xfId="39106"/>
    <cellStyle name="Normal 7 9 8 2 3" xfId="39107"/>
    <cellStyle name="Normal 7 9 8 2 3 2" xfId="39108"/>
    <cellStyle name="Normal 7 9 8 2 4" xfId="39109"/>
    <cellStyle name="Normal 7 9 8 2 4 2" xfId="39110"/>
    <cellStyle name="Normal 7 9 8 2 5" xfId="39111"/>
    <cellStyle name="Normal 7 9 8 3" xfId="39112"/>
    <cellStyle name="Normal 7 9 8 3 2" xfId="39113"/>
    <cellStyle name="Normal 7 9 8 3 2 2" xfId="39114"/>
    <cellStyle name="Normal 7 9 8 3 3" xfId="39115"/>
    <cellStyle name="Normal 7 9 8 3 3 2" xfId="39116"/>
    <cellStyle name="Normal 7 9 8 3 4" xfId="39117"/>
    <cellStyle name="Normal 7 9 8 3 4 2" xfId="39118"/>
    <cellStyle name="Normal 7 9 8 3 5" xfId="39119"/>
    <cellStyle name="Normal 7 9 8 4" xfId="39120"/>
    <cellStyle name="Normal 7 9 8 4 2" xfId="39121"/>
    <cellStyle name="Normal 7 9 8 5" xfId="39122"/>
    <cellStyle name="Normal 7 9 8 5 2" xfId="39123"/>
    <cellStyle name="Normal 7 9 8 6" xfId="39124"/>
    <cellStyle name="Normal 7 9 8 6 2" xfId="39125"/>
    <cellStyle name="Normal 7 9 8 7" xfId="39126"/>
    <cellStyle name="Normal 7 9 9" xfId="39127"/>
    <cellStyle name="Normal 7 9 9 2" xfId="39128"/>
    <cellStyle name="Normal 7 9 9 2 2" xfId="39129"/>
    <cellStyle name="Normal 7 9 9 3" xfId="39130"/>
    <cellStyle name="Normal 7 9 9 3 2" xfId="39131"/>
    <cellStyle name="Normal 7 9 9 4" xfId="39132"/>
    <cellStyle name="Normal 7 9 9 4 2" xfId="39133"/>
    <cellStyle name="Normal 7 9 9 5" xfId="39134"/>
    <cellStyle name="Normal 7_Input" xfId="1541"/>
    <cellStyle name="Normal 70" xfId="1158"/>
    <cellStyle name="Normal 70 2" xfId="39302"/>
    <cellStyle name="Normal 70 2 2" xfId="39447"/>
    <cellStyle name="Normal 70 3" xfId="39446"/>
    <cellStyle name="Normal 70 4" xfId="39301"/>
    <cellStyle name="Normal 71" xfId="1157"/>
    <cellStyle name="Normal 71 2" xfId="39304"/>
    <cellStyle name="Normal 71 2 2" xfId="39449"/>
    <cellStyle name="Normal 71 3" xfId="39448"/>
    <cellStyle name="Normal 71 4" xfId="39303"/>
    <cellStyle name="Normal 72" xfId="853"/>
    <cellStyle name="Normal 72 2" xfId="39306"/>
    <cellStyle name="Normal 72 2 2" xfId="39451"/>
    <cellStyle name="Normal 72 3" xfId="39450"/>
    <cellStyle name="Normal 72 4" xfId="39305"/>
    <cellStyle name="Normal 73" xfId="1403"/>
    <cellStyle name="Normal 73 2" xfId="39288"/>
    <cellStyle name="Normal 73 3" xfId="39289"/>
    <cellStyle name="Normal 73 4" xfId="39502"/>
    <cellStyle name="Normal 74" xfId="1404"/>
    <cellStyle name="Normal 74 2" xfId="39503"/>
    <cellStyle name="Normal 74 3" xfId="39789"/>
    <cellStyle name="Normal 75" xfId="1407"/>
    <cellStyle name="Normal 75 2" xfId="39504"/>
    <cellStyle name="Normal 75 3" xfId="39790"/>
    <cellStyle name="Normal 76" xfId="1408"/>
    <cellStyle name="Normal 76 2" xfId="39505"/>
    <cellStyle name="Normal 76 3" xfId="39791"/>
    <cellStyle name="Normal 77" xfId="1411"/>
    <cellStyle name="Normal 77 2" xfId="39506"/>
    <cellStyle name="Normal 77 3" xfId="39792"/>
    <cellStyle name="Normal 78" xfId="1416"/>
    <cellStyle name="Normal 78 2" xfId="39507"/>
    <cellStyle name="Normal 78 3" xfId="39793"/>
    <cellStyle name="Normal 79" xfId="1420"/>
    <cellStyle name="Normal 79 2" xfId="39508"/>
    <cellStyle name="Normal 79 3" xfId="39794"/>
    <cellStyle name="Normal 8" xfId="230"/>
    <cellStyle name="Normal 8 10" xfId="39136"/>
    <cellStyle name="Normal 8 10 2" xfId="39137"/>
    <cellStyle name="Normal 8 11" xfId="39138"/>
    <cellStyle name="Normal 8 12" xfId="39135"/>
    <cellStyle name="Normal 8 2" xfId="1016"/>
    <cellStyle name="Normal 8 2 2" xfId="39140"/>
    <cellStyle name="Normal 8 2 3" xfId="39141"/>
    <cellStyle name="Normal 8 2 3 2" xfId="39142"/>
    <cellStyle name="Normal 8 2 3 2 2" xfId="39143"/>
    <cellStyle name="Normal 8 2 3 3" xfId="39144"/>
    <cellStyle name="Normal 8 2 3 3 2" xfId="39145"/>
    <cellStyle name="Normal 8 2 3 4" xfId="39146"/>
    <cellStyle name="Normal 8 2 3 4 2" xfId="39147"/>
    <cellStyle name="Normal 8 2 3 5" xfId="39148"/>
    <cellStyle name="Normal 8 2 4" xfId="39149"/>
    <cellStyle name="Normal 8 2 4 2" xfId="39150"/>
    <cellStyle name="Normal 8 2 4 2 2" xfId="39151"/>
    <cellStyle name="Normal 8 2 4 3" xfId="39152"/>
    <cellStyle name="Normal 8 2 4 3 2" xfId="39153"/>
    <cellStyle name="Normal 8 2 4 4" xfId="39154"/>
    <cellStyle name="Normal 8 2 4 4 2" xfId="39155"/>
    <cellStyle name="Normal 8 2 4 5" xfId="39156"/>
    <cellStyle name="Normal 8 2 5" xfId="39157"/>
    <cellStyle name="Normal 8 2 5 2" xfId="39158"/>
    <cellStyle name="Normal 8 2 6" xfId="39159"/>
    <cellStyle name="Normal 8 2 6 2" xfId="39160"/>
    <cellStyle name="Normal 8 2 7" xfId="39161"/>
    <cellStyle name="Normal 8 2 7 2" xfId="39162"/>
    <cellStyle name="Normal 8 2 8" xfId="39163"/>
    <cellStyle name="Normal 8 2 9" xfId="39139"/>
    <cellStyle name="Normal 8 3" xfId="3581"/>
    <cellStyle name="Normal 8 3 2" xfId="39165"/>
    <cellStyle name="Normal 8 3 3" xfId="39166"/>
    <cellStyle name="Normal 8 3 3 2" xfId="39167"/>
    <cellStyle name="Normal 8 3 3 2 2" xfId="39168"/>
    <cellStyle name="Normal 8 3 3 3" xfId="39169"/>
    <cellStyle name="Normal 8 3 3 3 2" xfId="39170"/>
    <cellStyle name="Normal 8 3 3 4" xfId="39171"/>
    <cellStyle name="Normal 8 3 3 4 2" xfId="39172"/>
    <cellStyle name="Normal 8 3 3 5" xfId="39173"/>
    <cellStyle name="Normal 8 3 4" xfId="39174"/>
    <cellStyle name="Normal 8 3 4 2" xfId="39175"/>
    <cellStyle name="Normal 8 3 4 2 2" xfId="39176"/>
    <cellStyle name="Normal 8 3 4 3" xfId="39177"/>
    <cellStyle name="Normal 8 3 4 3 2" xfId="39178"/>
    <cellStyle name="Normal 8 3 4 4" xfId="39179"/>
    <cellStyle name="Normal 8 3 4 4 2" xfId="39180"/>
    <cellStyle name="Normal 8 3 4 5" xfId="39181"/>
    <cellStyle name="Normal 8 3 5" xfId="39182"/>
    <cellStyle name="Normal 8 3 5 2" xfId="39183"/>
    <cellStyle name="Normal 8 3 6" xfId="39184"/>
    <cellStyle name="Normal 8 3 6 2" xfId="39185"/>
    <cellStyle name="Normal 8 3 7" xfId="39186"/>
    <cellStyle name="Normal 8 3 7 2" xfId="39187"/>
    <cellStyle name="Normal 8 3 8" xfId="39188"/>
    <cellStyle name="Normal 8 3 9" xfId="39164"/>
    <cellStyle name="Normal 8 4" xfId="39189"/>
    <cellStyle name="Normal 8 5" xfId="39190"/>
    <cellStyle name="Normal 8 6" xfId="39191"/>
    <cellStyle name="Normal 8 6 2" xfId="39192"/>
    <cellStyle name="Normal 8 6 2 2" xfId="39193"/>
    <cellStyle name="Normal 8 6 3" xfId="39194"/>
    <cellStyle name="Normal 8 6 3 2" xfId="39195"/>
    <cellStyle name="Normal 8 6 4" xfId="39196"/>
    <cellStyle name="Normal 8 6 4 2" xfId="39197"/>
    <cellStyle name="Normal 8 6 5" xfId="39198"/>
    <cellStyle name="Normal 8 7" xfId="39199"/>
    <cellStyle name="Normal 8 7 2" xfId="39200"/>
    <cellStyle name="Normal 8 7 2 2" xfId="39201"/>
    <cellStyle name="Normal 8 7 3" xfId="39202"/>
    <cellStyle name="Normal 8 7 3 2" xfId="39203"/>
    <cellStyle name="Normal 8 7 4" xfId="39204"/>
    <cellStyle name="Normal 8 7 4 2" xfId="39205"/>
    <cellStyle name="Normal 8 7 5" xfId="39206"/>
    <cellStyle name="Normal 8 8" xfId="39207"/>
    <cellStyle name="Normal 8 8 2" xfId="39208"/>
    <cellStyle name="Normal 8 9" xfId="39209"/>
    <cellStyle name="Normal 8 9 2" xfId="39210"/>
    <cellStyle name="Normal 8_Input" xfId="1542"/>
    <cellStyle name="Normal 80" xfId="1415"/>
    <cellStyle name="Normal 80 2" xfId="39795"/>
    <cellStyle name="Normal 81" xfId="1422"/>
    <cellStyle name="Normal 81 2" xfId="39796"/>
    <cellStyle name="Normal 82" xfId="1417"/>
    <cellStyle name="Normal 82 2" xfId="39797"/>
    <cellStyle name="Normal 83" xfId="1792"/>
    <cellStyle name="Normal 83 2" xfId="39798"/>
    <cellStyle name="Normal 84" xfId="1802"/>
    <cellStyle name="Normal 84 2" xfId="39799"/>
    <cellStyle name="Normal 85" xfId="1823"/>
    <cellStyle name="Normal 85 2" xfId="39800"/>
    <cellStyle name="Normal 86" xfId="1839"/>
    <cellStyle name="Normal 86 2" xfId="39801"/>
    <cellStyle name="Normal 87" xfId="1849"/>
    <cellStyle name="Normal 87 2" xfId="39802"/>
    <cellStyle name="Normal 88" xfId="1853"/>
    <cellStyle name="Normal 88 2" xfId="39803"/>
    <cellStyle name="Normal 89" xfId="1843"/>
    <cellStyle name="Normal 89 2" xfId="39804"/>
    <cellStyle name="Normal 9" xfId="231"/>
    <cellStyle name="Normal 9 2" xfId="1017"/>
    <cellStyle name="Normal 9 2 2" xfId="39212"/>
    <cellStyle name="Normal 9 2 3" xfId="39213"/>
    <cellStyle name="Normal 9 2 3 2" xfId="39214"/>
    <cellStyle name="Normal 9 2 3 2 2" xfId="39215"/>
    <cellStyle name="Normal 9 2 3 3" xfId="39216"/>
    <cellStyle name="Normal 9 2 3 3 2" xfId="39217"/>
    <cellStyle name="Normal 9 2 3 4" xfId="39218"/>
    <cellStyle name="Normal 9 2 3 4 2" xfId="39219"/>
    <cellStyle name="Normal 9 2 3 5" xfId="39220"/>
    <cellStyle name="Normal 9 2 4" xfId="39221"/>
    <cellStyle name="Normal 9 2 4 2" xfId="39222"/>
    <cellStyle name="Normal 9 2 4 2 2" xfId="39223"/>
    <cellStyle name="Normal 9 2 4 3" xfId="39224"/>
    <cellStyle name="Normal 9 2 4 3 2" xfId="39225"/>
    <cellStyle name="Normal 9 2 4 4" xfId="39226"/>
    <cellStyle name="Normal 9 2 4 4 2" xfId="39227"/>
    <cellStyle name="Normal 9 2 4 5" xfId="39228"/>
    <cellStyle name="Normal 9 2 5" xfId="39229"/>
    <cellStyle name="Normal 9 2 5 2" xfId="39230"/>
    <cellStyle name="Normal 9 2 6" xfId="39231"/>
    <cellStyle name="Normal 9 2 6 2" xfId="39232"/>
    <cellStyle name="Normal 9 2 7" xfId="39233"/>
    <cellStyle name="Normal 9 2 7 2" xfId="39234"/>
    <cellStyle name="Normal 9 2 8" xfId="39235"/>
    <cellStyle name="Normal 9 2 9" xfId="39211"/>
    <cellStyle name="Normal 9 3" xfId="3582"/>
    <cellStyle name="Normal 9 3 2" xfId="39237"/>
    <cellStyle name="Normal 9 3 3" xfId="39238"/>
    <cellStyle name="Normal 9 3 3 2" xfId="39239"/>
    <cellStyle name="Normal 9 3 3 2 2" xfId="39240"/>
    <cellStyle name="Normal 9 3 3 3" xfId="39241"/>
    <cellStyle name="Normal 9 3 3 3 2" xfId="39242"/>
    <cellStyle name="Normal 9 3 3 4" xfId="39243"/>
    <cellStyle name="Normal 9 3 3 4 2" xfId="39244"/>
    <cellStyle name="Normal 9 3 3 5" xfId="39245"/>
    <cellStyle name="Normal 9 3 4" xfId="39246"/>
    <cellStyle name="Normal 9 3 4 2" xfId="39247"/>
    <cellStyle name="Normal 9 3 4 2 2" xfId="39248"/>
    <cellStyle name="Normal 9 3 4 3" xfId="39249"/>
    <cellStyle name="Normal 9 3 4 3 2" xfId="39250"/>
    <cellStyle name="Normal 9 3 4 4" xfId="39251"/>
    <cellStyle name="Normal 9 3 4 4 2" xfId="39252"/>
    <cellStyle name="Normal 9 3 4 5" xfId="39253"/>
    <cellStyle name="Normal 9 3 5" xfId="39254"/>
    <cellStyle name="Normal 9 3 5 2" xfId="39255"/>
    <cellStyle name="Normal 9 3 6" xfId="39256"/>
    <cellStyle name="Normal 9 3 6 2" xfId="39257"/>
    <cellStyle name="Normal 9 3 7" xfId="39258"/>
    <cellStyle name="Normal 9 3 7 2" xfId="39259"/>
    <cellStyle name="Normal 9 3 8" xfId="39260"/>
    <cellStyle name="Normal 9 3 9" xfId="39236"/>
    <cellStyle name="Normal 9_Input" xfId="1543"/>
    <cellStyle name="Normal 90" xfId="1867"/>
    <cellStyle name="Normal 90 2" xfId="39433"/>
    <cellStyle name="Normal 91" xfId="1906"/>
    <cellStyle name="Normal 91 2" xfId="39509"/>
    <cellStyle name="Normal 92" xfId="1907"/>
    <cellStyle name="Normal 93" xfId="1917"/>
    <cellStyle name="Normal 94" xfId="1933"/>
    <cellStyle name="Normal 95" xfId="1932"/>
    <cellStyle name="Normal 95 2" xfId="39510"/>
    <cellStyle name="Normal 96" xfId="2002"/>
    <cellStyle name="Normal 96 2" xfId="39511"/>
    <cellStyle name="Normal 97" xfId="2077"/>
    <cellStyle name="Normal 98" xfId="2"/>
    <cellStyle name="Normal 98 2" xfId="39805"/>
    <cellStyle name="Normal 99" xfId="2078"/>
    <cellStyle name="Normal 99 2" xfId="39806"/>
    <cellStyle name="Note 2" xfId="233"/>
    <cellStyle name="Note 2 10" xfId="39261"/>
    <cellStyle name="Note 2 2" xfId="1019"/>
    <cellStyle name="Note 2 2 2" xfId="3585"/>
    <cellStyle name="Note 2 2 2 2" xfId="3586"/>
    <cellStyle name="Note 2 2 2 2 2" xfId="3587"/>
    <cellStyle name="Note 2 2 2 2 2 2" xfId="3588"/>
    <cellStyle name="Note 2 2 2 2 2 3" xfId="3589"/>
    <cellStyle name="Note 2 2 2 2 3" xfId="3590"/>
    <cellStyle name="Note 2 2 2 2 4" xfId="3591"/>
    <cellStyle name="Note 2 2 2 3" xfId="3592"/>
    <cellStyle name="Note 2 2 2 3 2" xfId="3593"/>
    <cellStyle name="Note 2 2 2 3 3" xfId="3594"/>
    <cellStyle name="Note 2 2 2 4" xfId="3595"/>
    <cellStyle name="Note 2 2 2 5" xfId="3596"/>
    <cellStyle name="Note 2 2 3" xfId="3597"/>
    <cellStyle name="Note 2 2 3 2" xfId="3598"/>
    <cellStyle name="Note 2 2 3 2 2" xfId="3599"/>
    <cellStyle name="Note 2 2 3 2 3" xfId="3600"/>
    <cellStyle name="Note 2 2 3 3" xfId="3601"/>
    <cellStyle name="Note 2 2 3 4" xfId="3602"/>
    <cellStyle name="Note 2 2 4" xfId="3603"/>
    <cellStyle name="Note 2 2 4 2" xfId="3604"/>
    <cellStyle name="Note 2 2 4 3" xfId="3605"/>
    <cellStyle name="Note 2 2 5" xfId="3606"/>
    <cellStyle name="Note 2 2 6" xfId="3607"/>
    <cellStyle name="Note 2 2 7" xfId="3584"/>
    <cellStyle name="Note 2 2 8" xfId="39262"/>
    <cellStyle name="Note 2 3" xfId="3608"/>
    <cellStyle name="Note 2 3 2" xfId="3609"/>
    <cellStyle name="Note 2 3 2 2" xfId="3610"/>
    <cellStyle name="Note 2 3 2 2 2" xfId="3611"/>
    <cellStyle name="Note 2 3 2 2 3" xfId="3612"/>
    <cellStyle name="Note 2 3 2 3" xfId="3613"/>
    <cellStyle name="Note 2 3 2 4" xfId="3614"/>
    <cellStyle name="Note 2 3 3" xfId="3615"/>
    <cellStyle name="Note 2 3 3 2" xfId="3616"/>
    <cellStyle name="Note 2 3 3 3" xfId="3617"/>
    <cellStyle name="Note 2 3 4" xfId="3618"/>
    <cellStyle name="Note 2 3 5" xfId="3619"/>
    <cellStyle name="Note 2 4" xfId="3620"/>
    <cellStyle name="Note 2 4 2" xfId="3621"/>
    <cellStyle name="Note 2 4 2 2" xfId="3622"/>
    <cellStyle name="Note 2 4 2 3" xfId="3623"/>
    <cellStyle name="Note 2 4 3" xfId="3624"/>
    <cellStyle name="Note 2 4 4" xfId="3625"/>
    <cellStyle name="Note 2 5" xfId="3626"/>
    <cellStyle name="Note 2 5 2" xfId="3627"/>
    <cellStyle name="Note 2 5 3" xfId="3628"/>
    <cellStyle name="Note 2 6" xfId="3629"/>
    <cellStyle name="Note 2 7" xfId="3630"/>
    <cellStyle name="Note 2 8" xfId="3631"/>
    <cellStyle name="Note 2 9" xfId="3583"/>
    <cellStyle name="Note 3" xfId="234"/>
    <cellStyle name="Note 3 2" xfId="1020"/>
    <cellStyle name="Note 3 2 2" xfId="3634"/>
    <cellStyle name="Note 3 2 2 2" xfId="3635"/>
    <cellStyle name="Note 3 2 2 2 2" xfId="3636"/>
    <cellStyle name="Note 3 2 2 2 3" xfId="3637"/>
    <cellStyle name="Note 3 2 2 3" xfId="3638"/>
    <cellStyle name="Note 3 2 2 4" xfId="3639"/>
    <cellStyle name="Note 3 2 3" xfId="3640"/>
    <cellStyle name="Note 3 2 3 2" xfId="3641"/>
    <cellStyle name="Note 3 2 3 3" xfId="3642"/>
    <cellStyle name="Note 3 2 4" xfId="3643"/>
    <cellStyle name="Note 3 2 5" xfId="3644"/>
    <cellStyle name="Note 3 2 6" xfId="3633"/>
    <cellStyle name="Note 3 2 7" xfId="39264"/>
    <cellStyle name="Note 3 3" xfId="3645"/>
    <cellStyle name="Note 3 3 2" xfId="3646"/>
    <cellStyle name="Note 3 3 2 2" xfId="3647"/>
    <cellStyle name="Note 3 3 2 3" xfId="3648"/>
    <cellStyle name="Note 3 3 3" xfId="3649"/>
    <cellStyle name="Note 3 3 4" xfId="3650"/>
    <cellStyle name="Note 3 4" xfId="3651"/>
    <cellStyle name="Note 3 4 2" xfId="3652"/>
    <cellStyle name="Note 3 4 3" xfId="3653"/>
    <cellStyle name="Note 3 5" xfId="3654"/>
    <cellStyle name="Note 3 6" xfId="3655"/>
    <cellStyle name="Note 3 7" xfId="3632"/>
    <cellStyle name="Note 3 8" xfId="39263"/>
    <cellStyle name="Note 4" xfId="776"/>
    <cellStyle name="Note 4 2" xfId="3657"/>
    <cellStyle name="Note 4 2 2" xfId="3658"/>
    <cellStyle name="Note 4 2 2 2" xfId="3659"/>
    <cellStyle name="Note 4 2 2 3" xfId="3660"/>
    <cellStyle name="Note 4 2 3" xfId="3661"/>
    <cellStyle name="Note 4 2 3 2" xfId="39265"/>
    <cellStyle name="Note 4 2 4" xfId="3662"/>
    <cellStyle name="Note 4 2 4 2" xfId="39266"/>
    <cellStyle name="Note 4 2 5" xfId="39267"/>
    <cellStyle name="Note 4 3" xfId="3663"/>
    <cellStyle name="Note 4 3 2" xfId="3664"/>
    <cellStyle name="Note 4 3 2 2" xfId="39268"/>
    <cellStyle name="Note 4 3 3" xfId="3665"/>
    <cellStyle name="Note 4 3 3 2" xfId="39269"/>
    <cellStyle name="Note 4 3 4" xfId="39270"/>
    <cellStyle name="Note 4 3 4 2" xfId="39271"/>
    <cellStyle name="Note 4 3 5" xfId="39272"/>
    <cellStyle name="Note 4 4" xfId="3666"/>
    <cellStyle name="Note 4 4 2" xfId="39273"/>
    <cellStyle name="Note 4 5" xfId="3667"/>
    <cellStyle name="Note 4 5 2" xfId="39274"/>
    <cellStyle name="Note 4 6" xfId="3656"/>
    <cellStyle name="Note 4 6 2" xfId="39275"/>
    <cellStyle name="Note 4 7" xfId="39276"/>
    <cellStyle name="Note 5" xfId="1018"/>
    <cellStyle name="Note 5 2" xfId="3669"/>
    <cellStyle name="Note 5 2 2" xfId="3670"/>
    <cellStyle name="Note 5 2 2 2" xfId="3671"/>
    <cellStyle name="Note 5 2 2 3" xfId="3672"/>
    <cellStyle name="Note 5 2 3" xfId="3673"/>
    <cellStyle name="Note 5 2 4" xfId="3674"/>
    <cellStyle name="Note 5 3" xfId="3675"/>
    <cellStyle name="Note 5 3 2" xfId="3676"/>
    <cellStyle name="Note 5 3 3" xfId="3677"/>
    <cellStyle name="Note 5 4" xfId="3678"/>
    <cellStyle name="Note 5 5" xfId="3679"/>
    <cellStyle name="Note 5 6" xfId="3668"/>
    <cellStyle name="Note 6" xfId="1980"/>
    <cellStyle name="Note 6 2" xfId="3681"/>
    <cellStyle name="Note 6 2 2" xfId="3682"/>
    <cellStyle name="Note 6 2 3" xfId="3683"/>
    <cellStyle name="Note 6 3" xfId="3684"/>
    <cellStyle name="Note 6 4" xfId="3685"/>
    <cellStyle name="Note 6 5" xfId="3680"/>
    <cellStyle name="Note 7" xfId="232"/>
    <cellStyle name="Note 7 2" xfId="3687"/>
    <cellStyle name="Note 7 3" xfId="3688"/>
    <cellStyle name="Note 7 4" xfId="3686"/>
    <cellStyle name="Note 8" xfId="3689"/>
    <cellStyle name="Note 9" xfId="3690"/>
    <cellStyle name="Output 2" xfId="236"/>
    <cellStyle name="Output 2 2" xfId="39278"/>
    <cellStyle name="Output 2 3" xfId="39277"/>
    <cellStyle name="Output 3" xfId="772"/>
    <cellStyle name="Output 3 2" xfId="39280"/>
    <cellStyle name="Output 3 3" xfId="39279"/>
    <cellStyle name="Output 4" xfId="1021"/>
    <cellStyle name="Output 5" xfId="1981"/>
    <cellStyle name="Output 6" xfId="235"/>
    <cellStyle name="Percent [2]" xfId="237"/>
    <cellStyle name="Percent [2] 2" xfId="238"/>
    <cellStyle name="Percent [2] 2 2" xfId="239"/>
    <cellStyle name="Percent [2] 2 2 2" xfId="1023"/>
    <cellStyle name="Percent [2] 2 3" xfId="240"/>
    <cellStyle name="Percent [2] 2 3 2" xfId="241"/>
    <cellStyle name="Percent [2] 2 3 2 2" xfId="1025"/>
    <cellStyle name="Percent [2] 2 3 3" xfId="242"/>
    <cellStyle name="Percent [2] 2 3 3 2" xfId="1026"/>
    <cellStyle name="Percent [2] 2 3 4" xfId="243"/>
    <cellStyle name="Percent [2] 2 3 4 2" xfId="1027"/>
    <cellStyle name="Percent [2] 2 3 5" xfId="1024"/>
    <cellStyle name="Percent [2] 2 4" xfId="1022"/>
    <cellStyle name="Percent [2] 3" xfId="244"/>
    <cellStyle name="Percent [2] 3 2" xfId="245"/>
    <cellStyle name="Percent [2] 3 2 2" xfId="1029"/>
    <cellStyle name="Percent [2] 3 3" xfId="1028"/>
    <cellStyle name="Percent [2] 4" xfId="246"/>
    <cellStyle name="Percent [2] 4 2" xfId="1030"/>
    <cellStyle name="Percent [2] 5" xfId="247"/>
    <cellStyle name="Percent [2] 5 2" xfId="248"/>
    <cellStyle name="Percent [2] 5 2 2" xfId="1032"/>
    <cellStyle name="Percent [2] 5 3" xfId="249"/>
    <cellStyle name="Percent [2] 5 3 2" xfId="1033"/>
    <cellStyle name="Percent [2] 5 4" xfId="250"/>
    <cellStyle name="Percent [2] 5 4 2" xfId="1034"/>
    <cellStyle name="Percent [2] 5 5" xfId="1031"/>
    <cellStyle name="Percent [2] 6" xfId="251"/>
    <cellStyle name="Percent [2] 6 2" xfId="252"/>
    <cellStyle name="Percent [2] 6 2 2" xfId="1036"/>
    <cellStyle name="Percent [2] 6 3" xfId="1035"/>
    <cellStyle name="Percent [2] 7" xfId="253"/>
    <cellStyle name="Percent [2] 7 2" xfId="1037"/>
    <cellStyle name="Percent [2] 7 3" xfId="39512"/>
    <cellStyle name="Percent [2] 8" xfId="254"/>
    <cellStyle name="Percent [2] 8 2" xfId="1038"/>
    <cellStyle name="Percent [2] 8 3" xfId="39513"/>
    <cellStyle name="Percent [2] 9" xfId="255"/>
    <cellStyle name="Percent [2] 9 2" xfId="1039"/>
    <cellStyle name="Percent 10" xfId="256"/>
    <cellStyle name="Percent 10 2" xfId="257"/>
    <cellStyle name="Percent 10 2 2" xfId="1041"/>
    <cellStyle name="Percent 10 3" xfId="258"/>
    <cellStyle name="Percent 10 3 2" xfId="1042"/>
    <cellStyle name="Percent 10 4" xfId="259"/>
    <cellStyle name="Percent 10 4 2" xfId="1043"/>
    <cellStyle name="Percent 10 5" xfId="1040"/>
    <cellStyle name="Percent 11" xfId="260"/>
    <cellStyle name="Percent 11 2" xfId="261"/>
    <cellStyle name="Percent 11 2 2" xfId="1045"/>
    <cellStyle name="Percent 11 3" xfId="262"/>
    <cellStyle name="Percent 11 3 2" xfId="1046"/>
    <cellStyle name="Percent 11 4" xfId="263"/>
    <cellStyle name="Percent 11 4 2" xfId="1047"/>
    <cellStyle name="Percent 11 5" xfId="1044"/>
    <cellStyle name="Percent 12" xfId="264"/>
    <cellStyle name="Percent 12 2" xfId="265"/>
    <cellStyle name="Percent 12 2 2" xfId="1049"/>
    <cellStyle name="Percent 12 3" xfId="266"/>
    <cellStyle name="Percent 12 3 2" xfId="1050"/>
    <cellStyle name="Percent 12 4" xfId="267"/>
    <cellStyle name="Percent 12 4 2" xfId="1051"/>
    <cellStyle name="Percent 12 5" xfId="1048"/>
    <cellStyle name="Percent 13" xfId="268"/>
    <cellStyle name="Percent 13 2" xfId="269"/>
    <cellStyle name="Percent 13 2 2" xfId="1053"/>
    <cellStyle name="Percent 13 3" xfId="270"/>
    <cellStyle name="Percent 13 3 2" xfId="1054"/>
    <cellStyle name="Percent 13 4" xfId="271"/>
    <cellStyle name="Percent 13 4 2" xfId="1055"/>
    <cellStyle name="Percent 13 5" xfId="1052"/>
    <cellStyle name="Percent 14" xfId="272"/>
    <cellStyle name="Percent 14 2" xfId="273"/>
    <cellStyle name="Percent 14 2 2" xfId="1057"/>
    <cellStyle name="Percent 14 3" xfId="274"/>
    <cellStyle name="Percent 14 3 2" xfId="1058"/>
    <cellStyle name="Percent 14 4" xfId="275"/>
    <cellStyle name="Percent 14 4 2" xfId="1059"/>
    <cellStyle name="Percent 14 5" xfId="1056"/>
    <cellStyle name="Percent 15" xfId="276"/>
    <cellStyle name="Percent 15 2" xfId="277"/>
    <cellStyle name="Percent 15 2 2" xfId="1061"/>
    <cellStyle name="Percent 15 3" xfId="278"/>
    <cellStyle name="Percent 15 3 2" xfId="1062"/>
    <cellStyle name="Percent 15 4" xfId="279"/>
    <cellStyle name="Percent 15 4 2" xfId="1063"/>
    <cellStyle name="Percent 15 5" xfId="1060"/>
    <cellStyle name="Percent 16" xfId="280"/>
    <cellStyle name="Percent 16 2" xfId="281"/>
    <cellStyle name="Percent 16 2 2" xfId="1065"/>
    <cellStyle name="Percent 16 3" xfId="282"/>
    <cellStyle name="Percent 16 3 2" xfId="1066"/>
    <cellStyle name="Percent 16 4" xfId="283"/>
    <cellStyle name="Percent 16 4 2" xfId="1067"/>
    <cellStyle name="Percent 16 5" xfId="1064"/>
    <cellStyle name="Percent 17" xfId="284"/>
    <cellStyle name="Percent 17 2" xfId="285"/>
    <cellStyle name="Percent 17 2 2" xfId="1069"/>
    <cellStyle name="Percent 17 3" xfId="286"/>
    <cellStyle name="Percent 17 3 2" xfId="1070"/>
    <cellStyle name="Percent 17 4" xfId="287"/>
    <cellStyle name="Percent 17 4 2" xfId="1071"/>
    <cellStyle name="Percent 17 5" xfId="1068"/>
    <cellStyle name="Percent 18" xfId="288"/>
    <cellStyle name="Percent 18 2" xfId="289"/>
    <cellStyle name="Percent 18 2 2" xfId="1073"/>
    <cellStyle name="Percent 18 3" xfId="290"/>
    <cellStyle name="Percent 18 3 2" xfId="1074"/>
    <cellStyle name="Percent 18 4" xfId="291"/>
    <cellStyle name="Percent 18 4 2" xfId="1075"/>
    <cellStyle name="Percent 18 5" xfId="1072"/>
    <cellStyle name="Percent 19" xfId="292"/>
    <cellStyle name="Percent 19 2" xfId="293"/>
    <cellStyle name="Percent 19 2 2" xfId="1077"/>
    <cellStyle name="Percent 19 3" xfId="294"/>
    <cellStyle name="Percent 19 3 2" xfId="1078"/>
    <cellStyle name="Percent 19 4" xfId="295"/>
    <cellStyle name="Percent 19 4 2" xfId="1079"/>
    <cellStyle name="Percent 19 5" xfId="1076"/>
    <cellStyle name="Percent 2" xfId="296"/>
    <cellStyle name="Percent 2 2" xfId="297"/>
    <cellStyle name="Percent 2 2 2" xfId="298"/>
    <cellStyle name="Percent 2 2 2 2" xfId="1081"/>
    <cellStyle name="Percent 2 2 3" xfId="39514"/>
    <cellStyle name="Percent 2 3" xfId="299"/>
    <cellStyle name="Percent 2 3 2" xfId="300"/>
    <cellStyle name="Percent 2 3 2 2" xfId="1083"/>
    <cellStyle name="Percent 2 3 3" xfId="301"/>
    <cellStyle name="Percent 2 3 3 2" xfId="1084"/>
    <cellStyle name="Percent 2 3 4" xfId="302"/>
    <cellStyle name="Percent 2 3 4 2" xfId="1085"/>
    <cellStyle name="Percent 2 3 5" xfId="1082"/>
    <cellStyle name="Percent 2 4" xfId="303"/>
    <cellStyle name="Percent 2 4 2" xfId="1086"/>
    <cellStyle name="Percent 2 5" xfId="1080"/>
    <cellStyle name="Percent 2 6" xfId="3691"/>
    <cellStyle name="Percent 2 6 2" xfId="39480"/>
    <cellStyle name="Percent 2 7" xfId="39281"/>
    <cellStyle name="Percent 2 7 2" xfId="39499"/>
    <cellStyle name="Percent 20" xfId="304"/>
    <cellStyle name="Percent 20 2" xfId="305"/>
    <cellStyle name="Percent 20 2 2" xfId="1088"/>
    <cellStyle name="Percent 20 3" xfId="1087"/>
    <cellStyle name="Percent 21" xfId="306"/>
    <cellStyle name="Percent 21 2" xfId="307"/>
    <cellStyle name="Percent 21 2 2" xfId="1090"/>
    <cellStyle name="Percent 21 3" xfId="1089"/>
    <cellStyle name="Percent 22" xfId="308"/>
    <cellStyle name="Percent 22 2" xfId="309"/>
    <cellStyle name="Percent 22 2 2" xfId="1092"/>
    <cellStyle name="Percent 22 3" xfId="1091"/>
    <cellStyle name="Percent 23" xfId="310"/>
    <cellStyle name="Percent 23 2" xfId="1093"/>
    <cellStyle name="Percent 23 3" xfId="39515"/>
    <cellStyle name="Percent 24" xfId="311"/>
    <cellStyle name="Percent 24 2" xfId="1094"/>
    <cellStyle name="Percent 24 3" xfId="39516"/>
    <cellStyle name="Percent 25" xfId="312"/>
    <cellStyle name="Percent 25 2" xfId="1095"/>
    <cellStyle name="Percent 25 3" xfId="39517"/>
    <cellStyle name="Percent 26" xfId="313"/>
    <cellStyle name="Percent 26 2" xfId="1096"/>
    <cellStyle name="Percent 26 3" xfId="39518"/>
    <cellStyle name="Percent 27" xfId="314"/>
    <cellStyle name="Percent 27 2" xfId="1097"/>
    <cellStyle name="Percent 27 3" xfId="39519"/>
    <cellStyle name="Percent 28" xfId="315"/>
    <cellStyle name="Percent 28 2" xfId="1098"/>
    <cellStyle name="Percent 28 3" xfId="39520"/>
    <cellStyle name="Percent 29" xfId="316"/>
    <cellStyle name="Percent 29 2" xfId="1099"/>
    <cellStyle name="Percent 29 3" xfId="39521"/>
    <cellStyle name="Percent 3" xfId="317"/>
    <cellStyle name="Percent 3 2" xfId="318"/>
    <cellStyle name="Percent 3 2 2" xfId="1101"/>
    <cellStyle name="Percent 3 3" xfId="1100"/>
    <cellStyle name="Percent 3 4" xfId="3692"/>
    <cellStyle name="Percent 3 4 2" xfId="39481"/>
    <cellStyle name="Percent 3 5" xfId="39500"/>
    <cellStyle name="Percent 30" xfId="319"/>
    <cellStyle name="Percent 30 2" xfId="1102"/>
    <cellStyle name="Percent 31" xfId="320"/>
    <cellStyle name="Percent 31 2" xfId="1103"/>
    <cellStyle name="Percent 32" xfId="321"/>
    <cellStyle name="Percent 32 2" xfId="1104"/>
    <cellStyle name="Percent 33" xfId="322"/>
    <cellStyle name="Percent 33 2" xfId="1105"/>
    <cellStyle name="Percent 34" xfId="323"/>
    <cellStyle name="Percent 34 2" xfId="1106"/>
    <cellStyle name="Percent 35" xfId="324"/>
    <cellStyle name="Percent 35 2" xfId="1107"/>
    <cellStyle name="Percent 36" xfId="325"/>
    <cellStyle name="Percent 36 2" xfId="1108"/>
    <cellStyle name="Percent 37" xfId="326"/>
    <cellStyle name="Percent 37 2" xfId="1109"/>
    <cellStyle name="Percent 38" xfId="327"/>
    <cellStyle name="Percent 38 2" xfId="1110"/>
    <cellStyle name="Percent 39" xfId="328"/>
    <cellStyle name="Percent 39 2" xfId="1111"/>
    <cellStyle name="Percent 4" xfId="329"/>
    <cellStyle name="Percent 4 2" xfId="330"/>
    <cellStyle name="Percent 4 2 2" xfId="1113"/>
    <cellStyle name="Percent 4 3" xfId="331"/>
    <cellStyle name="Percent 4 3 2" xfId="1114"/>
    <cellStyle name="Percent 4 4" xfId="332"/>
    <cellStyle name="Percent 4 4 2" xfId="1115"/>
    <cellStyle name="Percent 4 5" xfId="1112"/>
    <cellStyle name="Percent 40" xfId="333"/>
    <cellStyle name="Percent 40 2" xfId="1116"/>
    <cellStyle name="Percent 40 3" xfId="39522"/>
    <cellStyle name="Percent 41" xfId="334"/>
    <cellStyle name="Percent 41 2" xfId="1117"/>
    <cellStyle name="Percent 41 3" xfId="39523"/>
    <cellStyle name="Percent 42" xfId="335"/>
    <cellStyle name="Percent 42 2" xfId="1118"/>
    <cellStyle name="Percent 42 3" xfId="39524"/>
    <cellStyle name="Percent 43" xfId="336"/>
    <cellStyle name="Percent 43 2" xfId="1119"/>
    <cellStyle name="Percent 43 3" xfId="39525"/>
    <cellStyle name="Percent 44" xfId="337"/>
    <cellStyle name="Percent 44 2" xfId="1120"/>
    <cellStyle name="Percent 44 3" xfId="39526"/>
    <cellStyle name="Percent 45" xfId="338"/>
    <cellStyle name="Percent 45 2" xfId="1121"/>
    <cellStyle name="Percent 45 3" xfId="39527"/>
    <cellStyle name="Percent 46" xfId="339"/>
    <cellStyle name="Percent 46 2" xfId="1122"/>
    <cellStyle name="Percent 46 3" xfId="39528"/>
    <cellStyle name="Percent 47" xfId="340"/>
    <cellStyle name="Percent 47 2" xfId="1123"/>
    <cellStyle name="Percent 47 3" xfId="39529"/>
    <cellStyle name="Percent 48" xfId="341"/>
    <cellStyle name="Percent 48 2" xfId="1124"/>
    <cellStyle name="Percent 48 3" xfId="39530"/>
    <cellStyle name="Percent 49" xfId="342"/>
    <cellStyle name="Percent 49 2" xfId="1125"/>
    <cellStyle name="Percent 49 3" xfId="39531"/>
    <cellStyle name="Percent 5" xfId="343"/>
    <cellStyle name="Percent 5 2" xfId="344"/>
    <cellStyle name="Percent 5 2 2" xfId="1127"/>
    <cellStyle name="Percent 5 3" xfId="345"/>
    <cellStyle name="Percent 5 3 2" xfId="1128"/>
    <cellStyle name="Percent 5 4" xfId="346"/>
    <cellStyle name="Percent 5 4 2" xfId="1129"/>
    <cellStyle name="Percent 5 5" xfId="1126"/>
    <cellStyle name="Percent 50" xfId="347"/>
    <cellStyle name="Percent 50 2" xfId="1130"/>
    <cellStyle name="Percent 50 3" xfId="39532"/>
    <cellStyle name="Percent 51" xfId="348"/>
    <cellStyle name="Percent 51 2" xfId="1131"/>
    <cellStyle name="Percent 51 3" xfId="39533"/>
    <cellStyle name="Percent 52" xfId="349"/>
    <cellStyle name="Percent 52 2" xfId="1132"/>
    <cellStyle name="Percent 52 3" xfId="39534"/>
    <cellStyle name="Percent 53" xfId="350"/>
    <cellStyle name="Percent 53 2" xfId="1133"/>
    <cellStyle name="Percent 53 3" xfId="39535"/>
    <cellStyle name="Percent 54" xfId="351"/>
    <cellStyle name="Percent 54 2" xfId="1134"/>
    <cellStyle name="Percent 54 3" xfId="39536"/>
    <cellStyle name="Percent 55" xfId="352"/>
    <cellStyle name="Percent 55 2" xfId="1135"/>
    <cellStyle name="Percent 55 3" xfId="39537"/>
    <cellStyle name="Percent 56" xfId="353"/>
    <cellStyle name="Percent 56 2" xfId="1136"/>
    <cellStyle name="Percent 57" xfId="354"/>
    <cellStyle name="Percent 57 2" xfId="1137"/>
    <cellStyle name="Percent 58" xfId="355"/>
    <cellStyle name="Percent 58 2" xfId="1138"/>
    <cellStyle name="Percent 59" xfId="356"/>
    <cellStyle name="Percent 59 2" xfId="1139"/>
    <cellStyle name="Percent 6" xfId="357"/>
    <cellStyle name="Percent 6 2" xfId="358"/>
    <cellStyle name="Percent 6 2 2" xfId="1141"/>
    <cellStyle name="Percent 6 3" xfId="359"/>
    <cellStyle name="Percent 6 3 2" xfId="1142"/>
    <cellStyle name="Percent 6 4" xfId="360"/>
    <cellStyle name="Percent 6 4 2" xfId="1143"/>
    <cellStyle name="Percent 6 5" xfId="1140"/>
    <cellStyle name="Percent 60" xfId="361"/>
    <cellStyle name="Percent 60 2" xfId="1144"/>
    <cellStyle name="Percent 61" xfId="1394"/>
    <cellStyle name="Percent 62" xfId="1986"/>
    <cellStyle name="Percent 63" xfId="759"/>
    <cellStyle name="Percent 64" xfId="2088"/>
    <cellStyle name="Percent 65" xfId="2083"/>
    <cellStyle name="Percent 66" xfId="2084"/>
    <cellStyle name="Percent 67" xfId="2089"/>
    <cellStyle name="Percent 68" xfId="2085"/>
    <cellStyle name="Percent 69" xfId="2095"/>
    <cellStyle name="Percent 7" xfId="362"/>
    <cellStyle name="Percent 7 2" xfId="363"/>
    <cellStyle name="Percent 7 2 2" xfId="1146"/>
    <cellStyle name="Percent 7 3" xfId="364"/>
    <cellStyle name="Percent 7 3 2" xfId="1147"/>
    <cellStyle name="Percent 7 4" xfId="365"/>
    <cellStyle name="Percent 7 4 2" xfId="1148"/>
    <cellStyle name="Percent 7 5" xfId="1145"/>
    <cellStyle name="Percent 70" xfId="2096"/>
    <cellStyle name="Percent 71" xfId="39452"/>
    <cellStyle name="Percent 72" xfId="39453"/>
    <cellStyle name="Percent 73" xfId="39454"/>
    <cellStyle name="Percent 74" xfId="39455"/>
    <cellStyle name="Percent 75" xfId="39456"/>
    <cellStyle name="Percent 76" xfId="39457"/>
    <cellStyle name="Percent 77" xfId="39432"/>
    <cellStyle name="Percent 78" xfId="39458"/>
    <cellStyle name="Percent 79" xfId="39763"/>
    <cellStyle name="Percent 8" xfId="366"/>
    <cellStyle name="Percent 8 2" xfId="367"/>
    <cellStyle name="Percent 8 2 2" xfId="1150"/>
    <cellStyle name="Percent 8 3" xfId="368"/>
    <cellStyle name="Percent 8 3 2" xfId="1151"/>
    <cellStyle name="Percent 8 4" xfId="369"/>
    <cellStyle name="Percent 8 4 2" xfId="1152"/>
    <cellStyle name="Percent 8 5" xfId="1149"/>
    <cellStyle name="Percent 9" xfId="370"/>
    <cellStyle name="Percent 9 2" xfId="371"/>
    <cellStyle name="Percent 9 2 2" xfId="1154"/>
    <cellStyle name="Percent 9 3" xfId="372"/>
    <cellStyle name="Percent 9 3 2" xfId="1155"/>
    <cellStyle name="Percent 9 4" xfId="373"/>
    <cellStyle name="Percent 9 4 2" xfId="1156"/>
    <cellStyle name="Percent 9 5" xfId="1153"/>
    <cellStyle name="PSChar" xfId="374"/>
    <cellStyle name="PSChar 2" xfId="375"/>
    <cellStyle name="PSDate" xfId="376"/>
    <cellStyle name="PSDate 2" xfId="377"/>
    <cellStyle name="PSDec" xfId="378"/>
    <cellStyle name="PSDec 2" xfId="379"/>
    <cellStyle name="PSHeading" xfId="380"/>
    <cellStyle name="PSHeading 2" xfId="381"/>
    <cellStyle name="SAPBEXaggData" xfId="382"/>
    <cellStyle name="SAPBEXaggData 2" xfId="383"/>
    <cellStyle name="SAPBEXaggData 2 2" xfId="384"/>
    <cellStyle name="SAPBEXaggData 2 2 2" xfId="385"/>
    <cellStyle name="SAPBEXaggData 2 2 3" xfId="39538"/>
    <cellStyle name="SAPBEXaggData 2 3" xfId="386"/>
    <cellStyle name="SAPBEXaggData 3" xfId="779"/>
    <cellStyle name="SAPBEXaggData 3 2" xfId="39807"/>
    <cellStyle name="SAPBEXaggDataEmph" xfId="387"/>
    <cellStyle name="SAPBEXaggDataEmph 2" xfId="780"/>
    <cellStyle name="SAPBEXaggItem" xfId="388"/>
    <cellStyle name="SAPBEXaggItem 2" xfId="389"/>
    <cellStyle name="SAPBEXaggItem 2 2" xfId="390"/>
    <cellStyle name="SAPBEXaggItem 2 2 2" xfId="391"/>
    <cellStyle name="SAPBEXaggItem 2 2 3" xfId="39539"/>
    <cellStyle name="SAPBEXaggItem 2 3" xfId="392"/>
    <cellStyle name="SAPBEXaggItem 3" xfId="781"/>
    <cellStyle name="SAPBEXaggItem 3 2" xfId="39808"/>
    <cellStyle name="SAPBEXaggItem_eFINAL DIMAGGIO MOS 3T(Feb 2011 forward)" xfId="393"/>
    <cellStyle name="SAPBEXaggItemX" xfId="394"/>
    <cellStyle name="SAPBEXaggItemX 2" xfId="395"/>
    <cellStyle name="SAPBEXaggItemX 3" xfId="396"/>
    <cellStyle name="SAPBEXaggItemX 4" xfId="782"/>
    <cellStyle name="SAPBEXaggItemX_Input" xfId="1544"/>
    <cellStyle name="SAPBEXchaText" xfId="397"/>
    <cellStyle name="SAPBEXchaText 2" xfId="398"/>
    <cellStyle name="SAPBEXchaText 2 2" xfId="399"/>
    <cellStyle name="SAPBEXchaText 2 2 2" xfId="400"/>
    <cellStyle name="SAPBEXchaText 2 2 3" xfId="39540"/>
    <cellStyle name="SAPBEXchaText 2 3" xfId="401"/>
    <cellStyle name="SAPBEXchaText 3" xfId="783"/>
    <cellStyle name="SAPBEXchaText 3 2" xfId="39809"/>
    <cellStyle name="SAPBEXchaText_eFINAL DIMAGGIO MOS 3T(Feb 2011 forward)" xfId="402"/>
    <cellStyle name="SAPBEXexcBad7" xfId="403"/>
    <cellStyle name="SAPBEXexcBad7 2" xfId="404"/>
    <cellStyle name="SAPBEXexcBad7 3" xfId="405"/>
    <cellStyle name="SAPBEXexcBad7 4" xfId="784"/>
    <cellStyle name="SAPBEXexcBad7_Input" xfId="1545"/>
    <cellStyle name="SAPBEXexcBad8" xfId="406"/>
    <cellStyle name="SAPBEXexcBad8 2" xfId="407"/>
    <cellStyle name="SAPBEXexcBad8 3" xfId="408"/>
    <cellStyle name="SAPBEXexcBad8 4" xfId="785"/>
    <cellStyle name="SAPBEXexcBad8_Input" xfId="1546"/>
    <cellStyle name="SAPBEXexcBad9" xfId="409"/>
    <cellStyle name="SAPBEXexcBad9 2" xfId="410"/>
    <cellStyle name="SAPBEXexcBad9 3" xfId="411"/>
    <cellStyle name="SAPBEXexcBad9 4" xfId="786"/>
    <cellStyle name="SAPBEXexcBad9_Input" xfId="1547"/>
    <cellStyle name="SAPBEXexcCritical4" xfId="412"/>
    <cellStyle name="SAPBEXexcCritical4 2" xfId="413"/>
    <cellStyle name="SAPBEXexcCritical4 3" xfId="414"/>
    <cellStyle name="SAPBEXexcCritical4 4" xfId="787"/>
    <cellStyle name="SAPBEXexcCritical4_Input" xfId="1548"/>
    <cellStyle name="SAPBEXexcCritical5" xfId="415"/>
    <cellStyle name="SAPBEXexcCritical5 2" xfId="416"/>
    <cellStyle name="SAPBEXexcCritical5 3" xfId="417"/>
    <cellStyle name="SAPBEXexcCritical5 4" xfId="788"/>
    <cellStyle name="SAPBEXexcCritical5_Input" xfId="1549"/>
    <cellStyle name="SAPBEXexcCritical6" xfId="418"/>
    <cellStyle name="SAPBEXexcCritical6 2" xfId="419"/>
    <cellStyle name="SAPBEXexcCritical6 3" xfId="420"/>
    <cellStyle name="SAPBEXexcCritical6 4" xfId="789"/>
    <cellStyle name="SAPBEXexcCritical6_Input" xfId="1550"/>
    <cellStyle name="SAPBEXexcGood1" xfId="421"/>
    <cellStyle name="SAPBEXexcGood1 2" xfId="422"/>
    <cellStyle name="SAPBEXexcGood1 3" xfId="423"/>
    <cellStyle name="SAPBEXexcGood1 4" xfId="790"/>
    <cellStyle name="SAPBEXexcGood1_Input" xfId="1551"/>
    <cellStyle name="SAPBEXexcGood2" xfId="424"/>
    <cellStyle name="SAPBEXexcGood2 2" xfId="425"/>
    <cellStyle name="SAPBEXexcGood2 3" xfId="426"/>
    <cellStyle name="SAPBEXexcGood2 4" xfId="791"/>
    <cellStyle name="SAPBEXexcGood2_Input" xfId="1552"/>
    <cellStyle name="SAPBEXexcGood3" xfId="427"/>
    <cellStyle name="SAPBEXexcGood3 2" xfId="428"/>
    <cellStyle name="SAPBEXexcGood3 3" xfId="429"/>
    <cellStyle name="SAPBEXexcGood3 4" xfId="792"/>
    <cellStyle name="SAPBEXexcGood3_Input" xfId="1553"/>
    <cellStyle name="SAPBEXfilterDrill" xfId="430"/>
    <cellStyle name="SAPBEXfilterDrill 2" xfId="431"/>
    <cellStyle name="SAPBEXfilterDrill 2 2" xfId="432"/>
    <cellStyle name="SAPBEXfilterDrill 2 2 2" xfId="433"/>
    <cellStyle name="SAPBEXfilterDrill 2 2 3" xfId="39541"/>
    <cellStyle name="SAPBEXfilterDrill 2 3" xfId="434"/>
    <cellStyle name="SAPBEXfilterDrill 3" xfId="793"/>
    <cellStyle name="SAPBEXfilterDrill 3 2" xfId="39810"/>
    <cellStyle name="SAPBEXfilterItem" xfId="435"/>
    <cellStyle name="SAPBEXfilterItem 2" xfId="436"/>
    <cellStyle name="SAPBEXfilterItem 2 2" xfId="437"/>
    <cellStyle name="SAPBEXfilterItem 2 2 2" xfId="438"/>
    <cellStyle name="SAPBEXfilterItem 2 2 3" xfId="39542"/>
    <cellStyle name="SAPBEXfilterItem 2 3" xfId="439"/>
    <cellStyle name="SAPBEXfilterItem 3" xfId="794"/>
    <cellStyle name="SAPBEXfilterItem 3 2" xfId="39811"/>
    <cellStyle name="SAPBEXfilterText" xfId="440"/>
    <cellStyle name="SAPBEXfilterText 10" xfId="1855"/>
    <cellStyle name="SAPBEXfilterText 10 2" xfId="39543"/>
    <cellStyle name="SAPBEXfilterText 10 3" xfId="39307"/>
    <cellStyle name="SAPBEXfilterText 11" xfId="2043"/>
    <cellStyle name="SAPBEXfilterText 11 2" xfId="39544"/>
    <cellStyle name="SAPBEXfilterText 12" xfId="2044"/>
    <cellStyle name="SAPBEXfilterText 12 2" xfId="39545"/>
    <cellStyle name="SAPBEXfilterText 13" xfId="2045"/>
    <cellStyle name="SAPBEXfilterText 13 2" xfId="39546"/>
    <cellStyle name="SAPBEXfilterText 14" xfId="2046"/>
    <cellStyle name="SAPBEXfilterText 14 2" xfId="39547"/>
    <cellStyle name="SAPBEXfilterText 15" xfId="2047"/>
    <cellStyle name="SAPBEXfilterText 15 2" xfId="39548"/>
    <cellStyle name="SAPBEXfilterText 16" xfId="2048"/>
    <cellStyle name="SAPBEXfilterText 16 2" xfId="39549"/>
    <cellStyle name="SAPBEXfilterText 17" xfId="2049"/>
    <cellStyle name="SAPBEXfilterText 17 2" xfId="39550"/>
    <cellStyle name="SAPBEXfilterText 18" xfId="2050"/>
    <cellStyle name="SAPBEXfilterText 18 2" xfId="39551"/>
    <cellStyle name="SAPBEXfilterText 19" xfId="39459"/>
    <cellStyle name="SAPBEXfilterText 2" xfId="441"/>
    <cellStyle name="SAPBEXfilterText 2 2" xfId="442"/>
    <cellStyle name="SAPBEXfilterText 2 3" xfId="443"/>
    <cellStyle name="SAPBEXfilterText 2_Input" xfId="1554"/>
    <cellStyle name="SAPBEXfilterText 3" xfId="444"/>
    <cellStyle name="SAPBEXfilterText 3 2" xfId="445"/>
    <cellStyle name="SAPBEXfilterText 3 3" xfId="446"/>
    <cellStyle name="SAPBEXfilterText 3 3 2" xfId="447"/>
    <cellStyle name="SAPBEXfilterText 3 3 3" xfId="448"/>
    <cellStyle name="SAPBEXfilterText 3 3 4" xfId="449"/>
    <cellStyle name="SAPBEXfilterText 4" xfId="450"/>
    <cellStyle name="SAPBEXfilterText 4 2" xfId="39552"/>
    <cellStyle name="SAPBEXfilterText 5" xfId="451"/>
    <cellStyle name="SAPBEXfilterText 5 2" xfId="1159"/>
    <cellStyle name="SAPBEXfilterText 5 3" xfId="39553"/>
    <cellStyle name="SAPBEXfilterText 5_Input" xfId="1555"/>
    <cellStyle name="SAPBEXfilterText 6" xfId="795"/>
    <cellStyle name="SAPBEXfilterText 6 2" xfId="39554"/>
    <cellStyle name="SAPBEXfilterText 6 3" xfId="39308"/>
    <cellStyle name="SAPBEXfilterText 7" xfId="1804"/>
    <cellStyle name="SAPBEXfilterText 7 2" xfId="39555"/>
    <cellStyle name="SAPBEXfilterText 7 3" xfId="39309"/>
    <cellStyle name="SAPBEXfilterText 8" xfId="1796"/>
    <cellStyle name="SAPBEXfilterText 8 2" xfId="39556"/>
    <cellStyle name="SAPBEXfilterText 8 3" xfId="39310"/>
    <cellStyle name="SAPBEXfilterText 9" xfId="1825"/>
    <cellStyle name="SAPBEXfilterText 9 2" xfId="39557"/>
    <cellStyle name="SAPBEXfilterText 9 3" xfId="39311"/>
    <cellStyle name="SAPBEXformats" xfId="452"/>
    <cellStyle name="SAPBEXformats 10" xfId="453"/>
    <cellStyle name="SAPBEXformats 10 2" xfId="1160"/>
    <cellStyle name="SAPBEXformats 10 3" xfId="39558"/>
    <cellStyle name="SAPBEXformats 10_Input" xfId="1556"/>
    <cellStyle name="SAPBEXformats 11" xfId="454"/>
    <cellStyle name="SAPBEXformats 11 2" xfId="1161"/>
    <cellStyle name="SAPBEXformats 11 3" xfId="39559"/>
    <cellStyle name="SAPBEXformats 11_Input" xfId="1557"/>
    <cellStyle name="SAPBEXformats 12" xfId="796"/>
    <cellStyle name="SAPBEXformats 12 2" xfId="39560"/>
    <cellStyle name="SAPBEXformats 12 3" xfId="39312"/>
    <cellStyle name="SAPBEXformats 13" xfId="1805"/>
    <cellStyle name="SAPBEXformats 13 2" xfId="39561"/>
    <cellStyle name="SAPBEXformats 13 3" xfId="39313"/>
    <cellStyle name="SAPBEXformats 14" xfId="1795"/>
    <cellStyle name="SAPBEXformats 14 2" xfId="39562"/>
    <cellStyle name="SAPBEXformats 14 3" xfId="39314"/>
    <cellStyle name="SAPBEXformats 15" xfId="1826"/>
    <cellStyle name="SAPBEXformats 15 2" xfId="39563"/>
    <cellStyle name="SAPBEXformats 15 3" xfId="39315"/>
    <cellStyle name="SAPBEXformats 16" xfId="1856"/>
    <cellStyle name="SAPBEXformats 16 2" xfId="39564"/>
    <cellStyle name="SAPBEXformats 16 3" xfId="39316"/>
    <cellStyle name="SAPBEXformats 17" xfId="1840"/>
    <cellStyle name="SAPBEXformats 17 2" xfId="39565"/>
    <cellStyle name="SAPBEXformats 17 3" xfId="39317"/>
    <cellStyle name="SAPBEXformats 18" xfId="1891"/>
    <cellStyle name="SAPBEXformats 18 2" xfId="39566"/>
    <cellStyle name="SAPBEXformats 18 3" xfId="39318"/>
    <cellStyle name="SAPBEXformats 19" xfId="1899"/>
    <cellStyle name="SAPBEXformats 19 2" xfId="39567"/>
    <cellStyle name="SAPBEXformats 19 3" xfId="39319"/>
    <cellStyle name="SAPBEXformats 2" xfId="455"/>
    <cellStyle name="SAPBEXformats 2 2" xfId="456"/>
    <cellStyle name="SAPBEXformats 2 2 2" xfId="1163"/>
    <cellStyle name="SAPBEXformats 2 2_Input" xfId="1559"/>
    <cellStyle name="SAPBEXformats 2 3" xfId="457"/>
    <cellStyle name="SAPBEXformats 2 3 2" xfId="1164"/>
    <cellStyle name="SAPBEXformats 2 3_Input" xfId="1560"/>
    <cellStyle name="SAPBEXformats 2 4" xfId="1162"/>
    <cellStyle name="SAPBEXformats 2_Input" xfId="1558"/>
    <cellStyle name="SAPBEXformats 20" xfId="1902"/>
    <cellStyle name="SAPBEXformats 20 2" xfId="39568"/>
    <cellStyle name="SAPBEXformats 20 3" xfId="39320"/>
    <cellStyle name="SAPBEXformats 21" xfId="1919"/>
    <cellStyle name="SAPBEXformats 21 2" xfId="39569"/>
    <cellStyle name="SAPBEXformats 21 3" xfId="39321"/>
    <cellStyle name="SAPBEXformats 22" xfId="1913"/>
    <cellStyle name="SAPBEXformats 22 2" xfId="39570"/>
    <cellStyle name="SAPBEXformats 22 3" xfId="39322"/>
    <cellStyle name="SAPBEXformats 23" xfId="2051"/>
    <cellStyle name="SAPBEXformats 23 2" xfId="39571"/>
    <cellStyle name="SAPBEXformats 24" xfId="39460"/>
    <cellStyle name="SAPBEXformats 25" xfId="39482"/>
    <cellStyle name="SAPBEXformats 3" xfId="458"/>
    <cellStyle name="SAPBEXformats 3 2" xfId="459"/>
    <cellStyle name="SAPBEXformats 3 2 2" xfId="1166"/>
    <cellStyle name="SAPBEXformats 3 2_Input" xfId="1562"/>
    <cellStyle name="SAPBEXformats 3 3" xfId="460"/>
    <cellStyle name="SAPBEXformats 3 3 2" xfId="461"/>
    <cellStyle name="SAPBEXformats 3 3 2 2" xfId="1168"/>
    <cellStyle name="SAPBEXformats 3 3 2_Input" xfId="1564"/>
    <cellStyle name="SAPBEXformats 3 3 3" xfId="462"/>
    <cellStyle name="SAPBEXformats 3 3 3 2" xfId="1169"/>
    <cellStyle name="SAPBEXformats 3 3 3_Input" xfId="1565"/>
    <cellStyle name="SAPBEXformats 3 3 4" xfId="463"/>
    <cellStyle name="SAPBEXformats 3 3 4 2" xfId="1170"/>
    <cellStyle name="SAPBEXformats 3 3 4_Input" xfId="1566"/>
    <cellStyle name="SAPBEXformats 3 3 5" xfId="1167"/>
    <cellStyle name="SAPBEXformats 3 3_Input" xfId="1563"/>
    <cellStyle name="SAPBEXformats 3 4" xfId="464"/>
    <cellStyle name="SAPBEXformats 3 4 2" xfId="1171"/>
    <cellStyle name="SAPBEXformats 3 4_Input" xfId="1567"/>
    <cellStyle name="SAPBEXformats 3 5" xfId="1165"/>
    <cellStyle name="SAPBEXformats 3_Input" xfId="1561"/>
    <cellStyle name="SAPBEXformats 4" xfId="465"/>
    <cellStyle name="SAPBEXformats 4 2" xfId="466"/>
    <cellStyle name="SAPBEXformats 4 2 2" xfId="1173"/>
    <cellStyle name="SAPBEXformats 4 2_Input" xfId="1569"/>
    <cellStyle name="SAPBEXformats 4 3" xfId="1172"/>
    <cellStyle name="SAPBEXformats 4_Input" xfId="1568"/>
    <cellStyle name="SAPBEXformats 5" xfId="467"/>
    <cellStyle name="SAPBEXformats 5 2" xfId="468"/>
    <cellStyle name="SAPBEXformats 5 2 2" xfId="1175"/>
    <cellStyle name="SAPBEXformats 5 2_Input" xfId="1571"/>
    <cellStyle name="SAPBEXformats 5 3" xfId="469"/>
    <cellStyle name="SAPBEXformats 5 3 2" xfId="1176"/>
    <cellStyle name="SAPBEXformats 5 3_Input" xfId="1572"/>
    <cellStyle name="SAPBEXformats 5 4" xfId="470"/>
    <cellStyle name="SAPBEXformats 5 4 2" xfId="1177"/>
    <cellStyle name="SAPBEXformats 5 4_Input" xfId="1573"/>
    <cellStyle name="SAPBEXformats 5 5" xfId="1174"/>
    <cellStyle name="SAPBEXformats 5_Input" xfId="1570"/>
    <cellStyle name="SAPBEXformats 6" xfId="471"/>
    <cellStyle name="SAPBEXformats 6 2" xfId="472"/>
    <cellStyle name="SAPBEXformats 6 2 2" xfId="1179"/>
    <cellStyle name="SAPBEXformats 6 2_Input" xfId="1575"/>
    <cellStyle name="SAPBEXformats 6 3" xfId="1178"/>
    <cellStyle name="SAPBEXformats 6_Input" xfId="1574"/>
    <cellStyle name="SAPBEXformats 7" xfId="473"/>
    <cellStyle name="SAPBEXformats 7 2" xfId="1180"/>
    <cellStyle name="SAPBEXformats 7 3" xfId="39572"/>
    <cellStyle name="SAPBEXformats 7_Input" xfId="1576"/>
    <cellStyle name="SAPBEXformats 8" xfId="474"/>
    <cellStyle name="SAPBEXformats 8 2" xfId="1181"/>
    <cellStyle name="SAPBEXformats 8 3" xfId="39573"/>
    <cellStyle name="SAPBEXformats 8_Input" xfId="1577"/>
    <cellStyle name="SAPBEXformats 9" xfId="475"/>
    <cellStyle name="SAPBEXformats 9 2" xfId="1182"/>
    <cellStyle name="SAPBEXformats 9 3" xfId="39574"/>
    <cellStyle name="SAPBEXformats 9_Input" xfId="1578"/>
    <cellStyle name="SAPBEXheaderItem" xfId="476"/>
    <cellStyle name="SAPBEXheaderItem 10" xfId="1857"/>
    <cellStyle name="SAPBEXheaderItem 10 2" xfId="39575"/>
    <cellStyle name="SAPBEXheaderItem 10 3" xfId="39323"/>
    <cellStyle name="SAPBEXheaderItem 11" xfId="2052"/>
    <cellStyle name="SAPBEXheaderItem 11 2" xfId="39576"/>
    <cellStyle name="SAPBEXheaderItem 12" xfId="2053"/>
    <cellStyle name="SAPBEXheaderItem 12 2" xfId="39577"/>
    <cellStyle name="SAPBEXheaderItem 13" xfId="2054"/>
    <cellStyle name="SAPBEXheaderItem 13 2" xfId="39578"/>
    <cellStyle name="SAPBEXheaderItem 14" xfId="2055"/>
    <cellStyle name="SAPBEXheaderItem 14 2" xfId="39579"/>
    <cellStyle name="SAPBEXheaderItem 15" xfId="2056"/>
    <cellStyle name="SAPBEXheaderItem 15 2" xfId="39580"/>
    <cellStyle name="SAPBEXheaderItem 16" xfId="2057"/>
    <cellStyle name="SAPBEXheaderItem 16 2" xfId="39581"/>
    <cellStyle name="SAPBEXheaderItem 17" xfId="2058"/>
    <cellStyle name="SAPBEXheaderItem 17 2" xfId="39582"/>
    <cellStyle name="SAPBEXheaderItem 18" xfId="2059"/>
    <cellStyle name="SAPBEXheaderItem 18 2" xfId="39583"/>
    <cellStyle name="SAPBEXheaderItem 19" xfId="39461"/>
    <cellStyle name="SAPBEXheaderItem 19 2" xfId="39812"/>
    <cellStyle name="SAPBEXheaderItem 2" xfId="477"/>
    <cellStyle name="SAPBEXheaderItem 2 2" xfId="478"/>
    <cellStyle name="SAPBEXheaderItem 2 2 2" xfId="479"/>
    <cellStyle name="SAPBEXheaderItem 2 2 3" xfId="39584"/>
    <cellStyle name="SAPBEXheaderItem 2 3" xfId="480"/>
    <cellStyle name="SAPBEXheaderItem 2 4" xfId="481"/>
    <cellStyle name="SAPBEXheaderItem 2 5" xfId="482"/>
    <cellStyle name="SAPBEXheaderItem 2_Input" xfId="1579"/>
    <cellStyle name="SAPBEXheaderItem 3" xfId="483"/>
    <cellStyle name="SAPBEXheaderItem 3 2" xfId="484"/>
    <cellStyle name="SAPBEXheaderItem 3 3" xfId="485"/>
    <cellStyle name="SAPBEXheaderItem 3 3 2" xfId="486"/>
    <cellStyle name="SAPBEXheaderItem 3 3 3" xfId="487"/>
    <cellStyle name="SAPBEXheaderItem 3 3 4" xfId="488"/>
    <cellStyle name="SAPBEXheaderItem 4" xfId="489"/>
    <cellStyle name="SAPBEXheaderItem 4 2" xfId="39585"/>
    <cellStyle name="SAPBEXheaderItem 5" xfId="490"/>
    <cellStyle name="SAPBEXheaderItem 5 2" xfId="1183"/>
    <cellStyle name="SAPBEXheaderItem 5 3" xfId="39586"/>
    <cellStyle name="SAPBEXheaderItem 5_Input" xfId="1580"/>
    <cellStyle name="SAPBEXheaderItem 6" xfId="797"/>
    <cellStyle name="SAPBEXheaderItem 6 2" xfId="39587"/>
    <cellStyle name="SAPBEXheaderItem 6 3" xfId="39324"/>
    <cellStyle name="SAPBEXheaderItem 7" xfId="1806"/>
    <cellStyle name="SAPBEXheaderItem 7 2" xfId="39588"/>
    <cellStyle name="SAPBEXheaderItem 7 3" xfId="39325"/>
    <cellStyle name="SAPBEXheaderItem 8" xfId="1794"/>
    <cellStyle name="SAPBEXheaderItem 8 2" xfId="39589"/>
    <cellStyle name="SAPBEXheaderItem 8 3" xfId="39326"/>
    <cellStyle name="SAPBEXheaderItem 9" xfId="1827"/>
    <cellStyle name="SAPBEXheaderItem 9 2" xfId="39590"/>
    <cellStyle name="SAPBEXheaderItem 9 3" xfId="39327"/>
    <cellStyle name="SAPBEXheaderItem_eFINAL DIMAGGIO MOS 3T(Feb 2011 forward)" xfId="491"/>
    <cellStyle name="SAPBEXheaderText" xfId="492"/>
    <cellStyle name="SAPBEXheaderText 10" xfId="1858"/>
    <cellStyle name="SAPBEXheaderText 10 2" xfId="39591"/>
    <cellStyle name="SAPBEXheaderText 10 3" xfId="39328"/>
    <cellStyle name="SAPBEXheaderText 11" xfId="2060"/>
    <cellStyle name="SAPBEXheaderText 11 2" xfId="39592"/>
    <cellStyle name="SAPBEXheaderText 12" xfId="2061"/>
    <cellStyle name="SAPBEXheaderText 12 2" xfId="39593"/>
    <cellStyle name="SAPBEXheaderText 13" xfId="2062"/>
    <cellStyle name="SAPBEXheaderText 13 2" xfId="39594"/>
    <cellStyle name="SAPBEXheaderText 14" xfId="2063"/>
    <cellStyle name="SAPBEXheaderText 14 2" xfId="39595"/>
    <cellStyle name="SAPBEXheaderText 15" xfId="2064"/>
    <cellStyle name="SAPBEXheaderText 15 2" xfId="39596"/>
    <cellStyle name="SAPBEXheaderText 16" xfId="2065"/>
    <cellStyle name="SAPBEXheaderText 16 2" xfId="39597"/>
    <cellStyle name="SAPBEXheaderText 17" xfId="2066"/>
    <cellStyle name="SAPBEXheaderText 17 2" xfId="39598"/>
    <cellStyle name="SAPBEXheaderText 18" xfId="2067"/>
    <cellStyle name="SAPBEXheaderText 18 2" xfId="39599"/>
    <cellStyle name="SAPBEXheaderText 19" xfId="39462"/>
    <cellStyle name="SAPBEXheaderText 19 2" xfId="39813"/>
    <cellStyle name="SAPBEXheaderText 2" xfId="493"/>
    <cellStyle name="SAPBEXheaderText 2 2" xfId="494"/>
    <cellStyle name="SAPBEXheaderText 2 2 2" xfId="495"/>
    <cellStyle name="SAPBEXheaderText 2 2 3" xfId="39600"/>
    <cellStyle name="SAPBEXheaderText 2 3" xfId="496"/>
    <cellStyle name="SAPBEXheaderText 2 4" xfId="497"/>
    <cellStyle name="SAPBEXheaderText 2 5" xfId="498"/>
    <cellStyle name="SAPBEXheaderText 2_Input" xfId="1581"/>
    <cellStyle name="SAPBEXheaderText 3" xfId="499"/>
    <cellStyle name="SAPBEXheaderText 3 2" xfId="500"/>
    <cellStyle name="SAPBEXheaderText 3 3" xfId="501"/>
    <cellStyle name="SAPBEXheaderText 3 3 2" xfId="502"/>
    <cellStyle name="SAPBEXheaderText 3 3 3" xfId="503"/>
    <cellStyle name="SAPBEXheaderText 3 3 4" xfId="504"/>
    <cellStyle name="SAPBEXheaderText 4" xfId="505"/>
    <cellStyle name="SAPBEXheaderText 4 2" xfId="39601"/>
    <cellStyle name="SAPBEXheaderText 5" xfId="506"/>
    <cellStyle name="SAPBEXheaderText 5 2" xfId="1184"/>
    <cellStyle name="SAPBEXheaderText 5 3" xfId="39602"/>
    <cellStyle name="SAPBEXheaderText 5_Input" xfId="1582"/>
    <cellStyle name="SAPBEXheaderText 6" xfId="798"/>
    <cellStyle name="SAPBEXheaderText 6 2" xfId="39603"/>
    <cellStyle name="SAPBEXheaderText 6 3" xfId="39329"/>
    <cellStyle name="SAPBEXheaderText 7" xfId="1807"/>
    <cellStyle name="SAPBEXheaderText 7 2" xfId="39604"/>
    <cellStyle name="SAPBEXheaderText 7 3" xfId="39330"/>
    <cellStyle name="SAPBEXheaderText 8" xfId="1793"/>
    <cellStyle name="SAPBEXheaderText 8 2" xfId="39605"/>
    <cellStyle name="SAPBEXheaderText 8 3" xfId="39331"/>
    <cellStyle name="SAPBEXheaderText 9" xfId="1828"/>
    <cellStyle name="SAPBEXheaderText 9 2" xfId="39606"/>
    <cellStyle name="SAPBEXheaderText 9 3" xfId="39332"/>
    <cellStyle name="SAPBEXheaderText_eFINAL DIMAGGIO MOS 3T(Feb 2011 forward)" xfId="507"/>
    <cellStyle name="SAPBEXHLevel0" xfId="508"/>
    <cellStyle name="SAPBEXHLevel0 10" xfId="509"/>
    <cellStyle name="SAPBEXHLevel0 10 2" xfId="1185"/>
    <cellStyle name="SAPBEXHLevel0 10 3" xfId="39607"/>
    <cellStyle name="SAPBEXHLevel0 10_Input" xfId="1583"/>
    <cellStyle name="SAPBEXHLevel0 11" xfId="510"/>
    <cellStyle name="SAPBEXHLevel0 11 2" xfId="1186"/>
    <cellStyle name="SAPBEXHLevel0 11 3" xfId="39608"/>
    <cellStyle name="SAPBEXHLevel0 11_Input" xfId="1584"/>
    <cellStyle name="SAPBEXHLevel0 12" xfId="799"/>
    <cellStyle name="SAPBEXHLevel0 12 2" xfId="39609"/>
    <cellStyle name="SAPBEXHLevel0 12 3" xfId="39333"/>
    <cellStyle name="SAPBEXHLevel0 13" xfId="1808"/>
    <cellStyle name="SAPBEXHLevel0 13 2" xfId="39610"/>
    <cellStyle name="SAPBEXHLevel0 13 3" xfId="39334"/>
    <cellStyle name="SAPBEXHLevel0 14" xfId="1797"/>
    <cellStyle name="SAPBEXHLevel0 14 2" xfId="39611"/>
    <cellStyle name="SAPBEXHLevel0 14 3" xfId="39335"/>
    <cellStyle name="SAPBEXHLevel0 15" xfId="1829"/>
    <cellStyle name="SAPBEXHLevel0 15 2" xfId="39612"/>
    <cellStyle name="SAPBEXHLevel0 15 3" xfId="39336"/>
    <cellStyle name="SAPBEXHLevel0 16" xfId="1859"/>
    <cellStyle name="SAPBEXHLevel0 16 2" xfId="39613"/>
    <cellStyle name="SAPBEXHLevel0 16 3" xfId="39337"/>
    <cellStyle name="SAPBEXHLevel0 17" xfId="1848"/>
    <cellStyle name="SAPBEXHLevel0 17 2" xfId="39614"/>
    <cellStyle name="SAPBEXHLevel0 17 3" xfId="39338"/>
    <cellStyle name="SAPBEXHLevel0 18" xfId="1872"/>
    <cellStyle name="SAPBEXHLevel0 18 2" xfId="39615"/>
    <cellStyle name="SAPBEXHLevel0 18 3" xfId="39339"/>
    <cellStyle name="SAPBEXHLevel0 19" xfId="1888"/>
    <cellStyle name="SAPBEXHLevel0 19 2" xfId="39616"/>
    <cellStyle name="SAPBEXHLevel0 19 3" xfId="39340"/>
    <cellStyle name="SAPBEXHLevel0 2" xfId="511"/>
    <cellStyle name="SAPBEXHLevel0 2 2" xfId="512"/>
    <cellStyle name="SAPBEXHLevel0 2 2 2" xfId="1188"/>
    <cellStyle name="SAPBEXHLevel0 2 2_Input" xfId="1586"/>
    <cellStyle name="SAPBEXHLevel0 2 3" xfId="513"/>
    <cellStyle name="SAPBEXHLevel0 2 3 2" xfId="1189"/>
    <cellStyle name="SAPBEXHLevel0 2 3_Input" xfId="1587"/>
    <cellStyle name="SAPBEXHLevel0 2 4" xfId="1187"/>
    <cellStyle name="SAPBEXHLevel0 2_Input" xfId="1585"/>
    <cellStyle name="SAPBEXHLevel0 20" xfId="1896"/>
    <cellStyle name="SAPBEXHLevel0 20 2" xfId="39617"/>
    <cellStyle name="SAPBEXHLevel0 20 3" xfId="39341"/>
    <cellStyle name="SAPBEXHLevel0 21" xfId="1920"/>
    <cellStyle name="SAPBEXHLevel0 21 2" xfId="39618"/>
    <cellStyle name="SAPBEXHLevel0 21 3" xfId="39342"/>
    <cellStyle name="SAPBEXHLevel0 22" xfId="1910"/>
    <cellStyle name="SAPBEXHLevel0 22 2" xfId="39619"/>
    <cellStyle name="SAPBEXHLevel0 22 3" xfId="39343"/>
    <cellStyle name="SAPBEXHLevel0 23" xfId="2068"/>
    <cellStyle name="SAPBEXHLevel0 23 2" xfId="39620"/>
    <cellStyle name="SAPBEXHLevel0 24" xfId="39463"/>
    <cellStyle name="SAPBEXHLevel0 25" xfId="39483"/>
    <cellStyle name="SAPBEXHLevel0 3" xfId="514"/>
    <cellStyle name="SAPBEXHLevel0 3 2" xfId="515"/>
    <cellStyle name="SAPBEXHLevel0 3 2 2" xfId="1191"/>
    <cellStyle name="SAPBEXHLevel0 3 2_Input" xfId="1589"/>
    <cellStyle name="SAPBEXHLevel0 3 3" xfId="516"/>
    <cellStyle name="SAPBEXHLevel0 3 3 2" xfId="517"/>
    <cellStyle name="SAPBEXHLevel0 3 3 2 2" xfId="1193"/>
    <cellStyle name="SAPBEXHLevel0 3 3 2_Input" xfId="1591"/>
    <cellStyle name="SAPBEXHLevel0 3 3 3" xfId="518"/>
    <cellStyle name="SAPBEXHLevel0 3 3 3 2" xfId="1194"/>
    <cellStyle name="SAPBEXHLevel0 3 3 3_Input" xfId="1592"/>
    <cellStyle name="SAPBEXHLevel0 3 3 4" xfId="519"/>
    <cellStyle name="SAPBEXHLevel0 3 3 4 2" xfId="1195"/>
    <cellStyle name="SAPBEXHLevel0 3 3 4_Input" xfId="1593"/>
    <cellStyle name="SAPBEXHLevel0 3 3 5" xfId="1192"/>
    <cellStyle name="SAPBEXHLevel0 3 3_Input" xfId="1590"/>
    <cellStyle name="SAPBEXHLevel0 3 4" xfId="520"/>
    <cellStyle name="SAPBEXHLevel0 3 4 2" xfId="1196"/>
    <cellStyle name="SAPBEXHLevel0 3 4_Input" xfId="1594"/>
    <cellStyle name="SAPBEXHLevel0 3 5" xfId="1190"/>
    <cellStyle name="SAPBEXHLevel0 3_Input" xfId="1588"/>
    <cellStyle name="SAPBEXHLevel0 4" xfId="521"/>
    <cellStyle name="SAPBEXHLevel0 4 2" xfId="522"/>
    <cellStyle name="SAPBEXHLevel0 4 2 2" xfId="1198"/>
    <cellStyle name="SAPBEXHLevel0 4 2_Input" xfId="1596"/>
    <cellStyle name="SAPBEXHLevel0 4 3" xfId="1197"/>
    <cellStyle name="SAPBEXHLevel0 4_Input" xfId="1595"/>
    <cellStyle name="SAPBEXHLevel0 5" xfId="523"/>
    <cellStyle name="SAPBEXHLevel0 5 2" xfId="524"/>
    <cellStyle name="SAPBEXHLevel0 5 2 2" xfId="1200"/>
    <cellStyle name="SAPBEXHLevel0 5 2_Input" xfId="1598"/>
    <cellStyle name="SAPBEXHLevel0 5 3" xfId="525"/>
    <cellStyle name="SAPBEXHLevel0 5 3 2" xfId="1201"/>
    <cellStyle name="SAPBEXHLevel0 5 3_Input" xfId="1599"/>
    <cellStyle name="SAPBEXHLevel0 5 4" xfId="526"/>
    <cellStyle name="SAPBEXHLevel0 5 4 2" xfId="1202"/>
    <cellStyle name="SAPBEXHLevel0 5 4_Input" xfId="1600"/>
    <cellStyle name="SAPBEXHLevel0 5 5" xfId="1199"/>
    <cellStyle name="SAPBEXHLevel0 5_Input" xfId="1597"/>
    <cellStyle name="SAPBEXHLevel0 6" xfId="527"/>
    <cellStyle name="SAPBEXHLevel0 6 2" xfId="528"/>
    <cellStyle name="SAPBEXHLevel0 6 2 2" xfId="1204"/>
    <cellStyle name="SAPBEXHLevel0 6 2_Input" xfId="1602"/>
    <cellStyle name="SAPBEXHLevel0 6 3" xfId="1203"/>
    <cellStyle name="SAPBEXHLevel0 6_Input" xfId="1601"/>
    <cellStyle name="SAPBEXHLevel0 7" xfId="529"/>
    <cellStyle name="SAPBEXHLevel0 7 2" xfId="1205"/>
    <cellStyle name="SAPBEXHLevel0 7 3" xfId="39621"/>
    <cellStyle name="SAPBEXHLevel0 7_Input" xfId="1603"/>
    <cellStyle name="SAPBEXHLevel0 8" xfId="530"/>
    <cellStyle name="SAPBEXHLevel0 8 2" xfId="1206"/>
    <cellStyle name="SAPBEXHLevel0 8 3" xfId="39622"/>
    <cellStyle name="SAPBEXHLevel0 8_Input" xfId="1604"/>
    <cellStyle name="SAPBEXHLevel0 9" xfId="531"/>
    <cellStyle name="SAPBEXHLevel0 9 2" xfId="1207"/>
    <cellStyle name="SAPBEXHLevel0 9 3" xfId="39623"/>
    <cellStyle name="SAPBEXHLevel0 9_Input" xfId="1605"/>
    <cellStyle name="SAPBEXHLevel0X" xfId="532"/>
    <cellStyle name="SAPBEXHLevel0X 10" xfId="533"/>
    <cellStyle name="SAPBEXHLevel0X 10 2" xfId="1208"/>
    <cellStyle name="SAPBEXHLevel0X 10 3" xfId="39624"/>
    <cellStyle name="SAPBEXHLevel0X 10_Input" xfId="1606"/>
    <cellStyle name="SAPBEXHLevel0X 11" xfId="534"/>
    <cellStyle name="SAPBEXHLevel0X 11 2" xfId="1209"/>
    <cellStyle name="SAPBEXHLevel0X 11 3" xfId="39625"/>
    <cellStyle name="SAPBEXHLevel0X 11_Input" xfId="1607"/>
    <cellStyle name="SAPBEXHLevel0X 12" xfId="800"/>
    <cellStyle name="SAPBEXHLevel0X 12 2" xfId="39626"/>
    <cellStyle name="SAPBEXHLevel0X 12 3" xfId="39344"/>
    <cellStyle name="SAPBEXHLevel0X 13" xfId="1809"/>
    <cellStyle name="SAPBEXHLevel0X 13 2" xfId="39627"/>
    <cellStyle name="SAPBEXHLevel0X 13 3" xfId="39345"/>
    <cellStyle name="SAPBEXHLevel0X 14" xfId="1803"/>
    <cellStyle name="SAPBEXHLevel0X 14 2" xfId="39628"/>
    <cellStyle name="SAPBEXHLevel0X 14 3" xfId="39346"/>
    <cellStyle name="SAPBEXHLevel0X 15" xfId="1830"/>
    <cellStyle name="SAPBEXHLevel0X 15 2" xfId="39629"/>
    <cellStyle name="SAPBEXHLevel0X 15 3" xfId="39347"/>
    <cellStyle name="SAPBEXHLevel0X 16" xfId="1860"/>
    <cellStyle name="SAPBEXHLevel0X 16 2" xfId="39630"/>
    <cellStyle name="SAPBEXHLevel0X 16 3" xfId="39348"/>
    <cellStyle name="SAPBEXHLevel0X 17" xfId="1847"/>
    <cellStyle name="SAPBEXHLevel0X 17 2" xfId="39631"/>
    <cellStyle name="SAPBEXHLevel0X 17 3" xfId="39349"/>
    <cellStyle name="SAPBEXHLevel0X 18" xfId="1874"/>
    <cellStyle name="SAPBEXHLevel0X 18 2" xfId="39632"/>
    <cellStyle name="SAPBEXHLevel0X 18 3" xfId="39350"/>
    <cellStyle name="SAPBEXHLevel0X 19" xfId="1889"/>
    <cellStyle name="SAPBEXHLevel0X 19 2" xfId="39633"/>
    <cellStyle name="SAPBEXHLevel0X 19 3" xfId="39351"/>
    <cellStyle name="SAPBEXHLevel0X 2" xfId="535"/>
    <cellStyle name="SAPBEXHLevel0X 2 2" xfId="536"/>
    <cellStyle name="SAPBEXHLevel0X 2 2 2" xfId="1211"/>
    <cellStyle name="SAPBEXHLevel0X 2 2_Input" xfId="1609"/>
    <cellStyle name="SAPBEXHLevel0X 2 3" xfId="537"/>
    <cellStyle name="SAPBEXHLevel0X 2 3 2" xfId="1212"/>
    <cellStyle name="SAPBEXHLevel0X 2 3_Input" xfId="1610"/>
    <cellStyle name="SAPBEXHLevel0X 2 4" xfId="1210"/>
    <cellStyle name="SAPBEXHLevel0X 2_Input" xfId="1608"/>
    <cellStyle name="SAPBEXHLevel0X 20" xfId="1897"/>
    <cellStyle name="SAPBEXHLevel0X 20 2" xfId="39634"/>
    <cellStyle name="SAPBEXHLevel0X 20 3" xfId="39352"/>
    <cellStyle name="SAPBEXHLevel0X 21" xfId="1921"/>
    <cellStyle name="SAPBEXHLevel0X 21 2" xfId="39635"/>
    <cellStyle name="SAPBEXHLevel0X 21 3" xfId="39353"/>
    <cellStyle name="SAPBEXHLevel0X 22" xfId="1909"/>
    <cellStyle name="SAPBEXHLevel0X 22 2" xfId="39636"/>
    <cellStyle name="SAPBEXHLevel0X 22 3" xfId="39354"/>
    <cellStyle name="SAPBEXHLevel0X 23" xfId="2069"/>
    <cellStyle name="SAPBEXHLevel0X 23 2" xfId="39637"/>
    <cellStyle name="SAPBEXHLevel0X 24" xfId="39464"/>
    <cellStyle name="SAPBEXHLevel0X 25" xfId="39484"/>
    <cellStyle name="SAPBEXHLevel0X 3" xfId="538"/>
    <cellStyle name="SAPBEXHLevel0X 3 2" xfId="539"/>
    <cellStyle name="SAPBEXHLevel0X 3 2 2" xfId="1214"/>
    <cellStyle name="SAPBEXHLevel0X 3 2_Input" xfId="1612"/>
    <cellStyle name="SAPBEXHLevel0X 3 3" xfId="540"/>
    <cellStyle name="SAPBEXHLevel0X 3 3 2" xfId="541"/>
    <cellStyle name="SAPBEXHLevel0X 3 3 2 2" xfId="1216"/>
    <cellStyle name="SAPBEXHLevel0X 3 3 2_Input" xfId="1614"/>
    <cellStyle name="SAPBEXHLevel0X 3 3 3" xfId="542"/>
    <cellStyle name="SAPBEXHLevel0X 3 3 3 2" xfId="1217"/>
    <cellStyle name="SAPBEXHLevel0X 3 3 3_Input" xfId="1615"/>
    <cellStyle name="SAPBEXHLevel0X 3 3 4" xfId="543"/>
    <cellStyle name="SAPBEXHLevel0X 3 3 4 2" xfId="1218"/>
    <cellStyle name="SAPBEXHLevel0X 3 3 4_Input" xfId="1616"/>
    <cellStyle name="SAPBEXHLevel0X 3 3 5" xfId="1215"/>
    <cellStyle name="SAPBEXHLevel0X 3 3_Input" xfId="1613"/>
    <cellStyle name="SAPBEXHLevel0X 3 4" xfId="544"/>
    <cellStyle name="SAPBEXHLevel0X 3 4 2" xfId="1219"/>
    <cellStyle name="SAPBEXHLevel0X 3 4_Input" xfId="1617"/>
    <cellStyle name="SAPBEXHLevel0X 3 5" xfId="1213"/>
    <cellStyle name="SAPBEXHLevel0X 3_Input" xfId="1611"/>
    <cellStyle name="SAPBEXHLevel0X 4" xfId="545"/>
    <cellStyle name="SAPBEXHLevel0X 4 2" xfId="546"/>
    <cellStyle name="SAPBEXHLevel0X 4 2 2" xfId="1221"/>
    <cellStyle name="SAPBEXHLevel0X 4 2_Input" xfId="1619"/>
    <cellStyle name="SAPBEXHLevel0X 4 3" xfId="1220"/>
    <cellStyle name="SAPBEXHLevel0X 4_Input" xfId="1618"/>
    <cellStyle name="SAPBEXHLevel0X 5" xfId="547"/>
    <cellStyle name="SAPBEXHLevel0X 5 2" xfId="548"/>
    <cellStyle name="SAPBEXHLevel0X 5 2 2" xfId="1223"/>
    <cellStyle name="SAPBEXHLevel0X 5 2_Input" xfId="1621"/>
    <cellStyle name="SAPBEXHLevel0X 5 3" xfId="549"/>
    <cellStyle name="SAPBEXHLevel0X 5 3 2" xfId="1224"/>
    <cellStyle name="SAPBEXHLevel0X 5 3_Input" xfId="1622"/>
    <cellStyle name="SAPBEXHLevel0X 5 4" xfId="550"/>
    <cellStyle name="SAPBEXHLevel0X 5 4 2" xfId="1225"/>
    <cellStyle name="SAPBEXHLevel0X 5 4_Input" xfId="1623"/>
    <cellStyle name="SAPBEXHLevel0X 5 5" xfId="1222"/>
    <cellStyle name="SAPBEXHLevel0X 5_Input" xfId="1620"/>
    <cellStyle name="SAPBEXHLevel0X 6" xfId="551"/>
    <cellStyle name="SAPBEXHLevel0X 6 2" xfId="552"/>
    <cellStyle name="SAPBEXHLevel0X 6 2 2" xfId="1227"/>
    <cellStyle name="SAPBEXHLevel0X 6 2_Input" xfId="1625"/>
    <cellStyle name="SAPBEXHLevel0X 6 3" xfId="1226"/>
    <cellStyle name="SAPBEXHLevel0X 6_Input" xfId="1624"/>
    <cellStyle name="SAPBEXHLevel0X 7" xfId="553"/>
    <cellStyle name="SAPBEXHLevel0X 7 2" xfId="1228"/>
    <cellStyle name="SAPBEXHLevel0X 7 3" xfId="39638"/>
    <cellStyle name="SAPBEXHLevel0X 7_Input" xfId="1626"/>
    <cellStyle name="SAPBEXHLevel0X 8" xfId="554"/>
    <cellStyle name="SAPBEXHLevel0X 8 2" xfId="1229"/>
    <cellStyle name="SAPBEXHLevel0X 8 3" xfId="39639"/>
    <cellStyle name="SAPBEXHLevel0X 8_Input" xfId="1627"/>
    <cellStyle name="SAPBEXHLevel0X 9" xfId="555"/>
    <cellStyle name="SAPBEXHLevel0X 9 2" xfId="1230"/>
    <cellStyle name="SAPBEXHLevel0X 9 3" xfId="39640"/>
    <cellStyle name="SAPBEXHLevel0X 9_Input" xfId="1628"/>
    <cellStyle name="SAPBEXHLevel1" xfId="556"/>
    <cellStyle name="SAPBEXHLevel1 10" xfId="557"/>
    <cellStyle name="SAPBEXHLevel1 10 2" xfId="1231"/>
    <cellStyle name="SAPBEXHLevel1 10 3" xfId="39641"/>
    <cellStyle name="SAPBEXHLevel1 10_Input" xfId="1629"/>
    <cellStyle name="SAPBEXHLevel1 11" xfId="558"/>
    <cellStyle name="SAPBEXHLevel1 11 2" xfId="1232"/>
    <cellStyle name="SAPBEXHLevel1 11 3" xfId="39642"/>
    <cellStyle name="SAPBEXHLevel1 11_Input" xfId="1630"/>
    <cellStyle name="SAPBEXHLevel1 12" xfId="801"/>
    <cellStyle name="SAPBEXHLevel1 12 2" xfId="39643"/>
    <cellStyle name="SAPBEXHLevel1 12 3" xfId="39355"/>
    <cellStyle name="SAPBEXHLevel1 13" xfId="1810"/>
    <cellStyle name="SAPBEXHLevel1 13 2" xfId="39644"/>
    <cellStyle name="SAPBEXHLevel1 13 3" xfId="39356"/>
    <cellStyle name="SAPBEXHLevel1 14" xfId="1801"/>
    <cellStyle name="SAPBEXHLevel1 14 2" xfId="39645"/>
    <cellStyle name="SAPBEXHLevel1 14 3" xfId="39357"/>
    <cellStyle name="SAPBEXHLevel1 15" xfId="1831"/>
    <cellStyle name="SAPBEXHLevel1 15 2" xfId="39646"/>
    <cellStyle name="SAPBEXHLevel1 15 3" xfId="39358"/>
    <cellStyle name="SAPBEXHLevel1 16" xfId="1861"/>
    <cellStyle name="SAPBEXHLevel1 16 2" xfId="39647"/>
    <cellStyle name="SAPBEXHLevel1 16 3" xfId="39359"/>
    <cellStyle name="SAPBEXHLevel1 17" xfId="1846"/>
    <cellStyle name="SAPBEXHLevel1 17 2" xfId="39648"/>
    <cellStyle name="SAPBEXHLevel1 17 3" xfId="39360"/>
    <cellStyle name="SAPBEXHLevel1 18" xfId="1875"/>
    <cellStyle name="SAPBEXHLevel1 18 2" xfId="39649"/>
    <cellStyle name="SAPBEXHLevel1 18 3" xfId="39361"/>
    <cellStyle name="SAPBEXHLevel1 19" xfId="1890"/>
    <cellStyle name="SAPBEXHLevel1 19 2" xfId="39650"/>
    <cellStyle name="SAPBEXHLevel1 19 3" xfId="39362"/>
    <cellStyle name="SAPBEXHLevel1 2" xfId="559"/>
    <cellStyle name="SAPBEXHLevel1 2 2" xfId="560"/>
    <cellStyle name="SAPBEXHLevel1 2 2 2" xfId="1234"/>
    <cellStyle name="SAPBEXHLevel1 2 2_Input" xfId="1632"/>
    <cellStyle name="SAPBEXHLevel1 2 3" xfId="561"/>
    <cellStyle name="SAPBEXHLevel1 2 3 2" xfId="1235"/>
    <cellStyle name="SAPBEXHLevel1 2 3_Input" xfId="1633"/>
    <cellStyle name="SAPBEXHLevel1 2 4" xfId="1233"/>
    <cellStyle name="SAPBEXHLevel1 2_Input" xfId="1631"/>
    <cellStyle name="SAPBEXHLevel1 20" xfId="1898"/>
    <cellStyle name="SAPBEXHLevel1 20 2" xfId="39651"/>
    <cellStyle name="SAPBEXHLevel1 20 3" xfId="39363"/>
    <cellStyle name="SAPBEXHLevel1 21" xfId="1922"/>
    <cellStyle name="SAPBEXHLevel1 21 2" xfId="39652"/>
    <cellStyle name="SAPBEXHLevel1 21 3" xfId="39364"/>
    <cellStyle name="SAPBEXHLevel1 22" xfId="1908"/>
    <cellStyle name="SAPBEXHLevel1 22 2" xfId="39653"/>
    <cellStyle name="SAPBEXHLevel1 22 3" xfId="39365"/>
    <cellStyle name="SAPBEXHLevel1 23" xfId="2070"/>
    <cellStyle name="SAPBEXHLevel1 23 2" xfId="39654"/>
    <cellStyle name="SAPBEXHLevel1 24" xfId="39465"/>
    <cellStyle name="SAPBEXHLevel1 25" xfId="39485"/>
    <cellStyle name="SAPBEXHLevel1 3" xfId="562"/>
    <cellStyle name="SAPBEXHLevel1 3 2" xfId="563"/>
    <cellStyle name="SAPBEXHLevel1 3 2 2" xfId="1237"/>
    <cellStyle name="SAPBEXHLevel1 3 2_Input" xfId="1635"/>
    <cellStyle name="SAPBEXHLevel1 3 3" xfId="564"/>
    <cellStyle name="SAPBEXHLevel1 3 3 2" xfId="565"/>
    <cellStyle name="SAPBEXHLevel1 3 3 2 2" xfId="1239"/>
    <cellStyle name="SAPBEXHLevel1 3 3 2_Input" xfId="1637"/>
    <cellStyle name="SAPBEXHLevel1 3 3 3" xfId="566"/>
    <cellStyle name="SAPBEXHLevel1 3 3 3 2" xfId="1240"/>
    <cellStyle name="SAPBEXHLevel1 3 3 3_Input" xfId="1638"/>
    <cellStyle name="SAPBEXHLevel1 3 3 4" xfId="567"/>
    <cellStyle name="SAPBEXHLevel1 3 3 4 2" xfId="1241"/>
    <cellStyle name="SAPBEXHLevel1 3 3 4_Input" xfId="1639"/>
    <cellStyle name="SAPBEXHLevel1 3 3 5" xfId="1238"/>
    <cellStyle name="SAPBEXHLevel1 3 3_Input" xfId="1636"/>
    <cellStyle name="SAPBEXHLevel1 3 4" xfId="568"/>
    <cellStyle name="SAPBEXHLevel1 3 4 2" xfId="1242"/>
    <cellStyle name="SAPBEXHLevel1 3 4_Input" xfId="1640"/>
    <cellStyle name="SAPBEXHLevel1 3 5" xfId="1236"/>
    <cellStyle name="SAPBEXHLevel1 3_Input" xfId="1634"/>
    <cellStyle name="SAPBEXHLevel1 4" xfId="569"/>
    <cellStyle name="SAPBEXHLevel1 4 2" xfId="570"/>
    <cellStyle name="SAPBEXHLevel1 4 2 2" xfId="1244"/>
    <cellStyle name="SAPBEXHLevel1 4 2_Input" xfId="1642"/>
    <cellStyle name="SAPBEXHLevel1 4 3" xfId="1243"/>
    <cellStyle name="SAPBEXHLevel1 4_Input" xfId="1641"/>
    <cellStyle name="SAPBEXHLevel1 5" xfId="571"/>
    <cellStyle name="SAPBEXHLevel1 5 2" xfId="572"/>
    <cellStyle name="SAPBEXHLevel1 5 2 2" xfId="1246"/>
    <cellStyle name="SAPBEXHLevel1 5 2_Input" xfId="1644"/>
    <cellStyle name="SAPBEXHLevel1 5 3" xfId="573"/>
    <cellStyle name="SAPBEXHLevel1 5 3 2" xfId="1247"/>
    <cellStyle name="SAPBEXHLevel1 5 3_Input" xfId="1645"/>
    <cellStyle name="SAPBEXHLevel1 5 4" xfId="574"/>
    <cellStyle name="SAPBEXHLevel1 5 4 2" xfId="1248"/>
    <cellStyle name="SAPBEXHLevel1 5 4_Input" xfId="1646"/>
    <cellStyle name="SAPBEXHLevel1 5 5" xfId="1245"/>
    <cellStyle name="SAPBEXHLevel1 5_Input" xfId="1643"/>
    <cellStyle name="SAPBEXHLevel1 6" xfId="575"/>
    <cellStyle name="SAPBEXHLevel1 6 2" xfId="576"/>
    <cellStyle name="SAPBEXHLevel1 6 2 2" xfId="1250"/>
    <cellStyle name="SAPBEXHLevel1 6 2_Input" xfId="1648"/>
    <cellStyle name="SAPBEXHLevel1 6 3" xfId="1249"/>
    <cellStyle name="SAPBEXHLevel1 6_Input" xfId="1647"/>
    <cellStyle name="SAPBEXHLevel1 7" xfId="577"/>
    <cellStyle name="SAPBEXHLevel1 7 2" xfId="1251"/>
    <cellStyle name="SAPBEXHLevel1 7 3" xfId="39655"/>
    <cellStyle name="SAPBEXHLevel1 7_Input" xfId="1649"/>
    <cellStyle name="SAPBEXHLevel1 8" xfId="578"/>
    <cellStyle name="SAPBEXHLevel1 8 2" xfId="1252"/>
    <cellStyle name="SAPBEXHLevel1 8 3" xfId="39656"/>
    <cellStyle name="SAPBEXHLevel1 8_Input" xfId="1650"/>
    <cellStyle name="SAPBEXHLevel1 9" xfId="579"/>
    <cellStyle name="SAPBEXHLevel1 9 2" xfId="1253"/>
    <cellStyle name="SAPBEXHLevel1 9 3" xfId="39657"/>
    <cellStyle name="SAPBEXHLevel1 9_Input" xfId="1651"/>
    <cellStyle name="SAPBEXHLevel1X" xfId="580"/>
    <cellStyle name="SAPBEXHLevel1X 10" xfId="581"/>
    <cellStyle name="SAPBEXHLevel1X 10 2" xfId="1254"/>
    <cellStyle name="SAPBEXHLevel1X 10 3" xfId="39658"/>
    <cellStyle name="SAPBEXHLevel1X 10_Input" xfId="1652"/>
    <cellStyle name="SAPBEXHLevel1X 11" xfId="582"/>
    <cellStyle name="SAPBEXHLevel1X 11 2" xfId="1255"/>
    <cellStyle name="SAPBEXHLevel1X 11 3" xfId="39659"/>
    <cellStyle name="SAPBEXHLevel1X 11_Input" xfId="1653"/>
    <cellStyle name="SAPBEXHLevel1X 12" xfId="802"/>
    <cellStyle name="SAPBEXHLevel1X 12 2" xfId="39660"/>
    <cellStyle name="SAPBEXHLevel1X 12 3" xfId="39366"/>
    <cellStyle name="SAPBEXHLevel1X 13" xfId="1811"/>
    <cellStyle name="SAPBEXHLevel1X 13 2" xfId="39661"/>
    <cellStyle name="SAPBEXHLevel1X 13 3" xfId="39367"/>
    <cellStyle name="SAPBEXHLevel1X 14" xfId="1800"/>
    <cellStyle name="SAPBEXHLevel1X 14 2" xfId="39662"/>
    <cellStyle name="SAPBEXHLevel1X 14 3" xfId="39368"/>
    <cellStyle name="SAPBEXHLevel1X 15" xfId="1832"/>
    <cellStyle name="SAPBEXHLevel1X 15 2" xfId="39663"/>
    <cellStyle name="SAPBEXHLevel1X 15 3" xfId="39369"/>
    <cellStyle name="SAPBEXHLevel1X 16" xfId="1862"/>
    <cellStyle name="SAPBEXHLevel1X 16 2" xfId="39664"/>
    <cellStyle name="SAPBEXHLevel1X 16 3" xfId="39370"/>
    <cellStyle name="SAPBEXHLevel1X 17" xfId="1844"/>
    <cellStyle name="SAPBEXHLevel1X 17 2" xfId="39665"/>
    <cellStyle name="SAPBEXHLevel1X 17 3" xfId="39371"/>
    <cellStyle name="SAPBEXHLevel1X 18" xfId="1876"/>
    <cellStyle name="SAPBEXHLevel1X 18 2" xfId="39666"/>
    <cellStyle name="SAPBEXHLevel1X 18 3" xfId="39372"/>
    <cellStyle name="SAPBEXHLevel1X 19" xfId="1850"/>
    <cellStyle name="SAPBEXHLevel1X 19 2" xfId="39667"/>
    <cellStyle name="SAPBEXHLevel1X 19 3" xfId="39373"/>
    <cellStyle name="SAPBEXHLevel1X 2" xfId="583"/>
    <cellStyle name="SAPBEXHLevel1X 2 2" xfId="584"/>
    <cellStyle name="SAPBEXHLevel1X 2 2 2" xfId="1257"/>
    <cellStyle name="SAPBEXHLevel1X 2 2_Input" xfId="1655"/>
    <cellStyle name="SAPBEXHLevel1X 2 3" xfId="585"/>
    <cellStyle name="SAPBEXHLevel1X 2 3 2" xfId="1258"/>
    <cellStyle name="SAPBEXHLevel1X 2 3_Input" xfId="1656"/>
    <cellStyle name="SAPBEXHLevel1X 2 4" xfId="1256"/>
    <cellStyle name="SAPBEXHLevel1X 2_Input" xfId="1654"/>
    <cellStyle name="SAPBEXHLevel1X 20" xfId="1842"/>
    <cellStyle name="SAPBEXHLevel1X 20 2" xfId="39668"/>
    <cellStyle name="SAPBEXHLevel1X 20 3" xfId="39374"/>
    <cellStyle name="SAPBEXHLevel1X 21" xfId="1923"/>
    <cellStyle name="SAPBEXHLevel1X 21 2" xfId="39669"/>
    <cellStyle name="SAPBEXHLevel1X 21 3" xfId="39375"/>
    <cellStyle name="SAPBEXHLevel1X 22" xfId="1911"/>
    <cellStyle name="SAPBEXHLevel1X 22 2" xfId="39670"/>
    <cellStyle name="SAPBEXHLevel1X 22 3" xfId="39376"/>
    <cellStyle name="SAPBEXHLevel1X 23" xfId="2071"/>
    <cellStyle name="SAPBEXHLevel1X 23 2" xfId="39671"/>
    <cellStyle name="SAPBEXHLevel1X 24" xfId="39466"/>
    <cellStyle name="SAPBEXHLevel1X 25" xfId="39486"/>
    <cellStyle name="SAPBEXHLevel1X 3" xfId="586"/>
    <cellStyle name="SAPBEXHLevel1X 3 2" xfId="587"/>
    <cellStyle name="SAPBEXHLevel1X 3 2 2" xfId="1260"/>
    <cellStyle name="SAPBEXHLevel1X 3 2_Input" xfId="1658"/>
    <cellStyle name="SAPBEXHLevel1X 3 3" xfId="588"/>
    <cellStyle name="SAPBEXHLevel1X 3 3 2" xfId="589"/>
    <cellStyle name="SAPBEXHLevel1X 3 3 2 2" xfId="1262"/>
    <cellStyle name="SAPBEXHLevel1X 3 3 2_Input" xfId="1660"/>
    <cellStyle name="SAPBEXHLevel1X 3 3 3" xfId="590"/>
    <cellStyle name="SAPBEXHLevel1X 3 3 3 2" xfId="1263"/>
    <cellStyle name="SAPBEXHLevel1X 3 3 3_Input" xfId="1661"/>
    <cellStyle name="SAPBEXHLevel1X 3 3 4" xfId="591"/>
    <cellStyle name="SAPBEXHLevel1X 3 3 4 2" xfId="1264"/>
    <cellStyle name="SAPBEXHLevel1X 3 3 4_Input" xfId="1662"/>
    <cellStyle name="SAPBEXHLevel1X 3 3 5" xfId="1261"/>
    <cellStyle name="SAPBEXHLevel1X 3 3_Input" xfId="1659"/>
    <cellStyle name="SAPBEXHLevel1X 3 4" xfId="592"/>
    <cellStyle name="SAPBEXHLevel1X 3 4 2" xfId="1265"/>
    <cellStyle name="SAPBEXHLevel1X 3 4_Input" xfId="1663"/>
    <cellStyle name="SAPBEXHLevel1X 3 5" xfId="1259"/>
    <cellStyle name="SAPBEXHLevel1X 3_Input" xfId="1657"/>
    <cellStyle name="SAPBEXHLevel1X 4" xfId="593"/>
    <cellStyle name="SAPBEXHLevel1X 4 2" xfId="594"/>
    <cellStyle name="SAPBEXHLevel1X 4 2 2" xfId="1267"/>
    <cellStyle name="SAPBEXHLevel1X 4 2_Input" xfId="1665"/>
    <cellStyle name="SAPBEXHLevel1X 4 3" xfId="1266"/>
    <cellStyle name="SAPBEXHLevel1X 4_Input" xfId="1664"/>
    <cellStyle name="SAPBEXHLevel1X 5" xfId="595"/>
    <cellStyle name="SAPBEXHLevel1X 5 2" xfId="596"/>
    <cellStyle name="SAPBEXHLevel1X 5 2 2" xfId="1269"/>
    <cellStyle name="SAPBEXHLevel1X 5 2_Input" xfId="1667"/>
    <cellStyle name="SAPBEXHLevel1X 5 3" xfId="597"/>
    <cellStyle name="SAPBEXHLevel1X 5 3 2" xfId="1270"/>
    <cellStyle name="SAPBEXHLevel1X 5 3_Input" xfId="1668"/>
    <cellStyle name="SAPBEXHLevel1X 5 4" xfId="598"/>
    <cellStyle name="SAPBEXHLevel1X 5 4 2" xfId="1271"/>
    <cellStyle name="SAPBEXHLevel1X 5 4_Input" xfId="1669"/>
    <cellStyle name="SAPBEXHLevel1X 5 5" xfId="1268"/>
    <cellStyle name="SAPBEXHLevel1X 5_Input" xfId="1666"/>
    <cellStyle name="SAPBEXHLevel1X 6" xfId="599"/>
    <cellStyle name="SAPBEXHLevel1X 6 2" xfId="600"/>
    <cellStyle name="SAPBEXHLevel1X 6 2 2" xfId="1273"/>
    <cellStyle name="SAPBEXHLevel1X 6 2_Input" xfId="1671"/>
    <cellStyle name="SAPBEXHLevel1X 6 3" xfId="1272"/>
    <cellStyle name="SAPBEXHLevel1X 6_Input" xfId="1670"/>
    <cellStyle name="SAPBEXHLevel1X 7" xfId="601"/>
    <cellStyle name="SAPBEXHLevel1X 7 2" xfId="1274"/>
    <cellStyle name="SAPBEXHLevel1X 7 3" xfId="39672"/>
    <cellStyle name="SAPBEXHLevel1X 7_Input" xfId="1672"/>
    <cellStyle name="SAPBEXHLevel1X 8" xfId="602"/>
    <cellStyle name="SAPBEXHLevel1X 8 2" xfId="1275"/>
    <cellStyle name="SAPBEXHLevel1X 8 3" xfId="39673"/>
    <cellStyle name="SAPBEXHLevel1X 8_Input" xfId="1673"/>
    <cellStyle name="SAPBEXHLevel1X 9" xfId="603"/>
    <cellStyle name="SAPBEXHLevel1X 9 2" xfId="1276"/>
    <cellStyle name="SAPBEXHLevel1X 9 3" xfId="39674"/>
    <cellStyle name="SAPBEXHLevel1X 9_Input" xfId="1674"/>
    <cellStyle name="SAPBEXHLevel2" xfId="604"/>
    <cellStyle name="SAPBEXHLevel2 10" xfId="605"/>
    <cellStyle name="SAPBEXHLevel2 10 2" xfId="1277"/>
    <cellStyle name="SAPBEXHLevel2 10 3" xfId="39675"/>
    <cellStyle name="SAPBEXHLevel2 10_Input" xfId="1675"/>
    <cellStyle name="SAPBEXHLevel2 11" xfId="606"/>
    <cellStyle name="SAPBEXHLevel2 11 2" xfId="1278"/>
    <cellStyle name="SAPBEXHLevel2 11 3" xfId="39676"/>
    <cellStyle name="SAPBEXHLevel2 11_Input" xfId="1676"/>
    <cellStyle name="SAPBEXHLevel2 12" xfId="803"/>
    <cellStyle name="SAPBEXHLevel2 12 2" xfId="39677"/>
    <cellStyle name="SAPBEXHLevel2 12 3" xfId="39377"/>
    <cellStyle name="SAPBEXHLevel2 13" xfId="1812"/>
    <cellStyle name="SAPBEXHLevel2 13 2" xfId="39678"/>
    <cellStyle name="SAPBEXHLevel2 13 3" xfId="39378"/>
    <cellStyle name="SAPBEXHLevel2 14" xfId="1798"/>
    <cellStyle name="SAPBEXHLevel2 14 2" xfId="39679"/>
    <cellStyle name="SAPBEXHLevel2 14 3" xfId="39379"/>
    <cellStyle name="SAPBEXHLevel2 15" xfId="1833"/>
    <cellStyle name="SAPBEXHLevel2 15 2" xfId="39680"/>
    <cellStyle name="SAPBEXHLevel2 15 3" xfId="39380"/>
    <cellStyle name="SAPBEXHLevel2 16" xfId="1863"/>
    <cellStyle name="SAPBEXHLevel2 16 2" xfId="39681"/>
    <cellStyle name="SAPBEXHLevel2 16 3" xfId="39381"/>
    <cellStyle name="SAPBEXHLevel2 17" xfId="1878"/>
    <cellStyle name="SAPBEXHLevel2 17 2" xfId="39682"/>
    <cellStyle name="SAPBEXHLevel2 17 3" xfId="39382"/>
    <cellStyle name="SAPBEXHLevel2 18" xfId="1871"/>
    <cellStyle name="SAPBEXHLevel2 18 2" xfId="39683"/>
    <cellStyle name="SAPBEXHLevel2 18 3" xfId="39383"/>
    <cellStyle name="SAPBEXHLevel2 19" xfId="1886"/>
    <cellStyle name="SAPBEXHLevel2 19 2" xfId="39684"/>
    <cellStyle name="SAPBEXHLevel2 19 3" xfId="39384"/>
    <cellStyle name="SAPBEXHLevel2 2" xfId="607"/>
    <cellStyle name="SAPBEXHLevel2 2 2" xfId="608"/>
    <cellStyle name="SAPBEXHLevel2 2 2 2" xfId="1280"/>
    <cellStyle name="SAPBEXHLevel2 2 2_Input" xfId="1678"/>
    <cellStyle name="SAPBEXHLevel2 2 3" xfId="609"/>
    <cellStyle name="SAPBEXHLevel2 2 3 2" xfId="1281"/>
    <cellStyle name="SAPBEXHLevel2 2 3_Input" xfId="1679"/>
    <cellStyle name="SAPBEXHLevel2 2 4" xfId="1279"/>
    <cellStyle name="SAPBEXHLevel2 2_Input" xfId="1677"/>
    <cellStyle name="SAPBEXHLevel2 20" xfId="1894"/>
    <cellStyle name="SAPBEXHLevel2 20 2" xfId="39685"/>
    <cellStyle name="SAPBEXHLevel2 20 3" xfId="39385"/>
    <cellStyle name="SAPBEXHLevel2 21" xfId="1924"/>
    <cellStyle name="SAPBEXHLevel2 21 2" xfId="39686"/>
    <cellStyle name="SAPBEXHLevel2 21 3" xfId="39386"/>
    <cellStyle name="SAPBEXHLevel2 22" xfId="1918"/>
    <cellStyle name="SAPBEXHLevel2 22 2" xfId="39687"/>
    <cellStyle name="SAPBEXHLevel2 22 3" xfId="39387"/>
    <cellStyle name="SAPBEXHLevel2 23" xfId="2072"/>
    <cellStyle name="SAPBEXHLevel2 23 2" xfId="39688"/>
    <cellStyle name="SAPBEXHLevel2 24" xfId="39467"/>
    <cellStyle name="SAPBEXHLevel2 25" xfId="39487"/>
    <cellStyle name="SAPBEXHLevel2 3" xfId="610"/>
    <cellStyle name="SAPBEXHLevel2 3 2" xfId="611"/>
    <cellStyle name="SAPBEXHLevel2 3 2 2" xfId="1283"/>
    <cellStyle name="SAPBEXHLevel2 3 2_Input" xfId="1681"/>
    <cellStyle name="SAPBEXHLevel2 3 3" xfId="612"/>
    <cellStyle name="SAPBEXHLevel2 3 3 2" xfId="613"/>
    <cellStyle name="SAPBEXHLevel2 3 3 2 2" xfId="1285"/>
    <cellStyle name="SAPBEXHLevel2 3 3 2_Input" xfId="1683"/>
    <cellStyle name="SAPBEXHLevel2 3 3 3" xfId="614"/>
    <cellStyle name="SAPBEXHLevel2 3 3 3 2" xfId="1286"/>
    <cellStyle name="SAPBEXHLevel2 3 3 3_Input" xfId="1684"/>
    <cellStyle name="SAPBEXHLevel2 3 3 4" xfId="615"/>
    <cellStyle name="SAPBEXHLevel2 3 3 4 2" xfId="1287"/>
    <cellStyle name="SAPBEXHLevel2 3 3 4_Input" xfId="1685"/>
    <cellStyle name="SAPBEXHLevel2 3 3 5" xfId="1284"/>
    <cellStyle name="SAPBEXHLevel2 3 3_Input" xfId="1682"/>
    <cellStyle name="SAPBEXHLevel2 3 4" xfId="616"/>
    <cellStyle name="SAPBEXHLevel2 3 4 2" xfId="1288"/>
    <cellStyle name="SAPBEXHLevel2 3 4_Input" xfId="1686"/>
    <cellStyle name="SAPBEXHLevel2 3 5" xfId="1282"/>
    <cellStyle name="SAPBEXHLevel2 3_Input" xfId="1680"/>
    <cellStyle name="SAPBEXHLevel2 4" xfId="617"/>
    <cellStyle name="SAPBEXHLevel2 4 2" xfId="618"/>
    <cellStyle name="SAPBEXHLevel2 4 2 2" xfId="1290"/>
    <cellStyle name="SAPBEXHLevel2 4 2_Input" xfId="1688"/>
    <cellStyle name="SAPBEXHLevel2 4 3" xfId="1289"/>
    <cellStyle name="SAPBEXHLevel2 4_Input" xfId="1687"/>
    <cellStyle name="SAPBEXHLevel2 5" xfId="619"/>
    <cellStyle name="SAPBEXHLevel2 5 2" xfId="620"/>
    <cellStyle name="SAPBEXHLevel2 5 2 2" xfId="1292"/>
    <cellStyle name="SAPBEXHLevel2 5 2_Input" xfId="1690"/>
    <cellStyle name="SAPBEXHLevel2 5 3" xfId="621"/>
    <cellStyle name="SAPBEXHLevel2 5 3 2" xfId="1293"/>
    <cellStyle name="SAPBEXHLevel2 5 3_Input" xfId="1691"/>
    <cellStyle name="SAPBEXHLevel2 5 4" xfId="622"/>
    <cellStyle name="SAPBEXHLevel2 5 4 2" xfId="1294"/>
    <cellStyle name="SAPBEXHLevel2 5 4_Input" xfId="1692"/>
    <cellStyle name="SAPBEXHLevel2 5 5" xfId="1291"/>
    <cellStyle name="SAPBEXHLevel2 5_Input" xfId="1689"/>
    <cellStyle name="SAPBEXHLevel2 6" xfId="623"/>
    <cellStyle name="SAPBEXHLevel2 6 2" xfId="624"/>
    <cellStyle name="SAPBEXHLevel2 6 2 2" xfId="1296"/>
    <cellStyle name="SAPBEXHLevel2 6 2_Input" xfId="1694"/>
    <cellStyle name="SAPBEXHLevel2 6 3" xfId="1295"/>
    <cellStyle name="SAPBEXHLevel2 6_Input" xfId="1693"/>
    <cellStyle name="SAPBEXHLevel2 7" xfId="625"/>
    <cellStyle name="SAPBEXHLevel2 7 2" xfId="1297"/>
    <cellStyle name="SAPBEXHLevel2 7 3" xfId="39689"/>
    <cellStyle name="SAPBEXHLevel2 7_Input" xfId="1695"/>
    <cellStyle name="SAPBEXHLevel2 8" xfId="626"/>
    <cellStyle name="SAPBEXHLevel2 8 2" xfId="1298"/>
    <cellStyle name="SAPBEXHLevel2 8 3" xfId="39690"/>
    <cellStyle name="SAPBEXHLevel2 8_Input" xfId="1696"/>
    <cellStyle name="SAPBEXHLevel2 9" xfId="627"/>
    <cellStyle name="SAPBEXHLevel2 9 2" xfId="1299"/>
    <cellStyle name="SAPBEXHLevel2 9 3" xfId="39691"/>
    <cellStyle name="SAPBEXHLevel2 9_Input" xfId="1697"/>
    <cellStyle name="SAPBEXHLevel2X" xfId="628"/>
    <cellStyle name="SAPBEXHLevel2X 10" xfId="629"/>
    <cellStyle name="SAPBEXHLevel2X 10 2" xfId="1300"/>
    <cellStyle name="SAPBEXHLevel2X 10 3" xfId="39692"/>
    <cellStyle name="SAPBEXHLevel2X 10_Input" xfId="1698"/>
    <cellStyle name="SAPBEXHLevel2X 11" xfId="630"/>
    <cellStyle name="SAPBEXHLevel2X 11 2" xfId="1301"/>
    <cellStyle name="SAPBEXHLevel2X 11 3" xfId="39693"/>
    <cellStyle name="SAPBEXHLevel2X 11_Input" xfId="1699"/>
    <cellStyle name="SAPBEXHLevel2X 12" xfId="804"/>
    <cellStyle name="SAPBEXHLevel2X 12 2" xfId="39694"/>
    <cellStyle name="SAPBEXHLevel2X 12 3" xfId="39388"/>
    <cellStyle name="SAPBEXHLevel2X 13" xfId="1813"/>
    <cellStyle name="SAPBEXHLevel2X 13 2" xfId="39695"/>
    <cellStyle name="SAPBEXHLevel2X 13 3" xfId="39389"/>
    <cellStyle name="SAPBEXHLevel2X 14" xfId="1819"/>
    <cellStyle name="SAPBEXHLevel2X 14 2" xfId="39696"/>
    <cellStyle name="SAPBEXHLevel2X 14 3" xfId="39390"/>
    <cellStyle name="SAPBEXHLevel2X 15" xfId="1834"/>
    <cellStyle name="SAPBEXHLevel2X 15 2" xfId="39697"/>
    <cellStyle name="SAPBEXHLevel2X 15 3" xfId="39391"/>
    <cellStyle name="SAPBEXHLevel2X 16" xfId="1864"/>
    <cellStyle name="SAPBEXHLevel2X 16 2" xfId="39698"/>
    <cellStyle name="SAPBEXHLevel2X 16 3" xfId="39392"/>
    <cellStyle name="SAPBEXHLevel2X 17" xfId="1879"/>
    <cellStyle name="SAPBEXHLevel2X 17 2" xfId="39699"/>
    <cellStyle name="SAPBEXHLevel2X 17 3" xfId="39393"/>
    <cellStyle name="SAPBEXHLevel2X 18" xfId="1851"/>
    <cellStyle name="SAPBEXHLevel2X 18 2" xfId="39700"/>
    <cellStyle name="SAPBEXHLevel2X 18 3" xfId="39394"/>
    <cellStyle name="SAPBEXHLevel2X 19" xfId="1841"/>
    <cellStyle name="SAPBEXHLevel2X 19 2" xfId="39701"/>
    <cellStyle name="SAPBEXHLevel2X 19 3" xfId="39395"/>
    <cellStyle name="SAPBEXHLevel2X 2" xfId="631"/>
    <cellStyle name="SAPBEXHLevel2X 2 2" xfId="632"/>
    <cellStyle name="SAPBEXHLevel2X 2 2 2" xfId="1303"/>
    <cellStyle name="SAPBEXHLevel2X 2 2_Input" xfId="1701"/>
    <cellStyle name="SAPBEXHLevel2X 2 3" xfId="633"/>
    <cellStyle name="SAPBEXHLevel2X 2 3 2" xfId="1304"/>
    <cellStyle name="SAPBEXHLevel2X 2 3_Input" xfId="1702"/>
    <cellStyle name="SAPBEXHLevel2X 2 4" xfId="1302"/>
    <cellStyle name="SAPBEXHLevel2X 2_Input" xfId="1700"/>
    <cellStyle name="SAPBEXHLevel2X 20" xfId="1852"/>
    <cellStyle name="SAPBEXHLevel2X 20 2" xfId="39702"/>
    <cellStyle name="SAPBEXHLevel2X 20 3" xfId="39396"/>
    <cellStyle name="SAPBEXHLevel2X 21" xfId="1925"/>
    <cellStyle name="SAPBEXHLevel2X 21 2" xfId="39703"/>
    <cellStyle name="SAPBEXHLevel2X 21 3" xfId="39397"/>
    <cellStyle name="SAPBEXHLevel2X 22" xfId="1916"/>
    <cellStyle name="SAPBEXHLevel2X 22 2" xfId="39704"/>
    <cellStyle name="SAPBEXHLevel2X 22 3" xfId="39398"/>
    <cellStyle name="SAPBEXHLevel2X 23" xfId="2073"/>
    <cellStyle name="SAPBEXHLevel2X 23 2" xfId="39705"/>
    <cellStyle name="SAPBEXHLevel2X 24" xfId="39468"/>
    <cellStyle name="SAPBEXHLevel2X 25" xfId="39488"/>
    <cellStyle name="SAPBEXHLevel2X 3" xfId="634"/>
    <cellStyle name="SAPBEXHLevel2X 3 2" xfId="635"/>
    <cellStyle name="SAPBEXHLevel2X 3 2 2" xfId="1306"/>
    <cellStyle name="SAPBEXHLevel2X 3 2_Input" xfId="1704"/>
    <cellStyle name="SAPBEXHLevel2X 3 3" xfId="636"/>
    <cellStyle name="SAPBEXHLevel2X 3 3 2" xfId="637"/>
    <cellStyle name="SAPBEXHLevel2X 3 3 2 2" xfId="1308"/>
    <cellStyle name="SAPBEXHLevel2X 3 3 2_Input" xfId="1706"/>
    <cellStyle name="SAPBEXHLevel2X 3 3 3" xfId="638"/>
    <cellStyle name="SAPBEXHLevel2X 3 3 3 2" xfId="1309"/>
    <cellStyle name="SAPBEXHLevel2X 3 3 3_Input" xfId="1707"/>
    <cellStyle name="SAPBEXHLevel2X 3 3 4" xfId="639"/>
    <cellStyle name="SAPBEXHLevel2X 3 3 4 2" xfId="1310"/>
    <cellStyle name="SAPBEXHLevel2X 3 3 4_Input" xfId="1708"/>
    <cellStyle name="SAPBEXHLevel2X 3 3 5" xfId="1307"/>
    <cellStyle name="SAPBEXHLevel2X 3 3_Input" xfId="1705"/>
    <cellStyle name="SAPBEXHLevel2X 3 4" xfId="640"/>
    <cellStyle name="SAPBEXHLevel2X 3 4 2" xfId="1311"/>
    <cellStyle name="SAPBEXHLevel2X 3 4_Input" xfId="1709"/>
    <cellStyle name="SAPBEXHLevel2X 3 5" xfId="1305"/>
    <cellStyle name="SAPBEXHLevel2X 3_Input" xfId="1703"/>
    <cellStyle name="SAPBEXHLevel2X 4" xfId="641"/>
    <cellStyle name="SAPBEXHLevel2X 4 2" xfId="642"/>
    <cellStyle name="SAPBEXHLevel2X 4 2 2" xfId="1313"/>
    <cellStyle name="SAPBEXHLevel2X 4 2_Input" xfId="1711"/>
    <cellStyle name="SAPBEXHLevel2X 4 3" xfId="1312"/>
    <cellStyle name="SAPBEXHLevel2X 4_Input" xfId="1710"/>
    <cellStyle name="SAPBEXHLevel2X 5" xfId="643"/>
    <cellStyle name="SAPBEXHLevel2X 5 2" xfId="644"/>
    <cellStyle name="SAPBEXHLevel2X 5 2 2" xfId="1315"/>
    <cellStyle name="SAPBEXHLevel2X 5 2_Input" xfId="1713"/>
    <cellStyle name="SAPBEXHLevel2X 5 3" xfId="645"/>
    <cellStyle name="SAPBEXHLevel2X 5 3 2" xfId="1316"/>
    <cellStyle name="SAPBEXHLevel2X 5 3_Input" xfId="1714"/>
    <cellStyle name="SAPBEXHLevel2X 5 4" xfId="646"/>
    <cellStyle name="SAPBEXHLevel2X 5 4 2" xfId="1317"/>
    <cellStyle name="SAPBEXHLevel2X 5 4_Input" xfId="1715"/>
    <cellStyle name="SAPBEXHLevel2X 5 5" xfId="1314"/>
    <cellStyle name="SAPBEXHLevel2X 5_Input" xfId="1712"/>
    <cellStyle name="SAPBEXHLevel2X 6" xfId="647"/>
    <cellStyle name="SAPBEXHLevel2X 6 2" xfId="648"/>
    <cellStyle name="SAPBEXHLevel2X 6 2 2" xfId="1319"/>
    <cellStyle name="SAPBEXHLevel2X 6 2_Input" xfId="1717"/>
    <cellStyle name="SAPBEXHLevel2X 6 3" xfId="1318"/>
    <cellStyle name="SAPBEXHLevel2X 6_Input" xfId="1716"/>
    <cellStyle name="SAPBEXHLevel2X 7" xfId="649"/>
    <cellStyle name="SAPBEXHLevel2X 7 2" xfId="1320"/>
    <cellStyle name="SAPBEXHLevel2X 7 3" xfId="39706"/>
    <cellStyle name="SAPBEXHLevel2X 7_Input" xfId="1718"/>
    <cellStyle name="SAPBEXHLevel2X 8" xfId="650"/>
    <cellStyle name="SAPBEXHLevel2X 8 2" xfId="1321"/>
    <cellStyle name="SAPBEXHLevel2X 8 3" xfId="39707"/>
    <cellStyle name="SAPBEXHLevel2X 8_Input" xfId="1719"/>
    <cellStyle name="SAPBEXHLevel2X 9" xfId="651"/>
    <cellStyle name="SAPBEXHLevel2X 9 2" xfId="1322"/>
    <cellStyle name="SAPBEXHLevel2X 9 3" xfId="39708"/>
    <cellStyle name="SAPBEXHLevel2X 9_Input" xfId="1720"/>
    <cellStyle name="SAPBEXHLevel3" xfId="652"/>
    <cellStyle name="SAPBEXHLevel3 10" xfId="653"/>
    <cellStyle name="SAPBEXHLevel3 10 2" xfId="1323"/>
    <cellStyle name="SAPBEXHLevel3 10 3" xfId="39709"/>
    <cellStyle name="SAPBEXHLevel3 10_Input" xfId="1721"/>
    <cellStyle name="SAPBEXHLevel3 11" xfId="654"/>
    <cellStyle name="SAPBEXHLevel3 11 2" xfId="1324"/>
    <cellStyle name="SAPBEXHLevel3 11 3" xfId="39710"/>
    <cellStyle name="SAPBEXHLevel3 11_Input" xfId="1722"/>
    <cellStyle name="SAPBEXHLevel3 12" xfId="805"/>
    <cellStyle name="SAPBEXHLevel3 12 2" xfId="39711"/>
    <cellStyle name="SAPBEXHLevel3 12 3" xfId="39399"/>
    <cellStyle name="SAPBEXHLevel3 13" xfId="1814"/>
    <cellStyle name="SAPBEXHLevel3 13 2" xfId="39712"/>
    <cellStyle name="SAPBEXHLevel3 13 3" xfId="39400"/>
    <cellStyle name="SAPBEXHLevel3 14" xfId="1820"/>
    <cellStyle name="SAPBEXHLevel3 14 2" xfId="39713"/>
    <cellStyle name="SAPBEXHLevel3 14 3" xfId="39401"/>
    <cellStyle name="SAPBEXHLevel3 15" xfId="1835"/>
    <cellStyle name="SAPBEXHLevel3 15 2" xfId="39714"/>
    <cellStyle name="SAPBEXHLevel3 15 3" xfId="39402"/>
    <cellStyle name="SAPBEXHLevel3 16" xfId="1865"/>
    <cellStyle name="SAPBEXHLevel3 16 2" xfId="39715"/>
    <cellStyle name="SAPBEXHLevel3 16 3" xfId="39403"/>
    <cellStyle name="SAPBEXHLevel3 17" xfId="1880"/>
    <cellStyle name="SAPBEXHLevel3 17 2" xfId="39716"/>
    <cellStyle name="SAPBEXHLevel3 17 3" xfId="39404"/>
    <cellStyle name="SAPBEXHLevel3 18" xfId="1854"/>
    <cellStyle name="SAPBEXHLevel3 18 2" xfId="39717"/>
    <cellStyle name="SAPBEXHLevel3 18 3" xfId="39405"/>
    <cellStyle name="SAPBEXHLevel3 19" xfId="1882"/>
    <cellStyle name="SAPBEXHLevel3 19 2" xfId="39718"/>
    <cellStyle name="SAPBEXHLevel3 19 3" xfId="39406"/>
    <cellStyle name="SAPBEXHLevel3 2" xfId="655"/>
    <cellStyle name="SAPBEXHLevel3 2 2" xfId="656"/>
    <cellStyle name="SAPBEXHLevel3 2 2 2" xfId="1326"/>
    <cellStyle name="SAPBEXHLevel3 2 2_Input" xfId="1724"/>
    <cellStyle name="SAPBEXHLevel3 2 3" xfId="657"/>
    <cellStyle name="SAPBEXHLevel3 2 3 2" xfId="1327"/>
    <cellStyle name="SAPBEXHLevel3 2 3_Input" xfId="1725"/>
    <cellStyle name="SAPBEXHLevel3 2 4" xfId="1325"/>
    <cellStyle name="SAPBEXHLevel3 2_Input" xfId="1723"/>
    <cellStyle name="SAPBEXHLevel3 20" xfId="1870"/>
    <cellStyle name="SAPBEXHLevel3 20 2" xfId="39719"/>
    <cellStyle name="SAPBEXHLevel3 20 3" xfId="39407"/>
    <cellStyle name="SAPBEXHLevel3 21" xfId="1926"/>
    <cellStyle name="SAPBEXHLevel3 21 2" xfId="39720"/>
    <cellStyle name="SAPBEXHLevel3 21 3" xfId="39408"/>
    <cellStyle name="SAPBEXHLevel3 22" xfId="1915"/>
    <cellStyle name="SAPBEXHLevel3 22 2" xfId="39721"/>
    <cellStyle name="SAPBEXHLevel3 22 3" xfId="39409"/>
    <cellStyle name="SAPBEXHLevel3 23" xfId="2074"/>
    <cellStyle name="SAPBEXHLevel3 23 2" xfId="39722"/>
    <cellStyle name="SAPBEXHLevel3 24" xfId="39469"/>
    <cellStyle name="SAPBEXHLevel3 25" xfId="39489"/>
    <cellStyle name="SAPBEXHLevel3 3" xfId="658"/>
    <cellStyle name="SAPBEXHLevel3 3 2" xfId="659"/>
    <cellStyle name="SAPBEXHLevel3 3 2 2" xfId="1329"/>
    <cellStyle name="SAPBEXHLevel3 3 2_Input" xfId="1727"/>
    <cellStyle name="SAPBEXHLevel3 3 3" xfId="660"/>
    <cellStyle name="SAPBEXHLevel3 3 3 2" xfId="661"/>
    <cellStyle name="SAPBEXHLevel3 3 3 2 2" xfId="1331"/>
    <cellStyle name="SAPBEXHLevel3 3 3 2_Input" xfId="1729"/>
    <cellStyle name="SAPBEXHLevel3 3 3 3" xfId="662"/>
    <cellStyle name="SAPBEXHLevel3 3 3 3 2" xfId="1332"/>
    <cellStyle name="SAPBEXHLevel3 3 3 3_Input" xfId="1730"/>
    <cellStyle name="SAPBEXHLevel3 3 3 4" xfId="663"/>
    <cellStyle name="SAPBEXHLevel3 3 3 4 2" xfId="1333"/>
    <cellStyle name="SAPBEXHLevel3 3 3 4_Input" xfId="1731"/>
    <cellStyle name="SAPBEXHLevel3 3 3 5" xfId="1330"/>
    <cellStyle name="SAPBEXHLevel3 3 3_Input" xfId="1728"/>
    <cellStyle name="SAPBEXHLevel3 3 4" xfId="664"/>
    <cellStyle name="SAPBEXHLevel3 3 4 2" xfId="1334"/>
    <cellStyle name="SAPBEXHLevel3 3 4_Input" xfId="1732"/>
    <cellStyle name="SAPBEXHLevel3 3 5" xfId="1328"/>
    <cellStyle name="SAPBEXHLevel3 3_Input" xfId="1726"/>
    <cellStyle name="SAPBEXHLevel3 4" xfId="665"/>
    <cellStyle name="SAPBEXHLevel3 4 2" xfId="666"/>
    <cellStyle name="SAPBEXHLevel3 4 2 2" xfId="1336"/>
    <cellStyle name="SAPBEXHLevel3 4 2_Input" xfId="1734"/>
    <cellStyle name="SAPBEXHLevel3 4 3" xfId="1335"/>
    <cellStyle name="SAPBEXHLevel3 4_Input" xfId="1733"/>
    <cellStyle name="SAPBEXHLevel3 5" xfId="667"/>
    <cellStyle name="SAPBEXHLevel3 5 2" xfId="668"/>
    <cellStyle name="SAPBEXHLevel3 5 2 2" xfId="1338"/>
    <cellStyle name="SAPBEXHLevel3 5 2_Input" xfId="1736"/>
    <cellStyle name="SAPBEXHLevel3 5 3" xfId="669"/>
    <cellStyle name="SAPBEXHLevel3 5 3 2" xfId="1339"/>
    <cellStyle name="SAPBEXHLevel3 5 3_Input" xfId="1737"/>
    <cellStyle name="SAPBEXHLevel3 5 4" xfId="670"/>
    <cellStyle name="SAPBEXHLevel3 5 4 2" xfId="1340"/>
    <cellStyle name="SAPBEXHLevel3 5 4_Input" xfId="1738"/>
    <cellStyle name="SAPBEXHLevel3 5 5" xfId="1337"/>
    <cellStyle name="SAPBEXHLevel3 5_Input" xfId="1735"/>
    <cellStyle name="SAPBEXHLevel3 6" xfId="671"/>
    <cellStyle name="SAPBEXHLevel3 6 2" xfId="672"/>
    <cellStyle name="SAPBEXHLevel3 6 2 2" xfId="1342"/>
    <cellStyle name="SAPBEXHLevel3 6 2_Input" xfId="1740"/>
    <cellStyle name="SAPBEXHLevel3 6 3" xfId="1341"/>
    <cellStyle name="SAPBEXHLevel3 6_Input" xfId="1739"/>
    <cellStyle name="SAPBEXHLevel3 7" xfId="673"/>
    <cellStyle name="SAPBEXHLevel3 7 2" xfId="1343"/>
    <cellStyle name="SAPBEXHLevel3 7 3" xfId="39723"/>
    <cellStyle name="SAPBEXHLevel3 7_Input" xfId="1741"/>
    <cellStyle name="SAPBEXHLevel3 8" xfId="674"/>
    <cellStyle name="SAPBEXHLevel3 8 2" xfId="1344"/>
    <cellStyle name="SAPBEXHLevel3 8 3" xfId="39724"/>
    <cellStyle name="SAPBEXHLevel3 8_Input" xfId="1742"/>
    <cellStyle name="SAPBEXHLevel3 9" xfId="675"/>
    <cellStyle name="SAPBEXHLevel3 9 2" xfId="1345"/>
    <cellStyle name="SAPBEXHLevel3 9 3" xfId="39725"/>
    <cellStyle name="SAPBEXHLevel3 9_Input" xfId="1743"/>
    <cellStyle name="SAPBEXHLevel3X" xfId="676"/>
    <cellStyle name="SAPBEXHLevel3X 10" xfId="677"/>
    <cellStyle name="SAPBEXHLevel3X 10 2" xfId="1346"/>
    <cellStyle name="SAPBEXHLevel3X 10 3" xfId="39726"/>
    <cellStyle name="SAPBEXHLevel3X 10_Input" xfId="1744"/>
    <cellStyle name="SAPBEXHLevel3X 11" xfId="678"/>
    <cellStyle name="SAPBEXHLevel3X 11 2" xfId="1347"/>
    <cellStyle name="SAPBEXHLevel3X 11 3" xfId="39727"/>
    <cellStyle name="SAPBEXHLevel3X 11_Input" xfId="1745"/>
    <cellStyle name="SAPBEXHLevel3X 12" xfId="806"/>
    <cellStyle name="SAPBEXHLevel3X 12 2" xfId="39728"/>
    <cellStyle name="SAPBEXHLevel3X 12 3" xfId="39410"/>
    <cellStyle name="SAPBEXHLevel3X 13" xfId="1815"/>
    <cellStyle name="SAPBEXHLevel3X 13 2" xfId="39729"/>
    <cellStyle name="SAPBEXHLevel3X 13 3" xfId="39411"/>
    <cellStyle name="SAPBEXHLevel3X 14" xfId="1821"/>
    <cellStyle name="SAPBEXHLevel3X 14 2" xfId="39730"/>
    <cellStyle name="SAPBEXHLevel3X 14 3" xfId="39412"/>
    <cellStyle name="SAPBEXHLevel3X 15" xfId="1836"/>
    <cellStyle name="SAPBEXHLevel3X 15 2" xfId="39731"/>
    <cellStyle name="SAPBEXHLevel3X 15 3" xfId="39413"/>
    <cellStyle name="SAPBEXHLevel3X 16" xfId="1866"/>
    <cellStyle name="SAPBEXHLevel3X 16 2" xfId="39732"/>
    <cellStyle name="SAPBEXHLevel3X 16 3" xfId="39414"/>
    <cellStyle name="SAPBEXHLevel3X 17" xfId="1881"/>
    <cellStyle name="SAPBEXHLevel3X 17 2" xfId="39733"/>
    <cellStyle name="SAPBEXHLevel3X 17 3" xfId="39415"/>
    <cellStyle name="SAPBEXHLevel3X 18" xfId="1868"/>
    <cellStyle name="SAPBEXHLevel3X 18 2" xfId="39734"/>
    <cellStyle name="SAPBEXHLevel3X 18 3" xfId="39416"/>
    <cellStyle name="SAPBEXHLevel3X 19" xfId="1883"/>
    <cellStyle name="SAPBEXHLevel3X 19 2" xfId="39735"/>
    <cellStyle name="SAPBEXHLevel3X 19 3" xfId="39417"/>
    <cellStyle name="SAPBEXHLevel3X 2" xfId="679"/>
    <cellStyle name="SAPBEXHLevel3X 2 2" xfId="680"/>
    <cellStyle name="SAPBEXHLevel3X 2 2 2" xfId="1349"/>
    <cellStyle name="SAPBEXHLevel3X 2 2_Input" xfId="1747"/>
    <cellStyle name="SAPBEXHLevel3X 2 3" xfId="681"/>
    <cellStyle name="SAPBEXHLevel3X 2 3 2" xfId="1350"/>
    <cellStyle name="SAPBEXHLevel3X 2 3_Input" xfId="1748"/>
    <cellStyle name="SAPBEXHLevel3X 2 4" xfId="1348"/>
    <cellStyle name="SAPBEXHLevel3X 2_Input" xfId="1746"/>
    <cellStyle name="SAPBEXHLevel3X 20" xfId="1892"/>
    <cellStyle name="SAPBEXHLevel3X 20 2" xfId="39736"/>
    <cellStyle name="SAPBEXHLevel3X 20 3" xfId="39418"/>
    <cellStyle name="SAPBEXHLevel3X 21" xfId="1927"/>
    <cellStyle name="SAPBEXHLevel3X 21 2" xfId="39737"/>
    <cellStyle name="SAPBEXHLevel3X 21 3" xfId="39419"/>
    <cellStyle name="SAPBEXHLevel3X 22" xfId="1912"/>
    <cellStyle name="SAPBEXHLevel3X 22 2" xfId="39738"/>
    <cellStyle name="SAPBEXHLevel3X 22 3" xfId="39420"/>
    <cellStyle name="SAPBEXHLevel3X 23" xfId="2075"/>
    <cellStyle name="SAPBEXHLevel3X 23 2" xfId="39739"/>
    <cellStyle name="SAPBEXHLevel3X 24" xfId="39470"/>
    <cellStyle name="SAPBEXHLevel3X 25" xfId="39490"/>
    <cellStyle name="SAPBEXHLevel3X 3" xfId="682"/>
    <cellStyle name="SAPBEXHLevel3X 3 2" xfId="683"/>
    <cellStyle name="SAPBEXHLevel3X 3 2 2" xfId="1352"/>
    <cellStyle name="SAPBEXHLevel3X 3 2_Input" xfId="1750"/>
    <cellStyle name="SAPBEXHLevel3X 3 3" xfId="684"/>
    <cellStyle name="SAPBEXHLevel3X 3 3 2" xfId="685"/>
    <cellStyle name="SAPBEXHLevel3X 3 3 2 2" xfId="1354"/>
    <cellStyle name="SAPBEXHLevel3X 3 3 2_Input" xfId="1752"/>
    <cellStyle name="SAPBEXHLevel3X 3 3 3" xfId="686"/>
    <cellStyle name="SAPBEXHLevel3X 3 3 3 2" xfId="1355"/>
    <cellStyle name="SAPBEXHLevel3X 3 3 3_Input" xfId="1753"/>
    <cellStyle name="SAPBEXHLevel3X 3 3 4" xfId="687"/>
    <cellStyle name="SAPBEXHLevel3X 3 3 4 2" xfId="1356"/>
    <cellStyle name="SAPBEXHLevel3X 3 3 4_Input" xfId="1754"/>
    <cellStyle name="SAPBEXHLevel3X 3 3 5" xfId="1353"/>
    <cellStyle name="SAPBEXHLevel3X 3 3_Input" xfId="1751"/>
    <cellStyle name="SAPBEXHLevel3X 3 4" xfId="688"/>
    <cellStyle name="SAPBEXHLevel3X 3 4 2" xfId="1357"/>
    <cellStyle name="SAPBEXHLevel3X 3 4_Input" xfId="1755"/>
    <cellStyle name="SAPBEXHLevel3X 3 5" xfId="1351"/>
    <cellStyle name="SAPBEXHLevel3X 3_Input" xfId="1749"/>
    <cellStyle name="SAPBEXHLevel3X 4" xfId="689"/>
    <cellStyle name="SAPBEXHLevel3X 4 2" xfId="690"/>
    <cellStyle name="SAPBEXHLevel3X 4 2 2" xfId="1359"/>
    <cellStyle name="SAPBEXHLevel3X 4 2_Input" xfId="1757"/>
    <cellStyle name="SAPBEXHLevel3X 4 3" xfId="1358"/>
    <cellStyle name="SAPBEXHLevel3X 4_Input" xfId="1756"/>
    <cellStyle name="SAPBEXHLevel3X 5" xfId="691"/>
    <cellStyle name="SAPBEXHLevel3X 5 2" xfId="692"/>
    <cellStyle name="SAPBEXHLevel3X 5 2 2" xfId="1361"/>
    <cellStyle name="SAPBEXHLevel3X 5 2_Input" xfId="1759"/>
    <cellStyle name="SAPBEXHLevel3X 5 3" xfId="693"/>
    <cellStyle name="SAPBEXHLevel3X 5 3 2" xfId="1362"/>
    <cellStyle name="SAPBEXHLevel3X 5 3_Input" xfId="1760"/>
    <cellStyle name="SAPBEXHLevel3X 5 4" xfId="694"/>
    <cellStyle name="SAPBEXHLevel3X 5 4 2" xfId="1363"/>
    <cellStyle name="SAPBEXHLevel3X 5 4_Input" xfId="1761"/>
    <cellStyle name="SAPBEXHLevel3X 5 5" xfId="1360"/>
    <cellStyle name="SAPBEXHLevel3X 5_Input" xfId="1758"/>
    <cellStyle name="SAPBEXHLevel3X 6" xfId="695"/>
    <cellStyle name="SAPBEXHLevel3X 6 2" xfId="696"/>
    <cellStyle name="SAPBEXHLevel3X 6 2 2" xfId="1365"/>
    <cellStyle name="SAPBEXHLevel3X 6 2_Input" xfId="1763"/>
    <cellStyle name="SAPBEXHLevel3X 6 3" xfId="1364"/>
    <cellStyle name="SAPBEXHLevel3X 6_Input" xfId="1762"/>
    <cellStyle name="SAPBEXHLevel3X 7" xfId="697"/>
    <cellStyle name="SAPBEXHLevel3X 7 2" xfId="1366"/>
    <cellStyle name="SAPBEXHLevel3X 7 3" xfId="39740"/>
    <cellStyle name="SAPBEXHLevel3X 7_Input" xfId="1764"/>
    <cellStyle name="SAPBEXHLevel3X 8" xfId="698"/>
    <cellStyle name="SAPBEXHLevel3X 8 2" xfId="1367"/>
    <cellStyle name="SAPBEXHLevel3X 8 3" xfId="39741"/>
    <cellStyle name="SAPBEXHLevel3X 8_Input" xfId="1765"/>
    <cellStyle name="SAPBEXHLevel3X 9" xfId="699"/>
    <cellStyle name="SAPBEXHLevel3X 9 2" xfId="1368"/>
    <cellStyle name="SAPBEXHLevel3X 9 3" xfId="39742"/>
    <cellStyle name="SAPBEXHLevel3X 9_Input" xfId="1766"/>
    <cellStyle name="SAPBEXinputData" xfId="807"/>
    <cellStyle name="SAPBEXresData" xfId="700"/>
    <cellStyle name="SAPBEXresData 2" xfId="701"/>
    <cellStyle name="SAPBEXresData 3" xfId="702"/>
    <cellStyle name="SAPBEXresData 4" xfId="808"/>
    <cellStyle name="SAPBEXresData_Input" xfId="1767"/>
    <cellStyle name="SAPBEXresDataEmph" xfId="703"/>
    <cellStyle name="SAPBEXresDataEmph 2" xfId="809"/>
    <cellStyle name="SAPBEXresItem" xfId="704"/>
    <cellStyle name="SAPBEXresItem 2" xfId="705"/>
    <cellStyle name="SAPBEXresItem 3" xfId="706"/>
    <cellStyle name="SAPBEXresItem 4" xfId="810"/>
    <cellStyle name="SAPBEXresItem_Input" xfId="1768"/>
    <cellStyle name="SAPBEXresItemX" xfId="707"/>
    <cellStyle name="SAPBEXresItemX 2" xfId="708"/>
    <cellStyle name="SAPBEXresItemX 3" xfId="709"/>
    <cellStyle name="SAPBEXresItemX 4" xfId="811"/>
    <cellStyle name="SAPBEXresItemX_Input" xfId="1769"/>
    <cellStyle name="SAPBEXstdData" xfId="710"/>
    <cellStyle name="SAPBEXstdData 2" xfId="711"/>
    <cellStyle name="SAPBEXstdData 2 2" xfId="712"/>
    <cellStyle name="SAPBEXstdData 2 2 2" xfId="713"/>
    <cellStyle name="SAPBEXstdData 2 2 3" xfId="39743"/>
    <cellStyle name="SAPBEXstdData 2 3" xfId="714"/>
    <cellStyle name="SAPBEXstdData 3" xfId="812"/>
    <cellStyle name="SAPBEXstdData 3 2" xfId="39814"/>
    <cellStyle name="SAPBEXstdData_eFINAL DIMAGGIO MOS 3T(Feb 2011 forward)" xfId="715"/>
    <cellStyle name="SAPBEXstdDataEmph" xfId="716"/>
    <cellStyle name="SAPBEXstdDataEmph 2" xfId="813"/>
    <cellStyle name="SAPBEXstdItem" xfId="717"/>
    <cellStyle name="SAPBEXstdItem 2" xfId="718"/>
    <cellStyle name="SAPBEXstdItem 2 2" xfId="719"/>
    <cellStyle name="SAPBEXstdItem 2 2 2" xfId="720"/>
    <cellStyle name="SAPBEXstdItem 2 2 3" xfId="39744"/>
    <cellStyle name="SAPBEXstdItem 2 3" xfId="721"/>
    <cellStyle name="SAPBEXstdItem 3" xfId="814"/>
    <cellStyle name="SAPBEXstdItem 3 2" xfId="39815"/>
    <cellStyle name="SAPBEXstdItemX" xfId="722"/>
    <cellStyle name="SAPBEXstdItemX 10" xfId="723"/>
    <cellStyle name="SAPBEXstdItemX 10 2" xfId="1369"/>
    <cellStyle name="SAPBEXstdItemX 10 3" xfId="39745"/>
    <cellStyle name="SAPBEXstdItemX 10_Input" xfId="1770"/>
    <cellStyle name="SAPBEXstdItemX 11" xfId="724"/>
    <cellStyle name="SAPBEXstdItemX 11 2" xfId="1370"/>
    <cellStyle name="SAPBEXstdItemX 11 3" xfId="39746"/>
    <cellStyle name="SAPBEXstdItemX 11_Input" xfId="1771"/>
    <cellStyle name="SAPBEXstdItemX 12" xfId="815"/>
    <cellStyle name="SAPBEXstdItemX 12 2" xfId="39747"/>
    <cellStyle name="SAPBEXstdItemX 12 3" xfId="39421"/>
    <cellStyle name="SAPBEXstdItemX 13" xfId="1817"/>
    <cellStyle name="SAPBEXstdItemX 13 2" xfId="39748"/>
    <cellStyle name="SAPBEXstdItemX 13 3" xfId="39422"/>
    <cellStyle name="SAPBEXstdItemX 14" xfId="1822"/>
    <cellStyle name="SAPBEXstdItemX 14 2" xfId="39749"/>
    <cellStyle name="SAPBEXstdItemX 14 3" xfId="39423"/>
    <cellStyle name="SAPBEXstdItemX 15" xfId="1837"/>
    <cellStyle name="SAPBEXstdItemX 15 2" xfId="39750"/>
    <cellStyle name="SAPBEXstdItemX 15 3" xfId="39424"/>
    <cellStyle name="SAPBEXstdItemX 16" xfId="1873"/>
    <cellStyle name="SAPBEXstdItemX 16 2" xfId="39751"/>
    <cellStyle name="SAPBEXstdItemX 16 3" xfId="39425"/>
    <cellStyle name="SAPBEXstdItemX 17" xfId="1887"/>
    <cellStyle name="SAPBEXstdItemX 17 2" xfId="39752"/>
    <cellStyle name="SAPBEXstdItemX 17 3" xfId="39426"/>
    <cellStyle name="SAPBEXstdItemX 18" xfId="1895"/>
    <cellStyle name="SAPBEXstdItemX 18 2" xfId="39753"/>
    <cellStyle name="SAPBEXstdItemX 18 3" xfId="39427"/>
    <cellStyle name="SAPBEXstdItemX 19" xfId="1901"/>
    <cellStyle name="SAPBEXstdItemX 19 2" xfId="39754"/>
    <cellStyle name="SAPBEXstdItemX 19 3" xfId="39428"/>
    <cellStyle name="SAPBEXstdItemX 2" xfId="725"/>
    <cellStyle name="SAPBEXstdItemX 2 2" xfId="726"/>
    <cellStyle name="SAPBEXstdItemX 2 2 2" xfId="1372"/>
    <cellStyle name="SAPBEXstdItemX 2 2_Input" xfId="1773"/>
    <cellStyle name="SAPBEXstdItemX 2 3" xfId="1371"/>
    <cellStyle name="SAPBEXstdItemX 2_Input" xfId="1772"/>
    <cellStyle name="SAPBEXstdItemX 20" xfId="1903"/>
    <cellStyle name="SAPBEXstdItemX 20 2" xfId="39755"/>
    <cellStyle name="SAPBEXstdItemX 20 3" xfId="39429"/>
    <cellStyle name="SAPBEXstdItemX 21" xfId="1929"/>
    <cellStyle name="SAPBEXstdItemX 21 2" xfId="39756"/>
    <cellStyle name="SAPBEXstdItemX 21 3" xfId="39430"/>
    <cellStyle name="SAPBEXstdItemX 22" xfId="1931"/>
    <cellStyle name="SAPBEXstdItemX 22 2" xfId="39757"/>
    <cellStyle name="SAPBEXstdItemX 22 3" xfId="39431"/>
    <cellStyle name="SAPBEXstdItemX 23" xfId="2076"/>
    <cellStyle name="SAPBEXstdItemX 23 2" xfId="39758"/>
    <cellStyle name="SAPBEXstdItemX 24" xfId="39471"/>
    <cellStyle name="SAPBEXstdItemX 25" xfId="39491"/>
    <cellStyle name="SAPBEXstdItemX 3" xfId="727"/>
    <cellStyle name="SAPBEXstdItemX 3 2" xfId="728"/>
    <cellStyle name="SAPBEXstdItemX 3 2 2" xfId="1374"/>
    <cellStyle name="SAPBEXstdItemX 3 2_Input" xfId="1775"/>
    <cellStyle name="SAPBEXstdItemX 3 3" xfId="729"/>
    <cellStyle name="SAPBEXstdItemX 3 3 2" xfId="730"/>
    <cellStyle name="SAPBEXstdItemX 3 3 2 2" xfId="1376"/>
    <cellStyle name="SAPBEXstdItemX 3 3 2_Input" xfId="1777"/>
    <cellStyle name="SAPBEXstdItemX 3 3 3" xfId="731"/>
    <cellStyle name="SAPBEXstdItemX 3 3 3 2" xfId="1377"/>
    <cellStyle name="SAPBEXstdItemX 3 3 3_Input" xfId="1778"/>
    <cellStyle name="SAPBEXstdItemX 3 3 4" xfId="732"/>
    <cellStyle name="SAPBEXstdItemX 3 3 4 2" xfId="1378"/>
    <cellStyle name="SAPBEXstdItemX 3 3 4_Input" xfId="1779"/>
    <cellStyle name="SAPBEXstdItemX 3 3 5" xfId="1375"/>
    <cellStyle name="SAPBEXstdItemX 3 3_Input" xfId="1776"/>
    <cellStyle name="SAPBEXstdItemX 3 4" xfId="733"/>
    <cellStyle name="SAPBEXstdItemX 3 4 2" xfId="1379"/>
    <cellStyle name="SAPBEXstdItemX 3 4_Input" xfId="1780"/>
    <cellStyle name="SAPBEXstdItemX 3 5" xfId="1373"/>
    <cellStyle name="SAPBEXstdItemX 3_Input" xfId="1774"/>
    <cellStyle name="SAPBEXstdItemX 4" xfId="734"/>
    <cellStyle name="SAPBEXstdItemX 4 2" xfId="735"/>
    <cellStyle name="SAPBEXstdItemX 4 2 2" xfId="1381"/>
    <cellStyle name="SAPBEXstdItemX 4 2_Input" xfId="1782"/>
    <cellStyle name="SAPBEXstdItemX 4 3" xfId="1380"/>
    <cellStyle name="SAPBEXstdItemX 4_Input" xfId="1781"/>
    <cellStyle name="SAPBEXstdItemX 5" xfId="736"/>
    <cellStyle name="SAPBEXstdItemX 5 2" xfId="737"/>
    <cellStyle name="SAPBEXstdItemX 5 2 2" xfId="1383"/>
    <cellStyle name="SAPBEXstdItemX 5 2_Input" xfId="1784"/>
    <cellStyle name="SAPBEXstdItemX 5 3" xfId="738"/>
    <cellStyle name="SAPBEXstdItemX 5 3 2" xfId="1384"/>
    <cellStyle name="SAPBEXstdItemX 5 3_Input" xfId="1785"/>
    <cellStyle name="SAPBEXstdItemX 5 4" xfId="739"/>
    <cellStyle name="SAPBEXstdItemX 5 4 2" xfId="1385"/>
    <cellStyle name="SAPBEXstdItemX 5 4_Input" xfId="1786"/>
    <cellStyle name="SAPBEXstdItemX 5 5" xfId="1382"/>
    <cellStyle name="SAPBEXstdItemX 5_Input" xfId="1783"/>
    <cellStyle name="SAPBEXstdItemX 6" xfId="740"/>
    <cellStyle name="SAPBEXstdItemX 6 2" xfId="741"/>
    <cellStyle name="SAPBEXstdItemX 6 2 2" xfId="1387"/>
    <cellStyle name="SAPBEXstdItemX 6 2_Input" xfId="1788"/>
    <cellStyle name="SAPBEXstdItemX 6 3" xfId="1386"/>
    <cellStyle name="SAPBEXstdItemX 6_Input" xfId="1787"/>
    <cellStyle name="SAPBEXstdItemX 7" xfId="742"/>
    <cellStyle name="SAPBEXstdItemX 7 2" xfId="1388"/>
    <cellStyle name="SAPBEXstdItemX 7 3" xfId="39759"/>
    <cellStyle name="SAPBEXstdItemX 7_Input" xfId="1789"/>
    <cellStyle name="SAPBEXstdItemX 8" xfId="743"/>
    <cellStyle name="SAPBEXstdItemX 8 2" xfId="1389"/>
    <cellStyle name="SAPBEXstdItemX 8 3" xfId="39760"/>
    <cellStyle name="SAPBEXstdItemX 8_Input" xfId="1790"/>
    <cellStyle name="SAPBEXstdItemX 9" xfId="744"/>
    <cellStyle name="SAPBEXstdItemX 9 2" xfId="1390"/>
    <cellStyle name="SAPBEXstdItemX 9 3" xfId="39761"/>
    <cellStyle name="SAPBEXstdItemX 9_Input" xfId="1791"/>
    <cellStyle name="SAPBEXstdItemX_eFINAL DIMAGGIO MOS 3T(Feb 2011 forward)" xfId="745"/>
    <cellStyle name="SAPBEXtitle" xfId="746"/>
    <cellStyle name="SAPBEXtitle 2" xfId="747"/>
    <cellStyle name="SAPBEXtitle 2 2" xfId="748"/>
    <cellStyle name="SAPBEXtitle 2 2 2" xfId="749"/>
    <cellStyle name="SAPBEXtitle 2 2 3" xfId="39762"/>
    <cellStyle name="SAPBEXtitle 2 3" xfId="750"/>
    <cellStyle name="SAPBEXtitle 3" xfId="816"/>
    <cellStyle name="SAPBEXtitle 3 2" xfId="39816"/>
    <cellStyle name="SAPBEXundefined" xfId="751"/>
    <cellStyle name="SAPBEXundefined 2" xfId="817"/>
    <cellStyle name="Sheet Title" xfId="818"/>
    <cellStyle name="Style 1" xfId="752"/>
    <cellStyle name="Title 2" xfId="754"/>
    <cellStyle name="Title 3" xfId="1391"/>
    <cellStyle name="Title 4" xfId="1983"/>
    <cellStyle name="Title 5" xfId="753"/>
    <cellStyle name="Total 2" xfId="756"/>
    <cellStyle name="Total 2 2" xfId="39283"/>
    <cellStyle name="Total 2 3" xfId="39282"/>
    <cellStyle name="Total 3" xfId="778"/>
    <cellStyle name="Total 3 2" xfId="39285"/>
    <cellStyle name="Total 3 3" xfId="39284"/>
    <cellStyle name="Total 4" xfId="1392"/>
    <cellStyle name="Total 5" xfId="1984"/>
    <cellStyle name="Total 6" xfId="755"/>
    <cellStyle name="Warning Text 2" xfId="758"/>
    <cellStyle name="Warning Text 2 2" xfId="39286"/>
    <cellStyle name="Warning Text 3" xfId="1393"/>
    <cellStyle name="Warning Text 3 2" xfId="39287"/>
    <cellStyle name="Warning Text 4" xfId="1985"/>
    <cellStyle name="Warning Text 5" xfId="757"/>
  </cellStyles>
  <dxfs count="19">
    <dxf>
      <numFmt numFmtId="19" formatCode="m/d/yyyy"/>
      <protection locked="1" hidden="0"/>
    </dxf>
    <dxf>
      <protection locked="0" hidden="0"/>
    </dxf>
    <dxf>
      <protection locked="0" hidden="0"/>
    </dxf>
    <dxf>
      <protection locked="0" hidden="0"/>
    </dxf>
    <dxf>
      <protection locked="0" hidden="0"/>
    </dxf>
    <dxf>
      <protection locked="0" hidden="0"/>
    </dxf>
    <dxf>
      <protection locked="0" hidden="0"/>
    </dxf>
    <dxf>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protection locked="0" hidden="0"/>
    </dxf>
    <dxf>
      <protection locked="0" hidden="0"/>
    </dxf>
    <dxf>
      <protection locked="1" hidden="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tableStyleElement type="wholeTable" dxfId="18"/>
      <tableStyleElement type="headerRow" dxfId="17"/>
      <tableStyleElement type="firstRowStripe" dxfId="16"/>
    </tableStyle>
    <tableStyle name="TableStyleQueryResult" pivot="0" count="3">
      <tableStyleElement type="wholeTable" dxfId="15"/>
      <tableStyleElement type="headerRow" dxfId="14"/>
      <tableStyleElement type="firstRowStripe" dxfId="1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5.xml"/><Relationship Id="rId18" Type="http://schemas.openxmlformats.org/officeDocument/2006/relationships/customXml" Target="../customXml/item10.xml"/><Relationship Id="rId26" Type="http://schemas.openxmlformats.org/officeDocument/2006/relationships/customXml" Target="../customXml/item18.xml"/><Relationship Id="rId3" Type="http://schemas.openxmlformats.org/officeDocument/2006/relationships/worksheet" Target="worksheets/sheet3.xml"/><Relationship Id="rId21" Type="http://schemas.openxmlformats.org/officeDocument/2006/relationships/customXml" Target="../customXml/item13.xml"/><Relationship Id="rId7" Type="http://schemas.openxmlformats.org/officeDocument/2006/relationships/sharedStrings" Target="sharedStrings.xml"/><Relationship Id="rId12" Type="http://schemas.openxmlformats.org/officeDocument/2006/relationships/customXml" Target="../customXml/item4.xml"/><Relationship Id="rId17" Type="http://schemas.openxmlformats.org/officeDocument/2006/relationships/customXml" Target="../customXml/item9.xml"/><Relationship Id="rId25"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ustomXml" Target="../customXml/item8.xml"/><Relationship Id="rId20" Type="http://schemas.openxmlformats.org/officeDocument/2006/relationships/customXml" Target="../customXml/item12.xml"/><Relationship Id="rId29"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24" Type="http://schemas.openxmlformats.org/officeDocument/2006/relationships/customXml" Target="../customXml/item16.xml"/><Relationship Id="rId32" Type="http://schemas.microsoft.com/office/2006/relationships/vbaProject" Target="vbaProject.bin"/><Relationship Id="rId5" Type="http://schemas.openxmlformats.org/officeDocument/2006/relationships/connections" Target="connections.xml"/><Relationship Id="rId15" Type="http://schemas.openxmlformats.org/officeDocument/2006/relationships/customXml" Target="../customXml/item7.xml"/><Relationship Id="rId23" Type="http://schemas.openxmlformats.org/officeDocument/2006/relationships/customXml" Target="../customXml/item15.xml"/><Relationship Id="rId28" Type="http://schemas.openxmlformats.org/officeDocument/2006/relationships/customXml" Target="../customXml/item20.xml"/><Relationship Id="rId10" Type="http://schemas.openxmlformats.org/officeDocument/2006/relationships/customXml" Target="../customXml/item2.xml"/><Relationship Id="rId19" Type="http://schemas.openxmlformats.org/officeDocument/2006/relationships/customXml" Target="../customXml/item11.xml"/><Relationship Id="rId31" Type="http://schemas.openxmlformats.org/officeDocument/2006/relationships/customXml" Target="../customXml/item23.xml"/><Relationship Id="rId4" Type="http://schemas.openxmlformats.org/officeDocument/2006/relationships/theme" Target="theme/theme1.xml"/><Relationship Id="rId9" Type="http://schemas.openxmlformats.org/officeDocument/2006/relationships/customXml" Target="../customXml/item1.xml"/><Relationship Id="rId14" Type="http://schemas.openxmlformats.org/officeDocument/2006/relationships/customXml" Target="../customXml/item6.xml"/><Relationship Id="rId22" Type="http://schemas.openxmlformats.org/officeDocument/2006/relationships/customXml" Target="../customXml/item14.xml"/><Relationship Id="rId27" Type="http://schemas.openxmlformats.org/officeDocument/2006/relationships/customXml" Target="../customXml/item19.xml"/><Relationship Id="rId30" Type="http://schemas.openxmlformats.org/officeDocument/2006/relationships/customXml" Target="../customXml/item2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0</xdr:row>
          <xdr:rowOff>85725</xdr:rowOff>
        </xdr:from>
        <xdr:to>
          <xdr:col>2</xdr:col>
          <xdr:colOff>238125</xdr:colOff>
          <xdr:row>1</xdr:row>
          <xdr:rowOff>171450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Auto_Open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ables/table1.xml><?xml version="1.0" encoding="utf-8"?>
<table xmlns="http://schemas.openxmlformats.org/spreadsheetml/2006/main" id="10" name="TestTable" displayName="TestTable" ref="C4:H89" totalsRowShown="0">
  <autoFilter ref="C4:H89"/>
  <tableColumns count="6">
    <tableColumn id="6" name="Product ID" dataDxfId="12"/>
    <tableColumn id="1" name="Product" dataDxfId="11"/>
    <tableColumn id="2" name="Phrase" dataDxfId="10"/>
    <tableColumn id="3" name="Description" dataDxfId="9"/>
    <tableColumn id="5" name="Preference" dataDxfId="8"/>
    <tableColumn id="4" name="Model" dataDxfId="7"/>
  </tableColumns>
  <tableStyleInfo name="TableStyleMedium9" showFirstColumn="0" showLastColumn="0" showRowStripes="1" showColumnStripes="0"/>
</table>
</file>

<file path=xl/tables/table2.xml><?xml version="1.0" encoding="utf-8"?>
<table xmlns="http://schemas.openxmlformats.org/spreadsheetml/2006/main" id="1" name="EmployeeTable" displayName="EmployeeTable" ref="A1:F101" totalsRowShown="0" dataDxfId="6">
  <autoFilter ref="A1:F101"/>
  <tableColumns count="6">
    <tableColumn id="1" name="Identifier" dataDxfId="5"/>
    <tableColumn id="2" name="First Name" dataDxfId="4"/>
    <tableColumn id="3" name="Last Name" dataDxfId="3"/>
    <tableColumn id="4" name="Email" dataDxfId="2"/>
    <tableColumn id="5" name="Gender" dataDxfId="1"/>
    <tableColumn id="6" name="Birth Da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K89"/>
  <sheetViews>
    <sheetView tabSelected="1" workbookViewId="0">
      <pane ySplit="4" topLeftCell="A87" activePane="bottomLeft" state="frozen"/>
      <selection pane="bottomLeft" activeCell="H89" sqref="H89"/>
    </sheetView>
  </sheetViews>
  <sheetFormatPr defaultRowHeight="15"/>
  <cols>
    <col min="1" max="2" width="9.140625" style="117"/>
    <col min="3" max="3" width="12.42578125" style="117" bestFit="1" customWidth="1"/>
    <col min="4" max="4" width="11.5703125" style="117" bestFit="1" customWidth="1"/>
    <col min="5" max="5" width="39.42578125" style="117" bestFit="1" customWidth="1"/>
    <col min="6" max="6" width="55.7109375" style="117" customWidth="1"/>
    <col min="7" max="7" width="13.140625" style="117" bestFit="1" customWidth="1"/>
    <col min="8" max="8" width="14.85546875" style="117" bestFit="1" customWidth="1"/>
    <col min="9" max="9" width="14.7109375" style="117" customWidth="1"/>
    <col min="10" max="10" width="14.85546875" style="117" bestFit="1" customWidth="1"/>
    <col min="11" max="11" width="11.5703125" style="117" bestFit="1" customWidth="1"/>
    <col min="12" max="12" width="15.85546875" style="117" customWidth="1"/>
    <col min="13" max="16384" width="9.140625" style="117"/>
  </cols>
  <sheetData>
    <row r="4" spans="3:11">
      <c r="C4" s="122" t="s">
        <v>676</v>
      </c>
      <c r="D4" s="117" t="s">
        <v>0</v>
      </c>
      <c r="E4" s="117" t="s">
        <v>1</v>
      </c>
      <c r="F4" s="117" t="s">
        <v>2</v>
      </c>
      <c r="G4" s="117" t="s">
        <v>4</v>
      </c>
      <c r="H4" s="117" t="s">
        <v>3</v>
      </c>
    </row>
    <row r="5" spans="3:11" ht="120">
      <c r="C5" s="123">
        <v>1</v>
      </c>
      <c r="D5" s="118" t="s">
        <v>17</v>
      </c>
      <c r="E5" s="118" t="s">
        <v>6</v>
      </c>
      <c r="F5" s="120" t="s">
        <v>204</v>
      </c>
      <c r="G5" s="117" t="s">
        <v>9</v>
      </c>
      <c r="H5" s="118" t="s">
        <v>20</v>
      </c>
      <c r="J5" s="117" t="s">
        <v>8</v>
      </c>
      <c r="K5" s="117" t="s">
        <v>5</v>
      </c>
    </row>
    <row r="6" spans="3:11" ht="75">
      <c r="C6" s="123">
        <v>2</v>
      </c>
      <c r="D6" s="118" t="s">
        <v>10</v>
      </c>
      <c r="E6" s="118" t="s">
        <v>11</v>
      </c>
      <c r="F6" s="119" t="s">
        <v>205</v>
      </c>
      <c r="G6" s="117" t="s">
        <v>9</v>
      </c>
      <c r="H6" s="118" t="s">
        <v>13</v>
      </c>
      <c r="J6" s="117" t="s">
        <v>13</v>
      </c>
      <c r="K6" s="117" t="s">
        <v>10</v>
      </c>
    </row>
    <row r="7" spans="3:11" ht="30">
      <c r="C7" s="123">
        <v>3</v>
      </c>
      <c r="D7" s="118" t="s">
        <v>17</v>
      </c>
      <c r="E7" s="118" t="s">
        <v>18</v>
      </c>
      <c r="F7" s="119" t="s">
        <v>19</v>
      </c>
      <c r="G7" s="117" t="s">
        <v>9</v>
      </c>
      <c r="H7" s="118" t="s">
        <v>20</v>
      </c>
      <c r="J7" s="117" t="s">
        <v>15</v>
      </c>
      <c r="K7" s="117" t="s">
        <v>14</v>
      </c>
    </row>
    <row r="8" spans="3:11" ht="180">
      <c r="C8" s="123">
        <v>4</v>
      </c>
      <c r="D8" s="118" t="s">
        <v>32</v>
      </c>
      <c r="E8" s="118" t="s">
        <v>33</v>
      </c>
      <c r="F8" s="119" t="s">
        <v>34</v>
      </c>
      <c r="G8" s="117" t="s">
        <v>9</v>
      </c>
      <c r="H8" s="118" t="s">
        <v>35</v>
      </c>
      <c r="J8" s="117" t="s">
        <v>20</v>
      </c>
      <c r="K8" s="117" t="s">
        <v>17</v>
      </c>
    </row>
    <row r="9" spans="3:11" ht="45">
      <c r="C9" s="123">
        <v>5</v>
      </c>
      <c r="D9" s="118" t="s">
        <v>38</v>
      </c>
      <c r="E9" s="118" t="s">
        <v>39</v>
      </c>
      <c r="F9" s="119" t="s">
        <v>40</v>
      </c>
      <c r="G9" s="117" t="s">
        <v>9</v>
      </c>
      <c r="H9" s="118" t="s">
        <v>41</v>
      </c>
      <c r="J9" s="117" t="s">
        <v>22</v>
      </c>
      <c r="K9" s="117" t="s">
        <v>21</v>
      </c>
    </row>
    <row r="10" spans="3:11" ht="150">
      <c r="C10" s="123">
        <v>6</v>
      </c>
      <c r="D10" s="118" t="s">
        <v>42</v>
      </c>
      <c r="E10" s="118" t="s">
        <v>43</v>
      </c>
      <c r="F10" s="119" t="s">
        <v>44</v>
      </c>
      <c r="G10" s="117" t="s">
        <v>9</v>
      </c>
      <c r="H10" s="118" t="s">
        <v>45</v>
      </c>
      <c r="J10" s="117" t="s">
        <v>24</v>
      </c>
      <c r="K10" s="117" t="s">
        <v>23</v>
      </c>
    </row>
    <row r="11" spans="3:11" ht="60">
      <c r="C11" s="123">
        <v>7</v>
      </c>
      <c r="D11" s="118" t="s">
        <v>46</v>
      </c>
      <c r="E11" s="118" t="s">
        <v>47</v>
      </c>
      <c r="F11" s="119" t="s">
        <v>48</v>
      </c>
      <c r="G11" s="117" t="s">
        <v>16</v>
      </c>
      <c r="H11" s="118" t="s">
        <v>49</v>
      </c>
      <c r="J11" s="117" t="s">
        <v>27</v>
      </c>
      <c r="K11" s="117" t="s">
        <v>25</v>
      </c>
    </row>
    <row r="12" spans="3:11" ht="45">
      <c r="C12" s="123">
        <v>8</v>
      </c>
      <c r="D12" s="118" t="s">
        <v>50</v>
      </c>
      <c r="E12" s="118" t="s">
        <v>51</v>
      </c>
      <c r="F12" s="119" t="s">
        <v>52</v>
      </c>
      <c r="G12" s="117" t="s">
        <v>16</v>
      </c>
      <c r="H12" s="118" t="s">
        <v>53</v>
      </c>
      <c r="J12" s="117" t="s">
        <v>29</v>
      </c>
      <c r="K12" s="117" t="s">
        <v>28</v>
      </c>
    </row>
    <row r="13" spans="3:11" ht="135">
      <c r="C13" s="123">
        <v>9</v>
      </c>
      <c r="D13" s="118" t="s">
        <v>54</v>
      </c>
      <c r="E13" s="118" t="s">
        <v>55</v>
      </c>
      <c r="F13" s="119" t="s">
        <v>56</v>
      </c>
      <c r="G13" s="117" t="s">
        <v>16</v>
      </c>
      <c r="H13" s="118" t="s">
        <v>57</v>
      </c>
      <c r="J13" s="117" t="s">
        <v>31</v>
      </c>
      <c r="K13" s="117" t="s">
        <v>30</v>
      </c>
    </row>
    <row r="14" spans="3:11" ht="30">
      <c r="C14" s="123">
        <v>10</v>
      </c>
      <c r="D14" s="118" t="s">
        <v>58</v>
      </c>
      <c r="E14" s="118" t="s">
        <v>59</v>
      </c>
      <c r="F14" s="119" t="s">
        <v>60</v>
      </c>
      <c r="G14" s="117" t="s">
        <v>9</v>
      </c>
      <c r="H14" s="118" t="s">
        <v>61</v>
      </c>
      <c r="J14" s="117" t="s">
        <v>35</v>
      </c>
      <c r="K14" s="117" t="s">
        <v>32</v>
      </c>
    </row>
    <row r="15" spans="3:11" ht="75">
      <c r="C15" s="123">
        <v>11</v>
      </c>
      <c r="D15" s="118" t="s">
        <v>62</v>
      </c>
      <c r="E15" s="118" t="s">
        <v>63</v>
      </c>
      <c r="F15" s="119" t="s">
        <v>64</v>
      </c>
      <c r="G15" s="117" t="s">
        <v>9</v>
      </c>
      <c r="H15" s="118" t="s">
        <v>65</v>
      </c>
      <c r="J15" s="117" t="s">
        <v>37</v>
      </c>
      <c r="K15" s="117" t="s">
        <v>36</v>
      </c>
    </row>
    <row r="16" spans="3:11" ht="180">
      <c r="C16" s="123">
        <v>12</v>
      </c>
      <c r="D16" s="118" t="s">
        <v>66</v>
      </c>
      <c r="E16" s="118" t="s">
        <v>67</v>
      </c>
      <c r="F16" s="119" t="s">
        <v>68</v>
      </c>
      <c r="G16" s="117" t="s">
        <v>16</v>
      </c>
      <c r="H16" s="118" t="s">
        <v>69</v>
      </c>
      <c r="J16" s="117" t="s">
        <v>41</v>
      </c>
      <c r="K16" s="117" t="s">
        <v>38</v>
      </c>
    </row>
    <row r="17" spans="3:11" ht="150">
      <c r="C17" s="123">
        <v>13</v>
      </c>
      <c r="D17" s="118" t="s">
        <v>70</v>
      </c>
      <c r="E17" s="118" t="s">
        <v>71</v>
      </c>
      <c r="F17" s="119" t="s">
        <v>44</v>
      </c>
      <c r="G17" s="117" t="s">
        <v>9</v>
      </c>
      <c r="H17" s="118" t="s">
        <v>72</v>
      </c>
      <c r="J17" s="117" t="s">
        <v>45</v>
      </c>
      <c r="K17" s="117" t="s">
        <v>42</v>
      </c>
    </row>
    <row r="18" spans="3:11" ht="135">
      <c r="C18" s="123">
        <v>14</v>
      </c>
      <c r="D18" s="118" t="s">
        <v>73</v>
      </c>
      <c r="E18" s="118" t="s">
        <v>74</v>
      </c>
      <c r="F18" s="119" t="s">
        <v>75</v>
      </c>
      <c r="G18" s="117" t="s">
        <v>16</v>
      </c>
      <c r="H18" s="118" t="s">
        <v>76</v>
      </c>
      <c r="J18" s="117" t="s">
        <v>49</v>
      </c>
      <c r="K18" s="117" t="s">
        <v>46</v>
      </c>
    </row>
    <row r="19" spans="3:11" ht="75">
      <c r="C19" s="123">
        <v>15</v>
      </c>
      <c r="D19" s="118" t="s">
        <v>77</v>
      </c>
      <c r="E19" s="118" t="s">
        <v>78</v>
      </c>
      <c r="F19" s="119" t="s">
        <v>79</v>
      </c>
      <c r="G19" s="117" t="s">
        <v>9</v>
      </c>
      <c r="H19" s="118" t="s">
        <v>80</v>
      </c>
      <c r="J19" s="117" t="s">
        <v>53</v>
      </c>
      <c r="K19" s="117" t="s">
        <v>50</v>
      </c>
    </row>
    <row r="20" spans="3:11" ht="90">
      <c r="C20" s="123">
        <v>16</v>
      </c>
      <c r="D20" s="118" t="s">
        <v>5</v>
      </c>
      <c r="E20" s="118" t="s">
        <v>81</v>
      </c>
      <c r="F20" s="119" t="s">
        <v>82</v>
      </c>
      <c r="G20" s="117" t="s">
        <v>9</v>
      </c>
      <c r="H20" s="118" t="s">
        <v>83</v>
      </c>
      <c r="J20" s="117" t="s">
        <v>57</v>
      </c>
      <c r="K20" s="117" t="s">
        <v>54</v>
      </c>
    </row>
    <row r="21" spans="3:11" ht="75">
      <c r="C21" s="123">
        <v>17</v>
      </c>
      <c r="D21" s="118" t="s">
        <v>10</v>
      </c>
      <c r="E21" s="118" t="s">
        <v>84</v>
      </c>
      <c r="F21" s="119" t="s">
        <v>85</v>
      </c>
      <c r="G21" s="117" t="s">
        <v>9</v>
      </c>
      <c r="H21" s="118" t="s">
        <v>86</v>
      </c>
      <c r="J21" s="117" t="s">
        <v>61</v>
      </c>
      <c r="K21" s="117" t="s">
        <v>58</v>
      </c>
    </row>
    <row r="22" spans="3:11" ht="45">
      <c r="C22" s="123">
        <v>18</v>
      </c>
      <c r="D22" s="118" t="s">
        <v>14</v>
      </c>
      <c r="E22" s="118" t="s">
        <v>87</v>
      </c>
      <c r="F22" s="119" t="s">
        <v>40</v>
      </c>
      <c r="G22" s="117" t="s">
        <v>9</v>
      </c>
      <c r="H22" s="118" t="s">
        <v>88</v>
      </c>
      <c r="J22" s="117" t="s">
        <v>65</v>
      </c>
      <c r="K22" s="117" t="s">
        <v>62</v>
      </c>
    </row>
    <row r="23" spans="3:11" ht="105">
      <c r="C23" s="123">
        <v>19</v>
      </c>
      <c r="D23" s="118" t="s">
        <v>17</v>
      </c>
      <c r="E23" s="118" t="s">
        <v>89</v>
      </c>
      <c r="F23" s="119" t="s">
        <v>90</v>
      </c>
      <c r="G23" s="117" t="s">
        <v>16</v>
      </c>
      <c r="H23" s="118" t="s">
        <v>91</v>
      </c>
      <c r="J23" s="117" t="s">
        <v>69</v>
      </c>
      <c r="K23" s="117" t="s">
        <v>66</v>
      </c>
    </row>
    <row r="24" spans="3:11" ht="105">
      <c r="C24" s="123">
        <v>20</v>
      </c>
      <c r="D24" s="118" t="s">
        <v>21</v>
      </c>
      <c r="E24" s="118" t="s">
        <v>92</v>
      </c>
      <c r="F24" s="119" t="s">
        <v>93</v>
      </c>
      <c r="G24" s="117" t="s">
        <v>16</v>
      </c>
      <c r="H24" s="118" t="s">
        <v>94</v>
      </c>
      <c r="J24" s="117" t="s">
        <v>72</v>
      </c>
      <c r="K24" s="117" t="s">
        <v>70</v>
      </c>
    </row>
    <row r="25" spans="3:11" ht="45">
      <c r="C25" s="123">
        <v>21</v>
      </c>
      <c r="D25" s="118" t="s">
        <v>23</v>
      </c>
      <c r="E25" s="118" t="s">
        <v>95</v>
      </c>
      <c r="F25" s="119" t="s">
        <v>96</v>
      </c>
      <c r="G25" s="117" t="s">
        <v>16</v>
      </c>
      <c r="H25" s="118" t="s">
        <v>97</v>
      </c>
      <c r="J25" s="117" t="s">
        <v>76</v>
      </c>
      <c r="K25" s="117" t="s">
        <v>73</v>
      </c>
    </row>
    <row r="26" spans="3:11" ht="90">
      <c r="C26" s="123">
        <v>22</v>
      </c>
      <c r="D26" s="118" t="s">
        <v>25</v>
      </c>
      <c r="E26" s="118" t="s">
        <v>98</v>
      </c>
      <c r="F26" s="119" t="s">
        <v>99</v>
      </c>
      <c r="G26" s="117" t="s">
        <v>9</v>
      </c>
      <c r="H26" s="118" t="s">
        <v>100</v>
      </c>
      <c r="J26" s="117" t="s">
        <v>80</v>
      </c>
      <c r="K26" s="117" t="s">
        <v>77</v>
      </c>
    </row>
    <row r="27" spans="3:11" ht="180">
      <c r="C27" s="123">
        <v>23</v>
      </c>
      <c r="D27" s="118" t="s">
        <v>28</v>
      </c>
      <c r="E27" s="118" t="s">
        <v>101</v>
      </c>
      <c r="F27" s="119" t="s">
        <v>102</v>
      </c>
      <c r="G27" s="117" t="s">
        <v>16</v>
      </c>
      <c r="H27" s="118" t="s">
        <v>103</v>
      </c>
      <c r="J27" s="117" t="s">
        <v>83</v>
      </c>
    </row>
    <row r="28" spans="3:11" ht="105">
      <c r="C28" s="123">
        <v>24</v>
      </c>
      <c r="D28" s="118" t="s">
        <v>30</v>
      </c>
      <c r="E28" s="118" t="s">
        <v>104</v>
      </c>
      <c r="F28" s="119" t="s">
        <v>105</v>
      </c>
      <c r="G28" s="117" t="s">
        <v>16</v>
      </c>
      <c r="H28" s="118" t="s">
        <v>106</v>
      </c>
      <c r="J28" s="117" t="s">
        <v>86</v>
      </c>
    </row>
    <row r="29" spans="3:11" ht="135">
      <c r="C29" s="123">
        <v>25</v>
      </c>
      <c r="D29" s="118" t="s">
        <v>32</v>
      </c>
      <c r="E29" s="118" t="s">
        <v>107</v>
      </c>
      <c r="F29" s="119" t="s">
        <v>108</v>
      </c>
      <c r="G29" s="117" t="s">
        <v>16</v>
      </c>
      <c r="H29" s="118" t="s">
        <v>109</v>
      </c>
      <c r="J29" s="117" t="s">
        <v>88</v>
      </c>
    </row>
    <row r="30" spans="3:11" ht="180">
      <c r="C30" s="123">
        <v>26</v>
      </c>
      <c r="D30" s="118" t="s">
        <v>36</v>
      </c>
      <c r="E30" s="118" t="s">
        <v>110</v>
      </c>
      <c r="F30" s="119" t="s">
        <v>111</v>
      </c>
      <c r="G30" s="117" t="s">
        <v>9</v>
      </c>
      <c r="H30" s="118" t="s">
        <v>112</v>
      </c>
      <c r="J30" s="117" t="s">
        <v>91</v>
      </c>
    </row>
    <row r="31" spans="3:11" ht="30">
      <c r="C31" s="123">
        <v>27</v>
      </c>
      <c r="D31" s="118" t="s">
        <v>38</v>
      </c>
      <c r="E31" s="118" t="s">
        <v>113</v>
      </c>
      <c r="F31" s="119" t="s">
        <v>114</v>
      </c>
      <c r="G31" s="117" t="s">
        <v>16</v>
      </c>
      <c r="H31" s="118" t="s">
        <v>8</v>
      </c>
      <c r="J31" s="117" t="s">
        <v>94</v>
      </c>
    </row>
    <row r="32" spans="3:11" ht="120">
      <c r="C32" s="123">
        <v>28</v>
      </c>
      <c r="D32" s="118" t="s">
        <v>42</v>
      </c>
      <c r="E32" s="118" t="s">
        <v>115</v>
      </c>
      <c r="F32" s="119" t="s">
        <v>116</v>
      </c>
      <c r="G32" s="117" t="s">
        <v>16</v>
      </c>
      <c r="H32" s="118" t="s">
        <v>13</v>
      </c>
      <c r="J32" s="117" t="s">
        <v>97</v>
      </c>
    </row>
    <row r="33" spans="3:10" ht="90">
      <c r="C33" s="123">
        <v>29</v>
      </c>
      <c r="D33" s="118" t="s">
        <v>46</v>
      </c>
      <c r="E33" s="118" t="s">
        <v>117</v>
      </c>
      <c r="F33" s="119" t="s">
        <v>82</v>
      </c>
      <c r="G33" s="117" t="s">
        <v>9</v>
      </c>
      <c r="H33" s="118" t="s">
        <v>15</v>
      </c>
      <c r="J33" s="117" t="s">
        <v>100</v>
      </c>
    </row>
    <row r="34" spans="3:10" ht="75">
      <c r="C34" s="123">
        <v>30</v>
      </c>
      <c r="D34" s="118" t="s">
        <v>50</v>
      </c>
      <c r="E34" s="118" t="s">
        <v>118</v>
      </c>
      <c r="F34" s="119" t="s">
        <v>119</v>
      </c>
      <c r="G34" s="117" t="s">
        <v>16</v>
      </c>
      <c r="H34" s="118" t="s">
        <v>20</v>
      </c>
      <c r="J34" s="117" t="s">
        <v>103</v>
      </c>
    </row>
    <row r="35" spans="3:10" ht="135">
      <c r="C35" s="123">
        <v>31</v>
      </c>
      <c r="D35" s="118" t="s">
        <v>54</v>
      </c>
      <c r="E35" s="118" t="s">
        <v>120</v>
      </c>
      <c r="F35" s="119" t="s">
        <v>75</v>
      </c>
      <c r="G35" s="117" t="s">
        <v>16</v>
      </c>
      <c r="H35" s="118" t="s">
        <v>22</v>
      </c>
      <c r="J35" s="117" t="s">
        <v>106</v>
      </c>
    </row>
    <row r="36" spans="3:10" ht="105">
      <c r="C36" s="123">
        <v>32</v>
      </c>
      <c r="D36" s="118" t="s">
        <v>58</v>
      </c>
      <c r="E36" s="118" t="s">
        <v>121</v>
      </c>
      <c r="F36" s="119" t="s">
        <v>105</v>
      </c>
      <c r="G36" s="117" t="s">
        <v>16</v>
      </c>
      <c r="H36" s="118" t="s">
        <v>24</v>
      </c>
      <c r="J36" s="117" t="s">
        <v>109</v>
      </c>
    </row>
    <row r="37" spans="3:10" ht="180">
      <c r="C37" s="123">
        <v>33</v>
      </c>
      <c r="D37" s="118" t="s">
        <v>62</v>
      </c>
      <c r="E37" s="118" t="s">
        <v>122</v>
      </c>
      <c r="F37" s="119" t="s">
        <v>123</v>
      </c>
      <c r="G37" s="117" t="s">
        <v>9</v>
      </c>
      <c r="H37" s="118" t="s">
        <v>27</v>
      </c>
      <c r="J37" s="117" t="s">
        <v>112</v>
      </c>
    </row>
    <row r="38" spans="3:10" ht="30">
      <c r="C38" s="123">
        <v>34</v>
      </c>
      <c r="D38" s="118" t="s">
        <v>66</v>
      </c>
      <c r="E38" s="118" t="s">
        <v>124</v>
      </c>
      <c r="F38" s="119" t="s">
        <v>125</v>
      </c>
      <c r="G38" s="117" t="s">
        <v>16</v>
      </c>
      <c r="H38" s="118" t="s">
        <v>29</v>
      </c>
    </row>
    <row r="39" spans="3:10" ht="90">
      <c r="C39" s="123">
        <v>35</v>
      </c>
      <c r="D39" s="118" t="s">
        <v>70</v>
      </c>
      <c r="E39" s="118" t="s">
        <v>126</v>
      </c>
      <c r="F39" s="119" t="s">
        <v>127</v>
      </c>
      <c r="G39" s="117" t="s">
        <v>9</v>
      </c>
      <c r="H39" s="118" t="s">
        <v>31</v>
      </c>
    </row>
    <row r="40" spans="3:10" ht="150">
      <c r="C40" s="123">
        <v>36</v>
      </c>
      <c r="D40" s="118" t="s">
        <v>73</v>
      </c>
      <c r="E40" s="118" t="s">
        <v>128</v>
      </c>
      <c r="F40" s="119" t="s">
        <v>129</v>
      </c>
      <c r="G40" s="117" t="s">
        <v>9</v>
      </c>
      <c r="H40" s="118" t="s">
        <v>35</v>
      </c>
    </row>
    <row r="41" spans="3:10" ht="120">
      <c r="C41" s="123">
        <v>37</v>
      </c>
      <c r="D41" s="118" t="s">
        <v>77</v>
      </c>
      <c r="E41" s="118" t="s">
        <v>130</v>
      </c>
      <c r="F41" s="119" t="s">
        <v>131</v>
      </c>
      <c r="G41" s="117" t="s">
        <v>9</v>
      </c>
      <c r="H41" s="118" t="s">
        <v>37</v>
      </c>
    </row>
    <row r="42" spans="3:10" ht="120">
      <c r="C42" s="123">
        <v>38</v>
      </c>
      <c r="D42" s="118" t="s">
        <v>5</v>
      </c>
      <c r="E42" s="118" t="s">
        <v>132</v>
      </c>
      <c r="F42" s="119" t="s">
        <v>26</v>
      </c>
      <c r="G42" s="117" t="s">
        <v>9</v>
      </c>
      <c r="H42" s="118" t="s">
        <v>41</v>
      </c>
    </row>
    <row r="43" spans="3:10" ht="75">
      <c r="C43" s="123">
        <v>39</v>
      </c>
      <c r="D43" s="118" t="s">
        <v>10</v>
      </c>
      <c r="E43" s="118" t="s">
        <v>133</v>
      </c>
      <c r="F43" s="119" t="s">
        <v>134</v>
      </c>
      <c r="G43" s="117" t="s">
        <v>9</v>
      </c>
      <c r="H43" s="118" t="s">
        <v>45</v>
      </c>
    </row>
    <row r="44" spans="3:10" ht="120">
      <c r="C44" s="123">
        <v>40</v>
      </c>
      <c r="D44" s="118" t="s">
        <v>14</v>
      </c>
      <c r="E44" s="118" t="s">
        <v>135</v>
      </c>
      <c r="F44" s="119" t="s">
        <v>136</v>
      </c>
      <c r="G44" s="117" t="s">
        <v>16</v>
      </c>
      <c r="H44" s="118" t="s">
        <v>49</v>
      </c>
    </row>
    <row r="45" spans="3:10" ht="150">
      <c r="C45" s="123">
        <v>41</v>
      </c>
      <c r="D45" s="118" t="s">
        <v>17</v>
      </c>
      <c r="E45" s="118" t="s">
        <v>137</v>
      </c>
      <c r="F45" s="119" t="s">
        <v>138</v>
      </c>
      <c r="G45" s="117" t="s">
        <v>9</v>
      </c>
      <c r="H45" s="118" t="s">
        <v>53</v>
      </c>
    </row>
    <row r="46" spans="3:10" ht="150">
      <c r="C46" s="123">
        <v>42</v>
      </c>
      <c r="D46" s="118" t="s">
        <v>21</v>
      </c>
      <c r="E46" s="118" t="s">
        <v>139</v>
      </c>
      <c r="F46" s="119" t="s">
        <v>140</v>
      </c>
      <c r="G46" s="117" t="s">
        <v>16</v>
      </c>
      <c r="H46" s="118" t="s">
        <v>57</v>
      </c>
    </row>
    <row r="47" spans="3:10" ht="180">
      <c r="C47" s="123">
        <v>43</v>
      </c>
      <c r="D47" s="118" t="s">
        <v>23</v>
      </c>
      <c r="E47" s="118" t="s">
        <v>141</v>
      </c>
      <c r="F47" s="119" t="s">
        <v>123</v>
      </c>
      <c r="G47" s="117" t="s">
        <v>16</v>
      </c>
      <c r="H47" s="118" t="s">
        <v>61</v>
      </c>
    </row>
    <row r="48" spans="3:10" ht="75">
      <c r="C48" s="123">
        <v>44</v>
      </c>
      <c r="D48" s="118" t="s">
        <v>25</v>
      </c>
      <c r="E48" s="118" t="s">
        <v>142</v>
      </c>
      <c r="F48" s="119" t="s">
        <v>12</v>
      </c>
      <c r="G48" s="117" t="s">
        <v>16</v>
      </c>
      <c r="H48" s="118" t="s">
        <v>65</v>
      </c>
    </row>
    <row r="49" spans="3:8" ht="30">
      <c r="C49" s="123">
        <v>45</v>
      </c>
      <c r="D49" s="118" t="s">
        <v>28</v>
      </c>
      <c r="E49" s="118" t="s">
        <v>143</v>
      </c>
      <c r="F49" s="119" t="s">
        <v>114</v>
      </c>
      <c r="G49" s="117" t="s">
        <v>16</v>
      </c>
      <c r="H49" s="118" t="s">
        <v>69</v>
      </c>
    </row>
    <row r="50" spans="3:8" ht="180">
      <c r="C50" s="123">
        <v>46</v>
      </c>
      <c r="D50" s="118" t="s">
        <v>30</v>
      </c>
      <c r="E50" s="118" t="s">
        <v>144</v>
      </c>
      <c r="F50" s="119" t="s">
        <v>34</v>
      </c>
      <c r="G50" s="117" t="s">
        <v>16</v>
      </c>
      <c r="H50" s="118" t="s">
        <v>72</v>
      </c>
    </row>
    <row r="51" spans="3:8" ht="90">
      <c r="C51" s="123">
        <v>47</v>
      </c>
      <c r="D51" s="118" t="s">
        <v>32</v>
      </c>
      <c r="E51" s="118" t="s">
        <v>145</v>
      </c>
      <c r="F51" s="119" t="s">
        <v>146</v>
      </c>
      <c r="G51" s="117" t="s">
        <v>16</v>
      </c>
      <c r="H51" s="118" t="s">
        <v>76</v>
      </c>
    </row>
    <row r="52" spans="3:8" ht="30">
      <c r="C52" s="123">
        <v>48</v>
      </c>
      <c r="D52" s="118" t="s">
        <v>36</v>
      </c>
      <c r="E52" s="118" t="s">
        <v>147</v>
      </c>
      <c r="F52" s="119" t="s">
        <v>148</v>
      </c>
      <c r="G52" s="117" t="s">
        <v>9</v>
      </c>
      <c r="H52" s="118" t="s">
        <v>80</v>
      </c>
    </row>
    <row r="53" spans="3:8" ht="30">
      <c r="C53" s="123">
        <v>49</v>
      </c>
      <c r="D53" s="118" t="s">
        <v>38</v>
      </c>
      <c r="E53" s="118" t="s">
        <v>149</v>
      </c>
      <c r="F53" s="119" t="s">
        <v>150</v>
      </c>
      <c r="G53" s="117" t="s">
        <v>9</v>
      </c>
      <c r="H53" s="118" t="s">
        <v>83</v>
      </c>
    </row>
    <row r="54" spans="3:8" ht="135">
      <c r="C54" s="123">
        <v>50</v>
      </c>
      <c r="D54" s="118" t="s">
        <v>42</v>
      </c>
      <c r="E54" s="118" t="s">
        <v>151</v>
      </c>
      <c r="F54" s="119" t="s">
        <v>152</v>
      </c>
      <c r="G54" s="117" t="s">
        <v>9</v>
      </c>
      <c r="H54" s="118" t="s">
        <v>86</v>
      </c>
    </row>
    <row r="55" spans="3:8">
      <c r="C55" s="123">
        <v>51</v>
      </c>
      <c r="D55" s="118" t="s">
        <v>46</v>
      </c>
      <c r="E55" s="118" t="s">
        <v>153</v>
      </c>
      <c r="F55" s="119" t="s">
        <v>154</v>
      </c>
      <c r="G55" s="117" t="s">
        <v>9</v>
      </c>
      <c r="H55" s="118" t="s">
        <v>88</v>
      </c>
    </row>
    <row r="56" spans="3:8" ht="120">
      <c r="C56" s="123">
        <v>52</v>
      </c>
      <c r="D56" s="118" t="s">
        <v>50</v>
      </c>
      <c r="E56" s="118" t="s">
        <v>155</v>
      </c>
      <c r="F56" s="119" t="s">
        <v>136</v>
      </c>
      <c r="G56" s="117" t="s">
        <v>9</v>
      </c>
      <c r="H56" s="118" t="s">
        <v>91</v>
      </c>
    </row>
    <row r="57" spans="3:8" ht="180">
      <c r="C57" s="123">
        <v>53</v>
      </c>
      <c r="D57" s="118" t="s">
        <v>54</v>
      </c>
      <c r="E57" s="118" t="s">
        <v>156</v>
      </c>
      <c r="F57" s="119" t="s">
        <v>111</v>
      </c>
      <c r="G57" s="117" t="s">
        <v>16</v>
      </c>
      <c r="H57" s="118" t="s">
        <v>94</v>
      </c>
    </row>
    <row r="58" spans="3:8" ht="90">
      <c r="C58" s="123">
        <v>54</v>
      </c>
      <c r="D58" s="118" t="s">
        <v>58</v>
      </c>
      <c r="E58" s="118" t="s">
        <v>157</v>
      </c>
      <c r="F58" s="119" t="s">
        <v>146</v>
      </c>
      <c r="G58" s="117" t="s">
        <v>16</v>
      </c>
      <c r="H58" s="118" t="s">
        <v>97</v>
      </c>
    </row>
    <row r="59" spans="3:8" ht="75">
      <c r="C59" s="123">
        <v>55</v>
      </c>
      <c r="D59" s="118" t="s">
        <v>62</v>
      </c>
      <c r="E59" s="118" t="s">
        <v>158</v>
      </c>
      <c r="F59" s="119" t="s">
        <v>159</v>
      </c>
      <c r="G59" s="117" t="s">
        <v>16</v>
      </c>
      <c r="H59" s="118" t="s">
        <v>100</v>
      </c>
    </row>
    <row r="60" spans="3:8" ht="75">
      <c r="C60" s="123">
        <v>56</v>
      </c>
      <c r="D60" s="118" t="s">
        <v>66</v>
      </c>
      <c r="E60" s="118" t="s">
        <v>160</v>
      </c>
      <c r="F60" s="119" t="s">
        <v>159</v>
      </c>
      <c r="G60" s="117" t="s">
        <v>16</v>
      </c>
      <c r="H60" s="118" t="s">
        <v>103</v>
      </c>
    </row>
    <row r="61" spans="3:8" ht="120">
      <c r="C61" s="123">
        <v>57</v>
      </c>
      <c r="D61" s="118" t="s">
        <v>70</v>
      </c>
      <c r="E61" s="118" t="s">
        <v>161</v>
      </c>
      <c r="F61" s="119" t="s">
        <v>116</v>
      </c>
      <c r="G61" s="117" t="s">
        <v>9</v>
      </c>
      <c r="H61" s="118" t="s">
        <v>106</v>
      </c>
    </row>
    <row r="62" spans="3:8" ht="120">
      <c r="C62" s="123">
        <v>58</v>
      </c>
      <c r="D62" s="118" t="s">
        <v>73</v>
      </c>
      <c r="E62" s="118" t="s">
        <v>162</v>
      </c>
      <c r="F62" s="119" t="s">
        <v>7</v>
      </c>
      <c r="G62" s="117" t="s">
        <v>16</v>
      </c>
      <c r="H62" s="118" t="s">
        <v>109</v>
      </c>
    </row>
    <row r="63" spans="3:8" ht="165">
      <c r="C63" s="123">
        <v>59</v>
      </c>
      <c r="D63" s="118" t="s">
        <v>77</v>
      </c>
      <c r="E63" s="118" t="s">
        <v>163</v>
      </c>
      <c r="F63" s="119" t="s">
        <v>164</v>
      </c>
      <c r="G63" s="117" t="s">
        <v>9</v>
      </c>
      <c r="H63" s="118" t="s">
        <v>112</v>
      </c>
    </row>
    <row r="64" spans="3:8" ht="150">
      <c r="C64" s="123">
        <v>60</v>
      </c>
      <c r="D64" s="118" t="s">
        <v>5</v>
      </c>
      <c r="E64" s="118" t="s">
        <v>165</v>
      </c>
      <c r="F64" s="119" t="s">
        <v>138</v>
      </c>
      <c r="G64" s="117" t="s">
        <v>9</v>
      </c>
      <c r="H64" s="118" t="s">
        <v>8</v>
      </c>
    </row>
    <row r="65" spans="3:8" ht="45">
      <c r="C65" s="123">
        <v>61</v>
      </c>
      <c r="D65" s="118" t="s">
        <v>10</v>
      </c>
      <c r="E65" s="118" t="s">
        <v>166</v>
      </c>
      <c r="F65" s="119" t="s">
        <v>167</v>
      </c>
      <c r="G65" s="117" t="s">
        <v>9</v>
      </c>
      <c r="H65" s="118" t="s">
        <v>13</v>
      </c>
    </row>
    <row r="66" spans="3:8" ht="135">
      <c r="C66" s="123">
        <v>62</v>
      </c>
      <c r="D66" s="118" t="s">
        <v>14</v>
      </c>
      <c r="E66" s="118" t="s">
        <v>168</v>
      </c>
      <c r="F66" s="119" t="s">
        <v>169</v>
      </c>
      <c r="G66" s="117" t="s">
        <v>9</v>
      </c>
      <c r="H66" s="118" t="s">
        <v>15</v>
      </c>
    </row>
    <row r="67" spans="3:8" ht="30">
      <c r="C67" s="123">
        <v>63</v>
      </c>
      <c r="D67" s="118" t="s">
        <v>17</v>
      </c>
      <c r="E67" s="118" t="s">
        <v>170</v>
      </c>
      <c r="F67" s="119" t="s">
        <v>60</v>
      </c>
      <c r="G67" s="117" t="s">
        <v>16</v>
      </c>
      <c r="H67" s="118" t="s">
        <v>20</v>
      </c>
    </row>
    <row r="68" spans="3:8" ht="30">
      <c r="C68" s="123">
        <v>64</v>
      </c>
      <c r="D68" s="118" t="s">
        <v>21</v>
      </c>
      <c r="E68" s="118" t="s">
        <v>171</v>
      </c>
      <c r="F68" s="119" t="s">
        <v>172</v>
      </c>
      <c r="G68" s="117" t="s">
        <v>9</v>
      </c>
      <c r="H68" s="118" t="s">
        <v>22</v>
      </c>
    </row>
    <row r="69" spans="3:8" ht="75">
      <c r="C69" s="123">
        <v>65</v>
      </c>
      <c r="D69" s="118" t="s">
        <v>23</v>
      </c>
      <c r="E69" s="118" t="s">
        <v>173</v>
      </c>
      <c r="F69" s="119" t="s">
        <v>85</v>
      </c>
      <c r="G69" s="117" t="s">
        <v>16</v>
      </c>
      <c r="H69" s="118" t="s">
        <v>24</v>
      </c>
    </row>
    <row r="70" spans="3:8" ht="30">
      <c r="C70" s="123">
        <v>66</v>
      </c>
      <c r="D70" s="118" t="s">
        <v>25</v>
      </c>
      <c r="E70" s="118" t="s">
        <v>174</v>
      </c>
      <c r="F70" s="119" t="s">
        <v>175</v>
      </c>
      <c r="G70" s="117" t="s">
        <v>16</v>
      </c>
      <c r="H70" s="118" t="s">
        <v>27</v>
      </c>
    </row>
    <row r="71" spans="3:8" ht="30">
      <c r="C71" s="123">
        <v>67</v>
      </c>
      <c r="D71" s="118" t="s">
        <v>28</v>
      </c>
      <c r="E71" s="118" t="s">
        <v>176</v>
      </c>
      <c r="F71" s="119" t="s">
        <v>177</v>
      </c>
      <c r="G71" s="117" t="s">
        <v>16</v>
      </c>
      <c r="H71" s="118" t="s">
        <v>29</v>
      </c>
    </row>
    <row r="72" spans="3:8" ht="30">
      <c r="C72" s="123">
        <v>68</v>
      </c>
      <c r="D72" s="118" t="s">
        <v>30</v>
      </c>
      <c r="E72" s="118" t="s">
        <v>178</v>
      </c>
      <c r="F72" s="119" t="s">
        <v>177</v>
      </c>
      <c r="G72" s="117" t="s">
        <v>9</v>
      </c>
      <c r="H72" s="118" t="s">
        <v>31</v>
      </c>
    </row>
    <row r="73" spans="3:8" ht="60">
      <c r="C73" s="123">
        <v>69</v>
      </c>
      <c r="D73" s="118" t="s">
        <v>32</v>
      </c>
      <c r="E73" s="118" t="s">
        <v>179</v>
      </c>
      <c r="F73" s="119" t="s">
        <v>180</v>
      </c>
      <c r="G73" s="117" t="s">
        <v>9</v>
      </c>
      <c r="H73" s="118" t="s">
        <v>35</v>
      </c>
    </row>
    <row r="74" spans="3:8" ht="150">
      <c r="C74" s="123">
        <v>70</v>
      </c>
      <c r="D74" s="118" t="s">
        <v>36</v>
      </c>
      <c r="E74" s="118" t="s">
        <v>181</v>
      </c>
      <c r="F74" s="119" t="s">
        <v>44</v>
      </c>
      <c r="G74" s="117" t="s">
        <v>9</v>
      </c>
      <c r="H74" s="118" t="s">
        <v>37</v>
      </c>
    </row>
    <row r="75" spans="3:8" ht="75">
      <c r="C75" s="123">
        <v>71</v>
      </c>
      <c r="D75" s="118" t="s">
        <v>38</v>
      </c>
      <c r="E75" s="118" t="s">
        <v>182</v>
      </c>
      <c r="F75" s="119" t="s">
        <v>183</v>
      </c>
      <c r="G75" s="117" t="s">
        <v>9</v>
      </c>
      <c r="H75" s="118" t="s">
        <v>41</v>
      </c>
    </row>
    <row r="76" spans="3:8" ht="135">
      <c r="C76" s="123">
        <v>72</v>
      </c>
      <c r="D76" s="118" t="s">
        <v>42</v>
      </c>
      <c r="E76" s="118" t="s">
        <v>184</v>
      </c>
      <c r="F76" s="119" t="s">
        <v>56</v>
      </c>
      <c r="G76" s="117" t="s">
        <v>16</v>
      </c>
      <c r="H76" s="118" t="s">
        <v>45</v>
      </c>
    </row>
    <row r="77" spans="3:8" ht="75">
      <c r="C77" s="123">
        <v>73</v>
      </c>
      <c r="D77" s="118" t="s">
        <v>46</v>
      </c>
      <c r="E77" s="118" t="s">
        <v>185</v>
      </c>
      <c r="F77" s="119" t="s">
        <v>186</v>
      </c>
      <c r="G77" s="117" t="s">
        <v>9</v>
      </c>
      <c r="H77" s="118" t="s">
        <v>49</v>
      </c>
    </row>
    <row r="78" spans="3:8">
      <c r="C78" s="123">
        <v>74</v>
      </c>
      <c r="D78" s="118" t="s">
        <v>50</v>
      </c>
      <c r="E78" s="118" t="s">
        <v>187</v>
      </c>
      <c r="F78" s="119" t="s">
        <v>188</v>
      </c>
      <c r="G78" s="117" t="s">
        <v>9</v>
      </c>
      <c r="H78" s="118" t="s">
        <v>53</v>
      </c>
    </row>
    <row r="79" spans="3:8" ht="60">
      <c r="C79" s="123">
        <v>75</v>
      </c>
      <c r="D79" s="118" t="s">
        <v>54</v>
      </c>
      <c r="E79" s="118" t="s">
        <v>189</v>
      </c>
      <c r="F79" s="119" t="s">
        <v>190</v>
      </c>
      <c r="G79" s="117" t="s">
        <v>9</v>
      </c>
      <c r="H79" s="118" t="s">
        <v>57</v>
      </c>
    </row>
    <row r="80" spans="3:8" ht="120">
      <c r="C80" s="123">
        <v>76</v>
      </c>
      <c r="D80" s="118" t="s">
        <v>58</v>
      </c>
      <c r="E80" s="118" t="s">
        <v>191</v>
      </c>
      <c r="F80" s="119" t="s">
        <v>192</v>
      </c>
      <c r="G80" s="117" t="s">
        <v>9</v>
      </c>
      <c r="H80" s="118" t="s">
        <v>61</v>
      </c>
    </row>
    <row r="81" spans="3:8" ht="90">
      <c r="C81" s="123">
        <v>77</v>
      </c>
      <c r="D81" s="118" t="s">
        <v>62</v>
      </c>
      <c r="E81" s="118" t="s">
        <v>193</v>
      </c>
      <c r="F81" s="119" t="s">
        <v>194</v>
      </c>
      <c r="G81" s="117" t="s">
        <v>9</v>
      </c>
      <c r="H81" s="118" t="s">
        <v>65</v>
      </c>
    </row>
    <row r="82" spans="3:8" ht="120">
      <c r="C82" s="123">
        <v>78</v>
      </c>
      <c r="D82" s="118" t="s">
        <v>66</v>
      </c>
      <c r="E82" s="118" t="s">
        <v>195</v>
      </c>
      <c r="F82" s="119" t="s">
        <v>131</v>
      </c>
      <c r="G82" s="117" t="s">
        <v>16</v>
      </c>
      <c r="H82" s="118" t="s">
        <v>69</v>
      </c>
    </row>
    <row r="83" spans="3:8" ht="30">
      <c r="C83" s="123">
        <v>79</v>
      </c>
      <c r="D83" s="118" t="s">
        <v>70</v>
      </c>
      <c r="E83" s="118" t="s">
        <v>196</v>
      </c>
      <c r="F83" s="119" t="s">
        <v>114</v>
      </c>
      <c r="G83" s="117" t="s">
        <v>9</v>
      </c>
      <c r="H83" s="118" t="s">
        <v>72</v>
      </c>
    </row>
    <row r="84" spans="3:8" ht="45">
      <c r="C84" s="123">
        <v>80</v>
      </c>
      <c r="D84" s="118" t="s">
        <v>73</v>
      </c>
      <c r="E84" s="118" t="s">
        <v>197</v>
      </c>
      <c r="F84" s="119" t="s">
        <v>167</v>
      </c>
      <c r="G84" s="117" t="s">
        <v>16</v>
      </c>
      <c r="H84" s="118" t="s">
        <v>76</v>
      </c>
    </row>
    <row r="85" spans="3:8" ht="165">
      <c r="C85" s="123">
        <v>81</v>
      </c>
      <c r="D85" s="118" t="s">
        <v>77</v>
      </c>
      <c r="E85" s="118" t="s">
        <v>198</v>
      </c>
      <c r="F85" s="119" t="s">
        <v>164</v>
      </c>
      <c r="G85" s="117" t="s">
        <v>9</v>
      </c>
      <c r="H85" s="118" t="s">
        <v>80</v>
      </c>
    </row>
    <row r="86" spans="3:8" ht="120">
      <c r="C86" s="123">
        <v>82</v>
      </c>
      <c r="D86" s="118" t="s">
        <v>14</v>
      </c>
      <c r="E86" s="118" t="s">
        <v>199</v>
      </c>
      <c r="F86" s="119" t="s">
        <v>131</v>
      </c>
      <c r="G86" s="117" t="s">
        <v>16</v>
      </c>
      <c r="H86" s="118" t="s">
        <v>83</v>
      </c>
    </row>
    <row r="87" spans="3:8" ht="120">
      <c r="C87" s="123">
        <v>83</v>
      </c>
      <c r="D87" s="118" t="s">
        <v>17</v>
      </c>
      <c r="E87" s="118" t="s">
        <v>200</v>
      </c>
      <c r="F87" s="119" t="s">
        <v>131</v>
      </c>
      <c r="G87" s="117" t="s">
        <v>9</v>
      </c>
      <c r="H87" s="118" t="s">
        <v>86</v>
      </c>
    </row>
    <row r="88" spans="3:8" ht="60">
      <c r="C88" s="123">
        <v>84</v>
      </c>
      <c r="D88" s="118" t="s">
        <v>21</v>
      </c>
      <c r="E88" s="121" t="s">
        <v>201</v>
      </c>
      <c r="F88" s="119" t="s">
        <v>202</v>
      </c>
      <c r="G88" s="117" t="s">
        <v>16</v>
      </c>
      <c r="H88" s="118" t="s">
        <v>88</v>
      </c>
    </row>
    <row r="89" spans="3:8" ht="30">
      <c r="C89" s="123">
        <v>85</v>
      </c>
      <c r="D89" s="118" t="s">
        <v>23</v>
      </c>
      <c r="E89" s="118" t="s">
        <v>203</v>
      </c>
      <c r="F89" s="120" t="s">
        <v>60</v>
      </c>
      <c r="G89" s="117" t="s">
        <v>16</v>
      </c>
      <c r="H89" s="118" t="s">
        <v>91</v>
      </c>
    </row>
  </sheetData>
  <dataConsolidate/>
  <dataValidations count="6">
    <dataValidation allowBlank="1" showInputMessage="1" showErrorMessage="1" promptTitle="Calculation" prompt="A randomly calculated field" sqref="G5:G89"/>
    <dataValidation type="list" allowBlank="1" showInputMessage="1" showErrorMessage="1" promptTitle="Model" prompt="Source of the product" sqref="H5:H89">
      <formula1>$J$5:$J$37</formula1>
    </dataValidation>
    <dataValidation allowBlank="1" showInputMessage="1" showErrorMessage="1" promptTitle="Full Description" prompt="A complete description of the product" sqref="F5:F89"/>
    <dataValidation allowBlank="1" showInputMessage="1" showErrorMessage="1" promptTitle="Descriptive phrase" prompt="Short description" sqref="E5:E89"/>
    <dataValidation type="list" allowBlank="1" showInputMessage="1" showErrorMessage="1" promptTitle="Product" prompt="The type of product" sqref="D5:D89">
      <formula1>$K$5:$K$26</formula1>
    </dataValidation>
    <dataValidation type="whole" operator="greaterThan" allowBlank="1" showInputMessage="1" showErrorMessage="1" promptTitle="Product ID" prompt="Product ID" sqref="C5:C89">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_xlnm.auto_open">
                <anchor moveWithCells="1" sizeWithCells="1">
                  <from>
                    <xdr:col>0</xdr:col>
                    <xdr:colOff>314325</xdr:colOff>
                    <xdr:row>0</xdr:row>
                    <xdr:rowOff>85725</xdr:rowOff>
                  </from>
                  <to>
                    <xdr:col>2</xdr:col>
                    <xdr:colOff>238125</xdr:colOff>
                    <xdr:row>1</xdr:row>
                    <xdr:rowOff>171450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01"/>
  <sheetViews>
    <sheetView workbookViewId="0">
      <pane ySplit="1" topLeftCell="A2" activePane="bottomLeft" state="frozen"/>
      <selection pane="bottomLeft" activeCell="C4" sqref="C4"/>
    </sheetView>
  </sheetViews>
  <sheetFormatPr defaultRowHeight="15"/>
  <cols>
    <col min="1" max="1" width="11.5703125" customWidth="1"/>
    <col min="2" max="2" width="12.7109375" customWidth="1"/>
    <col min="3" max="3" width="12.28515625" customWidth="1"/>
    <col min="4" max="4" width="37.28515625" bestFit="1" customWidth="1"/>
    <col min="5" max="5" width="9.85546875" customWidth="1"/>
    <col min="6" max="6" width="12" customWidth="1"/>
  </cols>
  <sheetData>
    <row r="1" spans="1:6">
      <c r="A1" t="s">
        <v>675</v>
      </c>
      <c r="B1" t="s">
        <v>674</v>
      </c>
      <c r="C1" t="s">
        <v>673</v>
      </c>
      <c r="D1" t="s">
        <v>672</v>
      </c>
      <c r="E1" t="s">
        <v>671</v>
      </c>
      <c r="F1" t="s">
        <v>670</v>
      </c>
    </row>
    <row r="2" spans="1:6">
      <c r="A2" s="1">
        <v>1</v>
      </c>
      <c r="B2" s="1" t="s">
        <v>669</v>
      </c>
      <c r="C2" s="1" t="s">
        <v>668</v>
      </c>
      <c r="D2" s="1" t="s">
        <v>667</v>
      </c>
      <c r="E2" s="1" t="s">
        <v>16</v>
      </c>
      <c r="F2" s="116">
        <v>42804</v>
      </c>
    </row>
    <row r="3" spans="1:6">
      <c r="A3" s="1">
        <v>2</v>
      </c>
      <c r="B3" s="1" t="s">
        <v>666</v>
      </c>
      <c r="C3" s="1" t="s">
        <v>665</v>
      </c>
      <c r="D3" s="1" t="s">
        <v>664</v>
      </c>
      <c r="E3" s="1" t="s">
        <v>16</v>
      </c>
      <c r="F3" s="116">
        <v>42902</v>
      </c>
    </row>
    <row r="4" spans="1:6">
      <c r="A4" s="1">
        <v>3</v>
      </c>
      <c r="B4" s="1" t="s">
        <v>663</v>
      </c>
      <c r="C4" s="1" t="s">
        <v>662</v>
      </c>
      <c r="D4" s="1" t="s">
        <v>661</v>
      </c>
      <c r="E4" s="1" t="s">
        <v>9</v>
      </c>
      <c r="F4" s="116">
        <v>42654</v>
      </c>
    </row>
    <row r="5" spans="1:6">
      <c r="A5" s="1">
        <v>4</v>
      </c>
      <c r="B5" s="1" t="s">
        <v>660</v>
      </c>
      <c r="C5" s="1" t="s">
        <v>659</v>
      </c>
      <c r="D5" s="1" t="s">
        <v>658</v>
      </c>
      <c r="E5" s="1" t="s">
        <v>16</v>
      </c>
      <c r="F5" s="116">
        <v>42752</v>
      </c>
    </row>
    <row r="6" spans="1:6">
      <c r="A6" s="1">
        <v>5</v>
      </c>
      <c r="B6" s="1" t="s">
        <v>657</v>
      </c>
      <c r="C6" s="1" t="s">
        <v>656</v>
      </c>
      <c r="D6" s="1" t="s">
        <v>655</v>
      </c>
      <c r="E6" s="1" t="s">
        <v>16</v>
      </c>
      <c r="F6" s="116">
        <v>42758</v>
      </c>
    </row>
    <row r="7" spans="1:6">
      <c r="A7" s="1">
        <v>6</v>
      </c>
      <c r="B7" s="1" t="s">
        <v>654</v>
      </c>
      <c r="C7" s="1" t="s">
        <v>653</v>
      </c>
      <c r="D7" s="1" t="s">
        <v>652</v>
      </c>
      <c r="E7" s="1" t="s">
        <v>9</v>
      </c>
      <c r="F7" s="116">
        <v>42733</v>
      </c>
    </row>
    <row r="8" spans="1:6">
      <c r="A8" s="1">
        <v>7</v>
      </c>
      <c r="B8" s="1" t="s">
        <v>651</v>
      </c>
      <c r="C8" s="1" t="s">
        <v>650</v>
      </c>
      <c r="D8" s="1" t="s">
        <v>649</v>
      </c>
      <c r="E8" s="1" t="s">
        <v>16</v>
      </c>
      <c r="F8" s="116">
        <v>42729</v>
      </c>
    </row>
    <row r="9" spans="1:6">
      <c r="A9" s="1">
        <v>8</v>
      </c>
      <c r="B9" s="1" t="s">
        <v>547</v>
      </c>
      <c r="C9" s="1" t="s">
        <v>648</v>
      </c>
      <c r="D9" s="1" t="s">
        <v>647</v>
      </c>
      <c r="E9" s="1" t="s">
        <v>9</v>
      </c>
      <c r="F9" s="116">
        <v>42579</v>
      </c>
    </row>
    <row r="10" spans="1:6">
      <c r="A10" s="1">
        <v>9</v>
      </c>
      <c r="B10" s="1" t="s">
        <v>646</v>
      </c>
      <c r="C10" s="1" t="s">
        <v>645</v>
      </c>
      <c r="D10" s="1" t="s">
        <v>644</v>
      </c>
      <c r="E10" s="1" t="s">
        <v>9</v>
      </c>
      <c r="F10" s="116">
        <v>42654</v>
      </c>
    </row>
    <row r="11" spans="1:6">
      <c r="A11" s="1">
        <v>10</v>
      </c>
      <c r="B11" s="1" t="s">
        <v>643</v>
      </c>
      <c r="C11" s="1" t="s">
        <v>642</v>
      </c>
      <c r="D11" s="1" t="s">
        <v>641</v>
      </c>
      <c r="E11" s="1" t="s">
        <v>16</v>
      </c>
      <c r="F11" s="116">
        <v>42761</v>
      </c>
    </row>
    <row r="12" spans="1:6">
      <c r="A12" s="1">
        <v>11</v>
      </c>
      <c r="B12" s="1" t="s">
        <v>640</v>
      </c>
      <c r="C12" s="1" t="s">
        <v>639</v>
      </c>
      <c r="D12" s="1" t="s">
        <v>638</v>
      </c>
      <c r="E12" s="1" t="s">
        <v>9</v>
      </c>
      <c r="F12" s="116">
        <v>42587</v>
      </c>
    </row>
    <row r="13" spans="1:6">
      <c r="A13" s="1">
        <v>12</v>
      </c>
      <c r="B13" s="1" t="s">
        <v>637</v>
      </c>
      <c r="C13" s="1" t="s">
        <v>636</v>
      </c>
      <c r="D13" s="1" t="s">
        <v>635</v>
      </c>
      <c r="E13" s="1" t="s">
        <v>16</v>
      </c>
      <c r="F13" s="116">
        <v>42688</v>
      </c>
    </row>
    <row r="14" spans="1:6">
      <c r="A14" s="1">
        <v>13</v>
      </c>
      <c r="B14" s="1" t="s">
        <v>634</v>
      </c>
      <c r="C14" s="1" t="s">
        <v>633</v>
      </c>
      <c r="D14" s="1" t="s">
        <v>632</v>
      </c>
      <c r="E14" s="1" t="s">
        <v>16</v>
      </c>
      <c r="F14" s="116">
        <v>42917</v>
      </c>
    </row>
    <row r="15" spans="1:6">
      <c r="A15" s="1">
        <v>14</v>
      </c>
      <c r="B15" s="1" t="s">
        <v>631</v>
      </c>
      <c r="C15" s="1" t="s">
        <v>630</v>
      </c>
      <c r="D15" s="1" t="s">
        <v>629</v>
      </c>
      <c r="E15" s="1" t="s">
        <v>9</v>
      </c>
      <c r="F15" s="116">
        <v>42915</v>
      </c>
    </row>
    <row r="16" spans="1:6">
      <c r="A16" s="1">
        <v>15</v>
      </c>
      <c r="B16" s="1" t="s">
        <v>628</v>
      </c>
      <c r="C16" s="1" t="s">
        <v>627</v>
      </c>
      <c r="D16" s="1" t="s">
        <v>626</v>
      </c>
      <c r="E16" s="1" t="s">
        <v>16</v>
      </c>
      <c r="F16" s="116">
        <v>42610</v>
      </c>
    </row>
    <row r="17" spans="1:6">
      <c r="A17" s="1">
        <v>16</v>
      </c>
      <c r="B17" s="1" t="s">
        <v>625</v>
      </c>
      <c r="C17" s="1" t="s">
        <v>624</v>
      </c>
      <c r="D17" s="1" t="s">
        <v>623</v>
      </c>
      <c r="E17" s="1" t="s">
        <v>9</v>
      </c>
      <c r="F17" s="116">
        <v>42726</v>
      </c>
    </row>
    <row r="18" spans="1:6">
      <c r="A18" s="1">
        <v>17</v>
      </c>
      <c r="B18" s="1" t="s">
        <v>622</v>
      </c>
      <c r="C18" s="1" t="s">
        <v>621</v>
      </c>
      <c r="D18" s="1" t="s">
        <v>620</v>
      </c>
      <c r="E18" s="1" t="s">
        <v>16</v>
      </c>
      <c r="F18" s="116">
        <v>42575</v>
      </c>
    </row>
    <row r="19" spans="1:6">
      <c r="A19" s="1">
        <v>18</v>
      </c>
      <c r="B19" s="1" t="s">
        <v>619</v>
      </c>
      <c r="C19" s="1" t="s">
        <v>618</v>
      </c>
      <c r="D19" s="1" t="s">
        <v>617</v>
      </c>
      <c r="E19" s="1" t="s">
        <v>9</v>
      </c>
      <c r="F19" s="116">
        <v>42575</v>
      </c>
    </row>
    <row r="20" spans="1:6">
      <c r="A20" s="1">
        <v>19</v>
      </c>
      <c r="B20" s="1" t="s">
        <v>616</v>
      </c>
      <c r="C20" s="1" t="s">
        <v>615</v>
      </c>
      <c r="D20" s="1" t="s">
        <v>614</v>
      </c>
      <c r="E20" s="1" t="s">
        <v>16</v>
      </c>
      <c r="F20" s="116">
        <v>42618</v>
      </c>
    </row>
    <row r="21" spans="1:6">
      <c r="A21" s="1">
        <v>20</v>
      </c>
      <c r="B21" s="1" t="s">
        <v>613</v>
      </c>
      <c r="C21" s="1" t="s">
        <v>612</v>
      </c>
      <c r="D21" s="1" t="s">
        <v>611</v>
      </c>
      <c r="E21" s="1" t="s">
        <v>16</v>
      </c>
      <c r="F21" s="116">
        <v>42773</v>
      </c>
    </row>
    <row r="22" spans="1:6">
      <c r="A22" s="1">
        <v>21</v>
      </c>
      <c r="B22" s="1" t="s">
        <v>610</v>
      </c>
      <c r="C22" s="1" t="s">
        <v>609</v>
      </c>
      <c r="D22" s="1" t="s">
        <v>608</v>
      </c>
      <c r="E22" s="1" t="s">
        <v>9</v>
      </c>
      <c r="F22" s="116">
        <v>42766</v>
      </c>
    </row>
    <row r="23" spans="1:6">
      <c r="A23" s="1">
        <v>22</v>
      </c>
      <c r="B23" s="1" t="s">
        <v>607</v>
      </c>
      <c r="C23" s="1" t="s">
        <v>606</v>
      </c>
      <c r="D23" s="1" t="s">
        <v>605</v>
      </c>
      <c r="E23" s="1" t="s">
        <v>16</v>
      </c>
      <c r="F23" s="116">
        <v>42737</v>
      </c>
    </row>
    <row r="24" spans="1:6">
      <c r="A24" s="1">
        <v>23</v>
      </c>
      <c r="B24" s="1" t="s">
        <v>604</v>
      </c>
      <c r="C24" s="1" t="s">
        <v>603</v>
      </c>
      <c r="D24" s="1" t="s">
        <v>602</v>
      </c>
      <c r="E24" s="1" t="s">
        <v>9</v>
      </c>
      <c r="F24" s="116">
        <v>42590</v>
      </c>
    </row>
    <row r="25" spans="1:6">
      <c r="A25" s="1">
        <v>24</v>
      </c>
      <c r="B25" s="1" t="s">
        <v>601</v>
      </c>
      <c r="C25" s="1" t="s">
        <v>600</v>
      </c>
      <c r="D25" s="1" t="s">
        <v>599</v>
      </c>
      <c r="E25" s="1" t="s">
        <v>9</v>
      </c>
      <c r="F25" s="116">
        <v>42848</v>
      </c>
    </row>
    <row r="26" spans="1:6">
      <c r="A26" s="1">
        <v>25</v>
      </c>
      <c r="B26" s="1" t="s">
        <v>598</v>
      </c>
      <c r="C26" s="1" t="s">
        <v>597</v>
      </c>
      <c r="D26" s="1" t="s">
        <v>596</v>
      </c>
      <c r="E26" s="1" t="s">
        <v>16</v>
      </c>
      <c r="F26" s="116">
        <v>42793</v>
      </c>
    </row>
    <row r="27" spans="1:6">
      <c r="A27" s="1">
        <v>26</v>
      </c>
      <c r="B27" s="1" t="s">
        <v>595</v>
      </c>
      <c r="C27" s="1" t="s">
        <v>594</v>
      </c>
      <c r="D27" s="1" t="s">
        <v>593</v>
      </c>
      <c r="E27" s="1" t="s">
        <v>16</v>
      </c>
      <c r="F27" s="116">
        <v>42811</v>
      </c>
    </row>
    <row r="28" spans="1:6">
      <c r="A28" s="1">
        <v>27</v>
      </c>
      <c r="B28" s="1" t="s">
        <v>592</v>
      </c>
      <c r="C28" s="1" t="s">
        <v>591</v>
      </c>
      <c r="D28" s="1" t="s">
        <v>590</v>
      </c>
      <c r="E28" s="1" t="s">
        <v>9</v>
      </c>
      <c r="F28" s="116">
        <v>42790</v>
      </c>
    </row>
    <row r="29" spans="1:6">
      <c r="A29" s="1">
        <v>28</v>
      </c>
      <c r="B29" s="1" t="s">
        <v>589</v>
      </c>
      <c r="C29" s="1" t="s">
        <v>588</v>
      </c>
      <c r="D29" s="1" t="s">
        <v>587</v>
      </c>
      <c r="E29" s="1" t="s">
        <v>16</v>
      </c>
      <c r="F29" s="116">
        <v>42667</v>
      </c>
    </row>
    <row r="30" spans="1:6">
      <c r="A30" s="1">
        <v>29</v>
      </c>
      <c r="B30" s="1" t="s">
        <v>586</v>
      </c>
      <c r="C30" s="1" t="s">
        <v>585</v>
      </c>
      <c r="D30" s="1" t="s">
        <v>584</v>
      </c>
      <c r="E30" s="1" t="s">
        <v>9</v>
      </c>
      <c r="F30" s="116">
        <v>42756</v>
      </c>
    </row>
    <row r="31" spans="1:6">
      <c r="A31" s="1">
        <v>30</v>
      </c>
      <c r="B31" s="1" t="s">
        <v>583</v>
      </c>
      <c r="C31" s="1" t="s">
        <v>582</v>
      </c>
      <c r="D31" s="1" t="s">
        <v>581</v>
      </c>
      <c r="E31" s="1" t="s">
        <v>9</v>
      </c>
      <c r="F31" s="116">
        <v>42749</v>
      </c>
    </row>
    <row r="32" spans="1:6">
      <c r="A32" s="1">
        <v>31</v>
      </c>
      <c r="B32" s="1" t="s">
        <v>580</v>
      </c>
      <c r="C32" s="1" t="s">
        <v>579</v>
      </c>
      <c r="D32" s="1" t="s">
        <v>578</v>
      </c>
      <c r="E32" s="1" t="s">
        <v>9</v>
      </c>
      <c r="F32" s="116">
        <v>42665</v>
      </c>
    </row>
    <row r="33" spans="1:6">
      <c r="A33" s="1">
        <v>32</v>
      </c>
      <c r="B33" s="1" t="s">
        <v>577</v>
      </c>
      <c r="C33" s="1" t="s">
        <v>576</v>
      </c>
      <c r="D33" s="1" t="s">
        <v>575</v>
      </c>
      <c r="E33" s="1" t="s">
        <v>16</v>
      </c>
      <c r="F33" s="116">
        <v>42776</v>
      </c>
    </row>
    <row r="34" spans="1:6">
      <c r="A34" s="1">
        <v>33</v>
      </c>
      <c r="B34" s="1" t="s">
        <v>574</v>
      </c>
      <c r="C34" s="1" t="s">
        <v>573</v>
      </c>
      <c r="D34" s="1" t="s">
        <v>572</v>
      </c>
      <c r="E34" s="1" t="s">
        <v>16</v>
      </c>
      <c r="F34" s="116">
        <v>42740</v>
      </c>
    </row>
    <row r="35" spans="1:6">
      <c r="A35" s="1">
        <v>34</v>
      </c>
      <c r="B35" s="1" t="s">
        <v>571</v>
      </c>
      <c r="C35" s="1" t="s">
        <v>570</v>
      </c>
      <c r="D35" s="1" t="s">
        <v>569</v>
      </c>
      <c r="E35" s="1" t="s">
        <v>9</v>
      </c>
      <c r="F35" s="116">
        <v>42918</v>
      </c>
    </row>
    <row r="36" spans="1:6">
      <c r="A36" s="1">
        <v>35</v>
      </c>
      <c r="B36" s="1" t="s">
        <v>568</v>
      </c>
      <c r="C36" s="1" t="s">
        <v>567</v>
      </c>
      <c r="D36" s="1" t="s">
        <v>566</v>
      </c>
      <c r="E36" s="1" t="s">
        <v>9</v>
      </c>
      <c r="F36" s="116">
        <v>42648</v>
      </c>
    </row>
    <row r="37" spans="1:6">
      <c r="A37" s="1">
        <v>36</v>
      </c>
      <c r="B37" s="1" t="s">
        <v>565</v>
      </c>
      <c r="C37" s="1" t="s">
        <v>564</v>
      </c>
      <c r="D37" s="1" t="s">
        <v>563</v>
      </c>
      <c r="E37" s="1" t="s">
        <v>16</v>
      </c>
      <c r="F37" s="116">
        <v>42733</v>
      </c>
    </row>
    <row r="38" spans="1:6">
      <c r="A38" s="1">
        <v>37</v>
      </c>
      <c r="B38" s="1" t="s">
        <v>562</v>
      </c>
      <c r="C38" s="1" t="s">
        <v>561</v>
      </c>
      <c r="D38" s="1" t="s">
        <v>560</v>
      </c>
      <c r="E38" s="1" t="s">
        <v>16</v>
      </c>
      <c r="F38" s="116">
        <v>42592</v>
      </c>
    </row>
    <row r="39" spans="1:6">
      <c r="A39" s="1">
        <v>38</v>
      </c>
      <c r="B39" s="1" t="s">
        <v>559</v>
      </c>
      <c r="C39" s="1" t="s">
        <v>558</v>
      </c>
      <c r="D39" s="1" t="s">
        <v>557</v>
      </c>
      <c r="E39" s="1" t="s">
        <v>9</v>
      </c>
      <c r="F39" s="116">
        <v>42843</v>
      </c>
    </row>
    <row r="40" spans="1:6">
      <c r="A40" s="1">
        <v>39</v>
      </c>
      <c r="B40" s="1" t="s">
        <v>556</v>
      </c>
      <c r="C40" s="1" t="s">
        <v>555</v>
      </c>
      <c r="D40" s="1" t="s">
        <v>554</v>
      </c>
      <c r="E40" s="1" t="s">
        <v>16</v>
      </c>
      <c r="F40" s="116">
        <v>42599</v>
      </c>
    </row>
    <row r="41" spans="1:6">
      <c r="A41" s="1">
        <v>40</v>
      </c>
      <c r="B41" s="1" t="s">
        <v>553</v>
      </c>
      <c r="C41" s="1" t="s">
        <v>552</v>
      </c>
      <c r="D41" s="1" t="s">
        <v>551</v>
      </c>
      <c r="E41" s="1" t="s">
        <v>16</v>
      </c>
      <c r="F41" s="116">
        <v>42696</v>
      </c>
    </row>
    <row r="42" spans="1:6">
      <c r="A42" s="1">
        <v>41</v>
      </c>
      <c r="B42" s="1" t="s">
        <v>550</v>
      </c>
      <c r="C42" s="1" t="s">
        <v>549</v>
      </c>
      <c r="D42" s="1" t="s">
        <v>548</v>
      </c>
      <c r="E42" s="1" t="s">
        <v>16</v>
      </c>
      <c r="F42" s="116">
        <v>42868</v>
      </c>
    </row>
    <row r="43" spans="1:6">
      <c r="A43" s="1">
        <v>42</v>
      </c>
      <c r="B43" s="1" t="s">
        <v>547</v>
      </c>
      <c r="C43" s="1" t="s">
        <v>546</v>
      </c>
      <c r="D43" s="1" t="s">
        <v>545</v>
      </c>
      <c r="E43" s="1" t="s">
        <v>9</v>
      </c>
      <c r="F43" s="116">
        <v>42845</v>
      </c>
    </row>
    <row r="44" spans="1:6">
      <c r="A44" s="1">
        <v>43</v>
      </c>
      <c r="B44" s="1" t="s">
        <v>544</v>
      </c>
      <c r="C44" s="1" t="s">
        <v>543</v>
      </c>
      <c r="D44" s="1" t="s">
        <v>542</v>
      </c>
      <c r="E44" s="1" t="s">
        <v>16</v>
      </c>
      <c r="F44" s="116">
        <v>42633</v>
      </c>
    </row>
    <row r="45" spans="1:6">
      <c r="A45" s="1">
        <v>44</v>
      </c>
      <c r="B45" s="1" t="s">
        <v>541</v>
      </c>
      <c r="C45" s="1" t="s">
        <v>540</v>
      </c>
      <c r="D45" s="1" t="s">
        <v>539</v>
      </c>
      <c r="E45" s="1" t="s">
        <v>16</v>
      </c>
      <c r="F45" s="116">
        <v>42871</v>
      </c>
    </row>
    <row r="46" spans="1:6">
      <c r="A46" s="1">
        <v>45</v>
      </c>
      <c r="B46" s="1" t="s">
        <v>538</v>
      </c>
      <c r="C46" s="1" t="s">
        <v>537</v>
      </c>
      <c r="D46" s="1" t="s">
        <v>536</v>
      </c>
      <c r="E46" s="1" t="s">
        <v>9</v>
      </c>
      <c r="F46" s="116">
        <v>42683</v>
      </c>
    </row>
    <row r="47" spans="1:6">
      <c r="A47" s="1">
        <v>46</v>
      </c>
      <c r="B47" s="1" t="s">
        <v>535</v>
      </c>
      <c r="C47" s="1" t="s">
        <v>534</v>
      </c>
      <c r="D47" s="1" t="s">
        <v>533</v>
      </c>
      <c r="E47" s="1" t="s">
        <v>16</v>
      </c>
      <c r="F47" s="116">
        <v>42587</v>
      </c>
    </row>
    <row r="48" spans="1:6">
      <c r="A48" s="1">
        <v>47</v>
      </c>
      <c r="B48" s="1" t="s">
        <v>532</v>
      </c>
      <c r="C48" s="1" t="s">
        <v>531</v>
      </c>
      <c r="D48" s="1" t="s">
        <v>530</v>
      </c>
      <c r="E48" s="1" t="s">
        <v>9</v>
      </c>
      <c r="F48" s="116">
        <v>42827</v>
      </c>
    </row>
    <row r="49" spans="1:6">
      <c r="A49" s="1">
        <v>48</v>
      </c>
      <c r="B49" s="1" t="s">
        <v>529</v>
      </c>
      <c r="C49" s="1" t="s">
        <v>528</v>
      </c>
      <c r="D49" s="1" t="s">
        <v>527</v>
      </c>
      <c r="E49" s="1" t="s">
        <v>16</v>
      </c>
      <c r="F49" s="116">
        <v>42883</v>
      </c>
    </row>
    <row r="50" spans="1:6">
      <c r="A50" s="1">
        <v>49</v>
      </c>
      <c r="B50" s="1" t="s">
        <v>526</v>
      </c>
      <c r="C50" s="1" t="s">
        <v>525</v>
      </c>
      <c r="D50" s="1" t="s">
        <v>524</v>
      </c>
      <c r="E50" s="1" t="s">
        <v>16</v>
      </c>
      <c r="F50" s="116">
        <v>42622</v>
      </c>
    </row>
    <row r="51" spans="1:6">
      <c r="A51" s="1">
        <v>50</v>
      </c>
      <c r="B51" s="1" t="s">
        <v>523</v>
      </c>
      <c r="C51" s="1" t="s">
        <v>522</v>
      </c>
      <c r="D51" s="1" t="s">
        <v>521</v>
      </c>
      <c r="E51" s="1" t="s">
        <v>16</v>
      </c>
      <c r="F51" s="116">
        <v>42779</v>
      </c>
    </row>
    <row r="52" spans="1:6">
      <c r="A52" s="1">
        <v>51</v>
      </c>
      <c r="B52" s="1" t="s">
        <v>520</v>
      </c>
      <c r="C52" s="1" t="s">
        <v>519</v>
      </c>
      <c r="D52" s="1" t="s">
        <v>518</v>
      </c>
      <c r="E52" s="1" t="s">
        <v>9</v>
      </c>
      <c r="F52" s="116">
        <v>42881</v>
      </c>
    </row>
    <row r="53" spans="1:6">
      <c r="A53" s="1">
        <v>52</v>
      </c>
      <c r="B53" s="1" t="s">
        <v>517</v>
      </c>
      <c r="C53" s="1" t="s">
        <v>516</v>
      </c>
      <c r="D53" s="1" t="s">
        <v>515</v>
      </c>
      <c r="E53" s="1" t="s">
        <v>9</v>
      </c>
      <c r="F53" s="116">
        <v>42816</v>
      </c>
    </row>
    <row r="54" spans="1:6">
      <c r="A54" s="1">
        <v>53</v>
      </c>
      <c r="B54" s="1" t="s">
        <v>514</v>
      </c>
      <c r="C54" s="1" t="s">
        <v>513</v>
      </c>
      <c r="D54" s="1" t="s">
        <v>512</v>
      </c>
      <c r="E54" s="1" t="s">
        <v>16</v>
      </c>
      <c r="F54" s="116">
        <v>42848</v>
      </c>
    </row>
    <row r="55" spans="1:6">
      <c r="A55" s="1">
        <v>54</v>
      </c>
      <c r="B55" s="1" t="s">
        <v>511</v>
      </c>
      <c r="C55" s="1" t="s">
        <v>510</v>
      </c>
      <c r="D55" s="1" t="s">
        <v>509</v>
      </c>
      <c r="E55" s="1" t="s">
        <v>16</v>
      </c>
      <c r="F55" s="116">
        <v>42671</v>
      </c>
    </row>
    <row r="56" spans="1:6">
      <c r="A56" s="1">
        <v>55</v>
      </c>
      <c r="B56" s="1" t="s">
        <v>508</v>
      </c>
      <c r="C56" s="1" t="s">
        <v>507</v>
      </c>
      <c r="D56" s="1" t="s">
        <v>506</v>
      </c>
      <c r="E56" s="1" t="s">
        <v>16</v>
      </c>
      <c r="F56" s="116">
        <v>42851</v>
      </c>
    </row>
    <row r="57" spans="1:6">
      <c r="A57" s="1">
        <v>56</v>
      </c>
      <c r="B57" s="1" t="s">
        <v>505</v>
      </c>
      <c r="C57" s="1" t="s">
        <v>504</v>
      </c>
      <c r="D57" s="1" t="s">
        <v>503</v>
      </c>
      <c r="E57" s="1" t="s">
        <v>16</v>
      </c>
      <c r="F57" s="116">
        <v>42788</v>
      </c>
    </row>
    <row r="58" spans="1:6">
      <c r="A58" s="1">
        <v>57</v>
      </c>
      <c r="B58" s="1" t="s">
        <v>502</v>
      </c>
      <c r="C58" s="1" t="s">
        <v>501</v>
      </c>
      <c r="D58" s="1" t="s">
        <v>500</v>
      </c>
      <c r="E58" s="1" t="s">
        <v>9</v>
      </c>
      <c r="F58" s="116">
        <v>42579</v>
      </c>
    </row>
    <row r="59" spans="1:6">
      <c r="A59" s="1">
        <v>58</v>
      </c>
      <c r="B59" s="1" t="s">
        <v>499</v>
      </c>
      <c r="C59" s="1" t="s">
        <v>498</v>
      </c>
      <c r="D59" s="1" t="s">
        <v>497</v>
      </c>
      <c r="E59" s="1" t="s">
        <v>9</v>
      </c>
      <c r="F59" s="116">
        <v>42727</v>
      </c>
    </row>
    <row r="60" spans="1:6">
      <c r="A60" s="1">
        <v>59</v>
      </c>
      <c r="B60" s="1" t="s">
        <v>496</v>
      </c>
      <c r="C60" s="1" t="s">
        <v>495</v>
      </c>
      <c r="D60" s="1" t="s">
        <v>494</v>
      </c>
      <c r="E60" s="1" t="s">
        <v>16</v>
      </c>
      <c r="F60" s="116">
        <v>42821</v>
      </c>
    </row>
    <row r="61" spans="1:6">
      <c r="A61" s="1">
        <v>60</v>
      </c>
      <c r="B61" s="1" t="s">
        <v>493</v>
      </c>
      <c r="C61" s="1" t="s">
        <v>492</v>
      </c>
      <c r="D61" s="1" t="s">
        <v>491</v>
      </c>
      <c r="E61" s="1" t="s">
        <v>16</v>
      </c>
      <c r="F61" s="116">
        <v>42605</v>
      </c>
    </row>
    <row r="62" spans="1:6">
      <c r="A62" s="1">
        <v>61</v>
      </c>
      <c r="B62" s="1" t="s">
        <v>490</v>
      </c>
      <c r="C62" s="1" t="s">
        <v>489</v>
      </c>
      <c r="D62" s="1" t="s">
        <v>488</v>
      </c>
      <c r="E62" s="1" t="s">
        <v>16</v>
      </c>
      <c r="F62" s="116">
        <v>42805</v>
      </c>
    </row>
    <row r="63" spans="1:6">
      <c r="A63" s="1">
        <v>62</v>
      </c>
      <c r="B63" s="1" t="s">
        <v>487</v>
      </c>
      <c r="C63" s="1" t="s">
        <v>486</v>
      </c>
      <c r="D63" s="1" t="s">
        <v>485</v>
      </c>
      <c r="E63" s="1" t="s">
        <v>9</v>
      </c>
      <c r="F63" s="116">
        <v>42869</v>
      </c>
    </row>
    <row r="64" spans="1:6">
      <c r="A64" s="1">
        <v>63</v>
      </c>
      <c r="B64" s="1" t="s">
        <v>484</v>
      </c>
      <c r="C64" s="1" t="s">
        <v>483</v>
      </c>
      <c r="D64" s="1" t="s">
        <v>482</v>
      </c>
      <c r="E64" s="1" t="s">
        <v>16</v>
      </c>
      <c r="F64" s="116">
        <v>42872</v>
      </c>
    </row>
    <row r="65" spans="1:6">
      <c r="A65" s="1">
        <v>64</v>
      </c>
      <c r="B65" s="1" t="s">
        <v>481</v>
      </c>
      <c r="C65" s="1" t="s">
        <v>480</v>
      </c>
      <c r="D65" s="1" t="s">
        <v>479</v>
      </c>
      <c r="E65" s="1" t="s">
        <v>16</v>
      </c>
      <c r="F65" s="116">
        <v>42922</v>
      </c>
    </row>
    <row r="66" spans="1:6">
      <c r="A66" s="1">
        <v>65</v>
      </c>
      <c r="B66" s="1" t="s">
        <v>478</v>
      </c>
      <c r="C66" s="1" t="s">
        <v>477</v>
      </c>
      <c r="D66" s="1" t="s">
        <v>476</v>
      </c>
      <c r="E66" s="1" t="s">
        <v>16</v>
      </c>
      <c r="F66" s="116">
        <v>42706</v>
      </c>
    </row>
    <row r="67" spans="1:6">
      <c r="A67" s="1">
        <v>66</v>
      </c>
      <c r="B67" s="1" t="s">
        <v>475</v>
      </c>
      <c r="C67" s="1" t="s">
        <v>474</v>
      </c>
      <c r="D67" s="1" t="s">
        <v>473</v>
      </c>
      <c r="E67" s="1" t="s">
        <v>16</v>
      </c>
      <c r="F67" s="116">
        <v>42656</v>
      </c>
    </row>
    <row r="68" spans="1:6">
      <c r="A68" s="1">
        <v>67</v>
      </c>
      <c r="B68" s="1" t="s">
        <v>472</v>
      </c>
      <c r="C68" s="1" t="s">
        <v>471</v>
      </c>
      <c r="D68" s="1" t="s">
        <v>470</v>
      </c>
      <c r="E68" s="1" t="s">
        <v>9</v>
      </c>
      <c r="F68" s="116">
        <v>42898</v>
      </c>
    </row>
    <row r="69" spans="1:6">
      <c r="A69" s="1">
        <v>68</v>
      </c>
      <c r="B69" s="1" t="s">
        <v>469</v>
      </c>
      <c r="C69" s="1" t="s">
        <v>468</v>
      </c>
      <c r="D69" s="1" t="s">
        <v>467</v>
      </c>
      <c r="E69" s="1" t="s">
        <v>16</v>
      </c>
      <c r="F69" s="116">
        <v>42864</v>
      </c>
    </row>
    <row r="70" spans="1:6">
      <c r="A70" s="1">
        <v>69</v>
      </c>
      <c r="B70" s="1" t="s">
        <v>466</v>
      </c>
      <c r="C70" s="1" t="s">
        <v>465</v>
      </c>
      <c r="D70" s="1" t="s">
        <v>464</v>
      </c>
      <c r="E70" s="1" t="s">
        <v>9</v>
      </c>
      <c r="F70" s="116">
        <v>42867</v>
      </c>
    </row>
    <row r="71" spans="1:6">
      <c r="A71" s="1">
        <v>70</v>
      </c>
      <c r="B71" s="1" t="s">
        <v>463</v>
      </c>
      <c r="C71" s="1" t="s">
        <v>462</v>
      </c>
      <c r="D71" s="1" t="s">
        <v>461</v>
      </c>
      <c r="E71" s="1" t="s">
        <v>16</v>
      </c>
      <c r="F71" s="116">
        <v>42845</v>
      </c>
    </row>
    <row r="72" spans="1:6">
      <c r="A72" s="1">
        <v>71</v>
      </c>
      <c r="B72" s="1" t="s">
        <v>460</v>
      </c>
      <c r="C72" s="1" t="s">
        <v>459</v>
      </c>
      <c r="D72" s="1" t="s">
        <v>458</v>
      </c>
      <c r="E72" s="1" t="s">
        <v>16</v>
      </c>
      <c r="F72" s="116">
        <v>42842</v>
      </c>
    </row>
    <row r="73" spans="1:6">
      <c r="A73" s="1">
        <v>72</v>
      </c>
      <c r="B73" s="1" t="s">
        <v>457</v>
      </c>
      <c r="C73" s="1" t="s">
        <v>456</v>
      </c>
      <c r="D73" s="1" t="s">
        <v>455</v>
      </c>
      <c r="E73" s="1" t="s">
        <v>16</v>
      </c>
      <c r="F73" s="116">
        <v>42625</v>
      </c>
    </row>
    <row r="74" spans="1:6">
      <c r="A74" s="1">
        <v>73</v>
      </c>
      <c r="B74" s="1" t="s">
        <v>454</v>
      </c>
      <c r="C74" s="1" t="s">
        <v>453</v>
      </c>
      <c r="D74" s="1" t="s">
        <v>452</v>
      </c>
      <c r="E74" s="1" t="s">
        <v>16</v>
      </c>
      <c r="F74" s="116">
        <v>42678</v>
      </c>
    </row>
    <row r="75" spans="1:6">
      <c r="A75" s="1">
        <v>74</v>
      </c>
      <c r="B75" s="1" t="s">
        <v>451</v>
      </c>
      <c r="C75" s="1" t="s">
        <v>450</v>
      </c>
      <c r="D75" s="1" t="s">
        <v>449</v>
      </c>
      <c r="E75" s="1" t="s">
        <v>9</v>
      </c>
      <c r="F75" s="116">
        <v>42778</v>
      </c>
    </row>
    <row r="76" spans="1:6">
      <c r="A76" s="1">
        <v>75</v>
      </c>
      <c r="B76" s="1" t="s">
        <v>448</v>
      </c>
      <c r="C76" s="1" t="s">
        <v>447</v>
      </c>
      <c r="D76" s="1" t="s">
        <v>446</v>
      </c>
      <c r="E76" s="1" t="s">
        <v>16</v>
      </c>
      <c r="F76" s="116">
        <v>42656</v>
      </c>
    </row>
    <row r="77" spans="1:6">
      <c r="A77" s="1">
        <v>76</v>
      </c>
      <c r="B77" s="1" t="s">
        <v>445</v>
      </c>
      <c r="C77" s="1" t="s">
        <v>444</v>
      </c>
      <c r="D77" s="1" t="s">
        <v>443</v>
      </c>
      <c r="E77" s="1" t="s">
        <v>16</v>
      </c>
      <c r="F77" s="116">
        <v>42899</v>
      </c>
    </row>
    <row r="78" spans="1:6">
      <c r="A78" s="1">
        <v>77</v>
      </c>
      <c r="B78" s="1" t="s">
        <v>442</v>
      </c>
      <c r="C78" s="1" t="s">
        <v>441</v>
      </c>
      <c r="D78" s="1" t="s">
        <v>440</v>
      </c>
      <c r="E78" s="1" t="s">
        <v>16</v>
      </c>
      <c r="F78" s="116">
        <v>42858</v>
      </c>
    </row>
    <row r="79" spans="1:6">
      <c r="A79" s="1">
        <v>78</v>
      </c>
      <c r="B79" s="1" t="s">
        <v>439</v>
      </c>
      <c r="C79" s="1" t="s">
        <v>438</v>
      </c>
      <c r="D79" s="1" t="s">
        <v>437</v>
      </c>
      <c r="E79" s="1" t="s">
        <v>9</v>
      </c>
      <c r="F79" s="116">
        <v>42696</v>
      </c>
    </row>
    <row r="80" spans="1:6">
      <c r="A80" s="1">
        <v>79</v>
      </c>
      <c r="B80" s="1" t="s">
        <v>436</v>
      </c>
      <c r="C80" s="1" t="s">
        <v>435</v>
      </c>
      <c r="D80" s="1" t="s">
        <v>434</v>
      </c>
      <c r="E80" s="1" t="s">
        <v>16</v>
      </c>
      <c r="F80" s="116">
        <v>42720</v>
      </c>
    </row>
    <row r="81" spans="1:6">
      <c r="A81" s="1">
        <v>80</v>
      </c>
      <c r="B81" s="1" t="s">
        <v>433</v>
      </c>
      <c r="C81" s="1" t="s">
        <v>432</v>
      </c>
      <c r="D81" s="1" t="s">
        <v>431</v>
      </c>
      <c r="E81" s="1" t="s">
        <v>9</v>
      </c>
      <c r="F81" s="116">
        <v>42865</v>
      </c>
    </row>
    <row r="82" spans="1:6">
      <c r="A82" s="1">
        <v>81</v>
      </c>
      <c r="B82" s="1" t="s">
        <v>430</v>
      </c>
      <c r="C82" s="1" t="s">
        <v>429</v>
      </c>
      <c r="D82" s="1" t="s">
        <v>428</v>
      </c>
      <c r="E82" s="1" t="s">
        <v>9</v>
      </c>
      <c r="F82" s="116">
        <v>42738</v>
      </c>
    </row>
    <row r="83" spans="1:6">
      <c r="A83" s="1">
        <v>82</v>
      </c>
      <c r="B83" s="1" t="s">
        <v>427</v>
      </c>
      <c r="C83" s="1" t="s">
        <v>426</v>
      </c>
      <c r="D83" s="1" t="s">
        <v>425</v>
      </c>
      <c r="E83" s="1" t="s">
        <v>16</v>
      </c>
      <c r="F83" s="116">
        <v>42617</v>
      </c>
    </row>
    <row r="84" spans="1:6">
      <c r="A84" s="1">
        <v>83</v>
      </c>
      <c r="B84" s="1" t="s">
        <v>424</v>
      </c>
      <c r="C84" s="1" t="s">
        <v>423</v>
      </c>
      <c r="D84" s="1" t="s">
        <v>422</v>
      </c>
      <c r="E84" s="1" t="s">
        <v>16</v>
      </c>
      <c r="F84" s="116">
        <v>42623</v>
      </c>
    </row>
    <row r="85" spans="1:6">
      <c r="A85" s="1">
        <v>84</v>
      </c>
      <c r="B85" s="1" t="s">
        <v>421</v>
      </c>
      <c r="C85" s="1" t="s">
        <v>420</v>
      </c>
      <c r="D85" s="1" t="s">
        <v>419</v>
      </c>
      <c r="E85" s="1" t="s">
        <v>16</v>
      </c>
      <c r="F85" s="116">
        <v>42651</v>
      </c>
    </row>
    <row r="86" spans="1:6">
      <c r="A86" s="1">
        <v>85</v>
      </c>
      <c r="B86" s="1" t="s">
        <v>418</v>
      </c>
      <c r="C86" s="1" t="s">
        <v>417</v>
      </c>
      <c r="D86" s="1" t="s">
        <v>416</v>
      </c>
      <c r="E86" s="1" t="s">
        <v>16</v>
      </c>
      <c r="F86" s="116">
        <v>42769</v>
      </c>
    </row>
    <row r="87" spans="1:6">
      <c r="A87" s="1">
        <v>86</v>
      </c>
      <c r="B87" s="1" t="s">
        <v>415</v>
      </c>
      <c r="C87" s="1" t="s">
        <v>414</v>
      </c>
      <c r="D87" s="1" t="s">
        <v>413</v>
      </c>
      <c r="E87" s="1" t="s">
        <v>9</v>
      </c>
      <c r="F87" s="116">
        <v>42786</v>
      </c>
    </row>
    <row r="88" spans="1:6">
      <c r="A88" s="1">
        <v>87</v>
      </c>
      <c r="B88" s="1" t="s">
        <v>412</v>
      </c>
      <c r="C88" s="1" t="s">
        <v>411</v>
      </c>
      <c r="D88" s="1" t="s">
        <v>410</v>
      </c>
      <c r="E88" s="1" t="s">
        <v>9</v>
      </c>
      <c r="F88" s="116">
        <v>42652</v>
      </c>
    </row>
    <row r="89" spans="1:6">
      <c r="A89" s="1">
        <v>88</v>
      </c>
      <c r="B89" s="1" t="s">
        <v>409</v>
      </c>
      <c r="C89" s="1" t="s">
        <v>408</v>
      </c>
      <c r="D89" s="1" t="s">
        <v>407</v>
      </c>
      <c r="E89" s="1" t="s">
        <v>16</v>
      </c>
      <c r="F89" s="116">
        <v>42616</v>
      </c>
    </row>
    <row r="90" spans="1:6">
      <c r="A90" s="1">
        <v>89</v>
      </c>
      <c r="B90" s="1" t="s">
        <v>406</v>
      </c>
      <c r="C90" s="1" t="s">
        <v>405</v>
      </c>
      <c r="D90" s="1" t="s">
        <v>404</v>
      </c>
      <c r="E90" s="1" t="s">
        <v>9</v>
      </c>
      <c r="F90" s="116">
        <v>42707</v>
      </c>
    </row>
    <row r="91" spans="1:6">
      <c r="A91" s="1">
        <v>90</v>
      </c>
      <c r="B91" s="1" t="s">
        <v>403</v>
      </c>
      <c r="C91" s="1" t="s">
        <v>402</v>
      </c>
      <c r="D91" s="1" t="s">
        <v>401</v>
      </c>
      <c r="E91" s="1" t="s">
        <v>16</v>
      </c>
      <c r="F91" s="116">
        <v>42620</v>
      </c>
    </row>
    <row r="92" spans="1:6">
      <c r="A92" s="1">
        <v>91</v>
      </c>
      <c r="B92" s="1" t="s">
        <v>400</v>
      </c>
      <c r="C92" s="1" t="s">
        <v>399</v>
      </c>
      <c r="D92" s="1" t="s">
        <v>398</v>
      </c>
      <c r="E92" s="1" t="s">
        <v>16</v>
      </c>
      <c r="F92" s="116">
        <v>42751</v>
      </c>
    </row>
    <row r="93" spans="1:6">
      <c r="A93" s="1">
        <v>92</v>
      </c>
      <c r="B93" s="1" t="s">
        <v>397</v>
      </c>
      <c r="C93" s="1" t="s">
        <v>396</v>
      </c>
      <c r="D93" s="1" t="s">
        <v>395</v>
      </c>
      <c r="E93" s="1" t="s">
        <v>9</v>
      </c>
      <c r="F93" s="116">
        <v>42683</v>
      </c>
    </row>
    <row r="94" spans="1:6">
      <c r="A94" s="1">
        <v>93</v>
      </c>
      <c r="B94" s="1" t="s">
        <v>394</v>
      </c>
      <c r="C94" s="1" t="s">
        <v>393</v>
      </c>
      <c r="D94" s="1" t="s">
        <v>392</v>
      </c>
      <c r="E94" s="1" t="s">
        <v>16</v>
      </c>
      <c r="F94" s="116">
        <v>42805</v>
      </c>
    </row>
    <row r="95" spans="1:6">
      <c r="A95" s="1">
        <v>94</v>
      </c>
      <c r="B95" s="1" t="s">
        <v>391</v>
      </c>
      <c r="C95" s="1" t="s">
        <v>390</v>
      </c>
      <c r="D95" s="1" t="s">
        <v>389</v>
      </c>
      <c r="E95" s="1" t="s">
        <v>9</v>
      </c>
      <c r="F95" s="116">
        <v>42856</v>
      </c>
    </row>
    <row r="96" spans="1:6">
      <c r="A96" s="1">
        <v>95</v>
      </c>
      <c r="B96" s="1" t="s">
        <v>388</v>
      </c>
      <c r="C96" s="1" t="s">
        <v>387</v>
      </c>
      <c r="D96" s="1" t="s">
        <v>386</v>
      </c>
      <c r="E96" s="1" t="s">
        <v>16</v>
      </c>
      <c r="F96" s="116">
        <v>42887</v>
      </c>
    </row>
    <row r="97" spans="1:6">
      <c r="A97" s="1">
        <v>96</v>
      </c>
      <c r="B97" s="1" t="s">
        <v>385</v>
      </c>
      <c r="C97" s="1" t="s">
        <v>384</v>
      </c>
      <c r="D97" s="1" t="s">
        <v>383</v>
      </c>
      <c r="E97" s="1" t="s">
        <v>16</v>
      </c>
      <c r="F97" s="116">
        <v>42862</v>
      </c>
    </row>
    <row r="98" spans="1:6">
      <c r="A98" s="1">
        <v>97</v>
      </c>
      <c r="B98" s="1" t="s">
        <v>382</v>
      </c>
      <c r="C98" s="1" t="s">
        <v>381</v>
      </c>
      <c r="D98" s="1" t="s">
        <v>380</v>
      </c>
      <c r="E98" s="1" t="s">
        <v>9</v>
      </c>
      <c r="F98" s="116">
        <v>42623</v>
      </c>
    </row>
    <row r="99" spans="1:6">
      <c r="A99" s="1">
        <v>98</v>
      </c>
      <c r="B99" s="1" t="s">
        <v>379</v>
      </c>
      <c r="C99" s="1" t="s">
        <v>378</v>
      </c>
      <c r="D99" s="1" t="s">
        <v>377</v>
      </c>
      <c r="E99" s="1" t="s">
        <v>9</v>
      </c>
      <c r="F99" s="116">
        <v>42646</v>
      </c>
    </row>
    <row r="100" spans="1:6">
      <c r="A100" s="1">
        <v>99</v>
      </c>
      <c r="B100" s="1" t="s">
        <v>376</v>
      </c>
      <c r="C100" s="1" t="s">
        <v>375</v>
      </c>
      <c r="D100" s="1" t="s">
        <v>374</v>
      </c>
      <c r="E100" s="1" t="s">
        <v>16</v>
      </c>
      <c r="F100" s="116">
        <v>42748</v>
      </c>
    </row>
    <row r="101" spans="1:6">
      <c r="A101" s="1">
        <v>100</v>
      </c>
      <c r="B101" s="1" t="s">
        <v>373</v>
      </c>
      <c r="C101" s="1" t="s">
        <v>372</v>
      </c>
      <c r="D101" s="1" t="s">
        <v>371</v>
      </c>
      <c r="E101" s="1" t="s">
        <v>16</v>
      </c>
      <c r="F101" s="116">
        <v>42835</v>
      </c>
    </row>
  </sheetData>
  <dataConsolidate/>
  <dataValidations count="6">
    <dataValidation type="date" operator="lessThan" allowBlank="1" showInputMessage="1" showErrorMessage="1" errorTitle="Bad Birth Date" error="Birth date must be prior to today" promptTitle="Birth Date" prompt="Date earlier than today" sqref="F2:F101">
      <formula1>TODAY()</formula1>
    </dataValidation>
    <dataValidation type="list" allowBlank="1" showInputMessage="1" showErrorMessage="1" errorTitle="Bad Gender" error="Must be either Male or Female" promptTitle="Gender" prompt="Either Male or female" sqref="E2:E101">
      <formula1>"""Male"",""Female"""</formula1>
    </dataValidation>
    <dataValidation allowBlank="1" showInputMessage="1" showErrorMessage="1" promptTitle="EMail Address" sqref="D2:D101"/>
    <dataValidation allowBlank="1" showInputMessage="1" showErrorMessage="1" promptTitle="Last Name" sqref="C2:C101"/>
    <dataValidation allowBlank="1" showInputMessage="1" showErrorMessage="1" promptTitle="First Name" sqref="B2:B101"/>
    <dataValidation type="whole" operator="greaterThan" allowBlank="1" showInputMessage="1" showErrorMessage="1" errorTitle="Bad Identifier" error="Employee Number must an integer greater than zero" promptTitle="Identifier" prompt="Employee ID" sqref="A2:A101">
      <formula1>0</formula1>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8"/>
  <sheetViews>
    <sheetView workbookViewId="0">
      <selection activeCell="F20" sqref="F20"/>
    </sheetView>
  </sheetViews>
  <sheetFormatPr defaultRowHeight="15"/>
  <cols>
    <col min="1" max="2" width="9.5703125" bestFit="1" customWidth="1"/>
    <col min="3" max="3" width="16.28515625" bestFit="1" customWidth="1"/>
    <col min="4" max="4" width="4" bestFit="1" customWidth="1"/>
    <col min="5" max="5" width="6.140625" bestFit="1" customWidth="1"/>
    <col min="6" max="6" width="5" bestFit="1" customWidth="1"/>
    <col min="7" max="7" width="9.5703125" bestFit="1" customWidth="1"/>
  </cols>
  <sheetData>
    <row r="1" spans="1:7">
      <c r="A1" t="s">
        <v>366</v>
      </c>
      <c r="B1" t="s">
        <v>367</v>
      </c>
      <c r="D1" t="s">
        <v>368</v>
      </c>
      <c r="E1" t="s">
        <v>369</v>
      </c>
      <c r="F1" t="s">
        <v>370</v>
      </c>
    </row>
    <row r="2" spans="1:7">
      <c r="A2" s="2" t="s">
        <v>206</v>
      </c>
      <c r="B2" s="3" t="s">
        <v>206</v>
      </c>
      <c r="C2" t="s">
        <v>207</v>
      </c>
      <c r="D2">
        <f>HEX2DEC("FF")</f>
        <v>255</v>
      </c>
      <c r="E2">
        <f>HEX2DEC("FF")</f>
        <v>255</v>
      </c>
      <c r="F2">
        <f>HEX2DEC("FF")</f>
        <v>255</v>
      </c>
      <c r="G2" t="s">
        <v>208</v>
      </c>
    </row>
    <row r="3" spans="1:7">
      <c r="A3" s="4" t="s">
        <v>209</v>
      </c>
      <c r="B3" s="5" t="s">
        <v>209</v>
      </c>
      <c r="C3" t="s">
        <v>210</v>
      </c>
      <c r="D3">
        <f>HEX2DEC("00")</f>
        <v>0</v>
      </c>
      <c r="E3">
        <f>HEX2DEC("00")</f>
        <v>0</v>
      </c>
      <c r="F3">
        <f>HEX2DEC("00")</f>
        <v>0</v>
      </c>
      <c r="G3" t="s">
        <v>211</v>
      </c>
    </row>
    <row r="4" spans="1:7">
      <c r="A4" s="6" t="s">
        <v>212</v>
      </c>
      <c r="B4" s="7" t="s">
        <v>212</v>
      </c>
      <c r="C4" t="s">
        <v>207</v>
      </c>
      <c r="D4">
        <f>HEX2DEC("FF")</f>
        <v>255</v>
      </c>
      <c r="E4">
        <f>HEX2DEC("FF")</f>
        <v>255</v>
      </c>
      <c r="F4">
        <f>HEX2DEC("FF")</f>
        <v>255</v>
      </c>
      <c r="G4" t="s">
        <v>213</v>
      </c>
    </row>
    <row r="5" spans="1:7">
      <c r="A5" s="8" t="s">
        <v>214</v>
      </c>
      <c r="B5" s="9" t="s">
        <v>214</v>
      </c>
      <c r="C5" t="s">
        <v>215</v>
      </c>
      <c r="D5">
        <f>HEX2DEC("FF")</f>
        <v>255</v>
      </c>
      <c r="E5">
        <f>HEX2DEC("00")</f>
        <v>0</v>
      </c>
      <c r="F5">
        <f>HEX2DEC("00")</f>
        <v>0</v>
      </c>
      <c r="G5" t="s">
        <v>216</v>
      </c>
    </row>
    <row r="6" spans="1:7">
      <c r="A6" s="10" t="s">
        <v>217</v>
      </c>
      <c r="B6" s="11" t="s">
        <v>217</v>
      </c>
      <c r="C6" t="s">
        <v>218</v>
      </c>
      <c r="D6">
        <f>HEX2DEC("00")</f>
        <v>0</v>
      </c>
      <c r="E6">
        <f>HEX2DEC("FF")</f>
        <v>255</v>
      </c>
      <c r="F6">
        <f>HEX2DEC("00")</f>
        <v>0</v>
      </c>
      <c r="G6" t="s">
        <v>219</v>
      </c>
    </row>
    <row r="7" spans="1:7">
      <c r="A7" s="12" t="s">
        <v>220</v>
      </c>
      <c r="B7" s="13" t="s">
        <v>220</v>
      </c>
      <c r="C7" t="s">
        <v>221</v>
      </c>
      <c r="D7">
        <f>HEX2DEC("00")</f>
        <v>0</v>
      </c>
      <c r="E7">
        <f>HEX2DEC("00")</f>
        <v>0</v>
      </c>
      <c r="F7">
        <f>HEX2DEC("FF")</f>
        <v>255</v>
      </c>
      <c r="G7" t="s">
        <v>222</v>
      </c>
    </row>
    <row r="8" spans="1:7">
      <c r="A8" s="14" t="s">
        <v>223</v>
      </c>
      <c r="B8" s="15" t="s">
        <v>223</v>
      </c>
      <c r="C8" t="s">
        <v>224</v>
      </c>
      <c r="D8">
        <f>HEX2DEC("FF")</f>
        <v>255</v>
      </c>
      <c r="E8">
        <f>HEX2DEC("FF")</f>
        <v>255</v>
      </c>
      <c r="F8">
        <f>HEX2DEC("00")</f>
        <v>0</v>
      </c>
      <c r="G8" t="s">
        <v>225</v>
      </c>
    </row>
    <row r="9" spans="1:7">
      <c r="A9" s="16" t="s">
        <v>226</v>
      </c>
      <c r="B9" s="17" t="s">
        <v>226</v>
      </c>
      <c r="C9" t="s">
        <v>227</v>
      </c>
      <c r="D9">
        <f>HEX2DEC("FF")</f>
        <v>255</v>
      </c>
      <c r="E9">
        <f>HEX2DEC("00")</f>
        <v>0</v>
      </c>
      <c r="F9">
        <f>HEX2DEC("FF")</f>
        <v>255</v>
      </c>
      <c r="G9" t="s">
        <v>228</v>
      </c>
    </row>
    <row r="10" spans="1:7">
      <c r="A10" s="18" t="s">
        <v>229</v>
      </c>
      <c r="B10" s="19" t="s">
        <v>229</v>
      </c>
      <c r="C10" t="s">
        <v>230</v>
      </c>
      <c r="D10">
        <f>HEX2DEC("00")</f>
        <v>0</v>
      </c>
      <c r="E10">
        <f>HEX2DEC("FF")</f>
        <v>255</v>
      </c>
      <c r="F10">
        <f>HEX2DEC("FF")</f>
        <v>255</v>
      </c>
      <c r="G10" t="s">
        <v>231</v>
      </c>
    </row>
    <row r="11" spans="1:7">
      <c r="A11" s="20" t="s">
        <v>232</v>
      </c>
      <c r="B11" s="21" t="s">
        <v>232</v>
      </c>
      <c r="C11" t="s">
        <v>233</v>
      </c>
      <c r="D11">
        <f>HEX2DEC("80")</f>
        <v>128</v>
      </c>
      <c r="E11">
        <f>HEX2DEC("00")</f>
        <v>0</v>
      </c>
      <c r="F11">
        <f>HEX2DEC("00")</f>
        <v>0</v>
      </c>
      <c r="G11" t="s">
        <v>234</v>
      </c>
    </row>
    <row r="12" spans="1:7">
      <c r="A12" s="22" t="s">
        <v>235</v>
      </c>
      <c r="B12" s="23" t="s">
        <v>235</v>
      </c>
      <c r="C12" t="s">
        <v>236</v>
      </c>
      <c r="D12">
        <f>HEX2DEC("00")</f>
        <v>0</v>
      </c>
      <c r="E12">
        <f>HEX2DEC("80")</f>
        <v>128</v>
      </c>
      <c r="F12">
        <f>HEX2DEC("00")</f>
        <v>0</v>
      </c>
      <c r="G12" t="s">
        <v>237</v>
      </c>
    </row>
    <row r="13" spans="1:7">
      <c r="A13" s="24" t="s">
        <v>238</v>
      </c>
      <c r="B13" s="25" t="s">
        <v>238</v>
      </c>
      <c r="C13" t="s">
        <v>239</v>
      </c>
      <c r="D13">
        <f>HEX2DEC("00")</f>
        <v>0</v>
      </c>
      <c r="E13">
        <f>HEX2DEC("00")</f>
        <v>0</v>
      </c>
      <c r="F13">
        <f>HEX2DEC("80")</f>
        <v>128</v>
      </c>
      <c r="G13" t="s">
        <v>240</v>
      </c>
    </row>
    <row r="14" spans="1:7">
      <c r="A14" s="26" t="s">
        <v>241</v>
      </c>
      <c r="B14" s="27" t="s">
        <v>241</v>
      </c>
      <c r="C14" t="s">
        <v>242</v>
      </c>
      <c r="D14">
        <f>HEX2DEC("80")</f>
        <v>128</v>
      </c>
      <c r="E14">
        <f>HEX2DEC("80")</f>
        <v>128</v>
      </c>
      <c r="F14">
        <f>HEX2DEC("00")</f>
        <v>0</v>
      </c>
      <c r="G14" t="s">
        <v>243</v>
      </c>
    </row>
    <row r="15" spans="1:7">
      <c r="A15" s="28" t="s">
        <v>244</v>
      </c>
      <c r="B15" s="29" t="s">
        <v>244</v>
      </c>
      <c r="C15" t="s">
        <v>245</v>
      </c>
      <c r="D15">
        <f>HEX2DEC("80")</f>
        <v>128</v>
      </c>
      <c r="E15">
        <f>HEX2DEC("00")</f>
        <v>0</v>
      </c>
      <c r="F15">
        <f>HEX2DEC("80")</f>
        <v>128</v>
      </c>
      <c r="G15" t="s">
        <v>246</v>
      </c>
    </row>
    <row r="16" spans="1:7">
      <c r="A16" s="30" t="s">
        <v>247</v>
      </c>
      <c r="B16" s="31" t="s">
        <v>247</v>
      </c>
      <c r="C16" t="s">
        <v>248</v>
      </c>
      <c r="D16">
        <f>HEX2DEC("00")</f>
        <v>0</v>
      </c>
      <c r="E16">
        <f>HEX2DEC("80")</f>
        <v>128</v>
      </c>
      <c r="F16">
        <f>HEX2DEC("80")</f>
        <v>128</v>
      </c>
      <c r="G16" t="s">
        <v>249</v>
      </c>
    </row>
    <row r="17" spans="1:7">
      <c r="A17" s="32" t="s">
        <v>250</v>
      </c>
      <c r="B17" s="33" t="s">
        <v>250</v>
      </c>
      <c r="C17" t="s">
        <v>251</v>
      </c>
      <c r="D17">
        <f>HEX2DEC("C0")</f>
        <v>192</v>
      </c>
      <c r="E17">
        <f>HEX2DEC("C0")</f>
        <v>192</v>
      </c>
      <c r="F17">
        <f>HEX2DEC("C0")</f>
        <v>192</v>
      </c>
      <c r="G17" t="s">
        <v>252</v>
      </c>
    </row>
    <row r="18" spans="1:7">
      <c r="A18" s="34" t="s">
        <v>253</v>
      </c>
      <c r="B18" s="35" t="s">
        <v>253</v>
      </c>
      <c r="C18" t="s">
        <v>254</v>
      </c>
      <c r="D18">
        <f>HEX2DEC("80")</f>
        <v>128</v>
      </c>
      <c r="E18">
        <f>HEX2DEC("80")</f>
        <v>128</v>
      </c>
      <c r="F18">
        <f>HEX2DEC("80")</f>
        <v>128</v>
      </c>
      <c r="G18" t="s">
        <v>255</v>
      </c>
    </row>
    <row r="19" spans="1:7">
      <c r="A19" s="36" t="s">
        <v>256</v>
      </c>
      <c r="B19" s="37" t="s">
        <v>256</v>
      </c>
      <c r="C19" t="s">
        <v>257</v>
      </c>
      <c r="D19">
        <f>HEX2DEC("99")</f>
        <v>153</v>
      </c>
      <c r="E19">
        <f>HEX2DEC("99")</f>
        <v>153</v>
      </c>
      <c r="F19">
        <f>HEX2DEC("FF")</f>
        <v>255</v>
      </c>
      <c r="G19" t="s">
        <v>258</v>
      </c>
    </row>
    <row r="20" spans="1:7">
      <c r="A20" s="38" t="s">
        <v>259</v>
      </c>
      <c r="B20" s="39" t="s">
        <v>259</v>
      </c>
      <c r="C20" t="s">
        <v>260</v>
      </c>
      <c r="D20">
        <f>HEX2DEC("99")</f>
        <v>153</v>
      </c>
      <c r="E20">
        <f>HEX2DEC("33")</f>
        <v>51</v>
      </c>
      <c r="F20">
        <f>HEX2DEC("66")</f>
        <v>102</v>
      </c>
      <c r="G20" t="s">
        <v>261</v>
      </c>
    </row>
    <row r="21" spans="1:7">
      <c r="A21" s="40" t="s">
        <v>262</v>
      </c>
      <c r="B21" s="41" t="s">
        <v>262</v>
      </c>
      <c r="C21" t="s">
        <v>263</v>
      </c>
      <c r="D21">
        <f>HEX2DEC("FF")</f>
        <v>255</v>
      </c>
      <c r="E21">
        <f>HEX2DEC("FF")</f>
        <v>255</v>
      </c>
      <c r="F21">
        <f>HEX2DEC("CC")</f>
        <v>204</v>
      </c>
      <c r="G21" t="s">
        <v>264</v>
      </c>
    </row>
    <row r="22" spans="1:7">
      <c r="A22" s="42" t="s">
        <v>265</v>
      </c>
      <c r="B22" s="43" t="s">
        <v>265</v>
      </c>
      <c r="C22" t="s">
        <v>266</v>
      </c>
      <c r="D22">
        <f>HEX2DEC("CC")</f>
        <v>204</v>
      </c>
      <c r="E22">
        <f>HEX2DEC("FF")</f>
        <v>255</v>
      </c>
      <c r="F22">
        <f>HEX2DEC("FF")</f>
        <v>255</v>
      </c>
      <c r="G22" t="s">
        <v>267</v>
      </c>
    </row>
    <row r="23" spans="1:7">
      <c r="A23" s="44" t="s">
        <v>268</v>
      </c>
      <c r="B23" s="45" t="s">
        <v>268</v>
      </c>
      <c r="C23" t="s">
        <v>269</v>
      </c>
      <c r="D23">
        <f>HEX2DEC("66")</f>
        <v>102</v>
      </c>
      <c r="E23">
        <f>HEX2DEC("00")</f>
        <v>0</v>
      </c>
      <c r="F23">
        <f>HEX2DEC("66")</f>
        <v>102</v>
      </c>
      <c r="G23" t="s">
        <v>270</v>
      </c>
    </row>
    <row r="24" spans="1:7">
      <c r="A24" s="46" t="s">
        <v>271</v>
      </c>
      <c r="B24" s="47" t="s">
        <v>271</v>
      </c>
      <c r="C24" t="s">
        <v>272</v>
      </c>
      <c r="D24">
        <f>HEX2DEC("FF")</f>
        <v>255</v>
      </c>
      <c r="E24">
        <f>HEX2DEC("80")</f>
        <v>128</v>
      </c>
      <c r="F24">
        <f>HEX2DEC("80")</f>
        <v>128</v>
      </c>
      <c r="G24" t="s">
        <v>273</v>
      </c>
    </row>
    <row r="25" spans="1:7">
      <c r="A25" s="48" t="s">
        <v>274</v>
      </c>
      <c r="B25" s="49" t="s">
        <v>274</v>
      </c>
      <c r="C25" t="s">
        <v>275</v>
      </c>
      <c r="D25">
        <f>HEX2DEC("00")</f>
        <v>0</v>
      </c>
      <c r="E25">
        <f>HEX2DEC("66")</f>
        <v>102</v>
      </c>
      <c r="F25">
        <f>HEX2DEC("CC")</f>
        <v>204</v>
      </c>
      <c r="G25" t="s">
        <v>276</v>
      </c>
    </row>
    <row r="26" spans="1:7">
      <c r="A26" s="50" t="s">
        <v>277</v>
      </c>
      <c r="B26" s="51" t="s">
        <v>277</v>
      </c>
      <c r="C26" t="s">
        <v>278</v>
      </c>
      <c r="D26">
        <f>HEX2DEC("CC")</f>
        <v>204</v>
      </c>
      <c r="E26">
        <f>HEX2DEC("CC")</f>
        <v>204</v>
      </c>
      <c r="F26">
        <f>HEX2DEC("FF")</f>
        <v>255</v>
      </c>
      <c r="G26" t="s">
        <v>279</v>
      </c>
    </row>
    <row r="27" spans="1:7">
      <c r="A27" s="52" t="s">
        <v>280</v>
      </c>
      <c r="B27" s="53" t="s">
        <v>280</v>
      </c>
      <c r="C27" t="s">
        <v>239</v>
      </c>
      <c r="D27">
        <f>HEX2DEC("00")</f>
        <v>0</v>
      </c>
      <c r="E27">
        <f>HEX2DEC("00")</f>
        <v>0</v>
      </c>
      <c r="F27">
        <f>HEX2DEC("80")</f>
        <v>128</v>
      </c>
      <c r="G27" t="s">
        <v>281</v>
      </c>
    </row>
    <row r="28" spans="1:7">
      <c r="A28" s="54" t="s">
        <v>282</v>
      </c>
      <c r="B28" s="55" t="s">
        <v>282</v>
      </c>
      <c r="C28" t="s">
        <v>227</v>
      </c>
      <c r="D28">
        <f>HEX2DEC("FF")</f>
        <v>255</v>
      </c>
      <c r="E28">
        <f>HEX2DEC("00")</f>
        <v>0</v>
      </c>
      <c r="F28">
        <f>HEX2DEC("FF")</f>
        <v>255</v>
      </c>
      <c r="G28" t="s">
        <v>283</v>
      </c>
    </row>
    <row r="29" spans="1:7">
      <c r="A29" s="56" t="s">
        <v>284</v>
      </c>
      <c r="B29" s="57" t="s">
        <v>284</v>
      </c>
      <c r="C29" t="s">
        <v>224</v>
      </c>
      <c r="D29">
        <f>HEX2DEC("FF")</f>
        <v>255</v>
      </c>
      <c r="E29">
        <f>HEX2DEC("FF")</f>
        <v>255</v>
      </c>
      <c r="F29">
        <f>HEX2DEC("00")</f>
        <v>0</v>
      </c>
      <c r="G29" t="s">
        <v>285</v>
      </c>
    </row>
    <row r="30" spans="1:7">
      <c r="A30" s="58" t="s">
        <v>286</v>
      </c>
      <c r="B30" s="59" t="s">
        <v>286</v>
      </c>
      <c r="C30" t="s">
        <v>230</v>
      </c>
      <c r="D30">
        <f>HEX2DEC("00")</f>
        <v>0</v>
      </c>
      <c r="E30">
        <f>HEX2DEC("FF")</f>
        <v>255</v>
      </c>
      <c r="F30">
        <f>HEX2DEC("FF")</f>
        <v>255</v>
      </c>
      <c r="G30" t="s">
        <v>287</v>
      </c>
    </row>
    <row r="31" spans="1:7">
      <c r="A31" s="60" t="s">
        <v>288</v>
      </c>
      <c r="B31" s="61" t="s">
        <v>288</v>
      </c>
      <c r="C31" t="s">
        <v>245</v>
      </c>
      <c r="D31">
        <f>HEX2DEC("80")</f>
        <v>128</v>
      </c>
      <c r="E31">
        <f>HEX2DEC("00")</f>
        <v>0</v>
      </c>
      <c r="F31">
        <f>HEX2DEC("80")</f>
        <v>128</v>
      </c>
      <c r="G31" t="s">
        <v>289</v>
      </c>
    </row>
    <row r="32" spans="1:7">
      <c r="A32" s="62" t="s">
        <v>290</v>
      </c>
      <c r="B32" s="63" t="s">
        <v>290</v>
      </c>
      <c r="C32" t="s">
        <v>233</v>
      </c>
      <c r="D32">
        <f>HEX2DEC("80")</f>
        <v>128</v>
      </c>
      <c r="E32">
        <f>HEX2DEC("00")</f>
        <v>0</v>
      </c>
      <c r="F32">
        <f>HEX2DEC("00")</f>
        <v>0</v>
      </c>
      <c r="G32" t="s">
        <v>291</v>
      </c>
    </row>
    <row r="33" spans="1:7">
      <c r="A33" s="64" t="s">
        <v>292</v>
      </c>
      <c r="B33" s="65" t="s">
        <v>292</v>
      </c>
      <c r="C33" t="s">
        <v>248</v>
      </c>
      <c r="D33">
        <f>HEX2DEC("00")</f>
        <v>0</v>
      </c>
      <c r="E33">
        <f>HEX2DEC("80")</f>
        <v>128</v>
      </c>
      <c r="F33">
        <f>HEX2DEC("80")</f>
        <v>128</v>
      </c>
      <c r="G33" t="s">
        <v>293</v>
      </c>
    </row>
    <row r="34" spans="1:7">
      <c r="A34" s="66" t="s">
        <v>294</v>
      </c>
      <c r="B34" s="67" t="s">
        <v>294</v>
      </c>
      <c r="C34" t="s">
        <v>221</v>
      </c>
      <c r="D34">
        <f>HEX2DEC("00")</f>
        <v>0</v>
      </c>
      <c r="E34">
        <f>HEX2DEC("00")</f>
        <v>0</v>
      </c>
      <c r="F34">
        <f>HEX2DEC("FF")</f>
        <v>255</v>
      </c>
      <c r="G34" t="s">
        <v>295</v>
      </c>
    </row>
    <row r="35" spans="1:7">
      <c r="A35" s="68" t="s">
        <v>296</v>
      </c>
      <c r="B35" s="69" t="s">
        <v>296</v>
      </c>
      <c r="C35" t="s">
        <v>297</v>
      </c>
      <c r="D35">
        <f>HEX2DEC("00")</f>
        <v>0</v>
      </c>
      <c r="E35">
        <f>HEX2DEC("CC")</f>
        <v>204</v>
      </c>
      <c r="F35">
        <f>HEX2DEC("FF")</f>
        <v>255</v>
      </c>
      <c r="G35" t="s">
        <v>298</v>
      </c>
    </row>
    <row r="36" spans="1:7">
      <c r="A36" s="70" t="s">
        <v>299</v>
      </c>
      <c r="B36" s="71" t="s">
        <v>299</v>
      </c>
      <c r="C36" t="s">
        <v>266</v>
      </c>
      <c r="D36">
        <f>HEX2DEC("CC")</f>
        <v>204</v>
      </c>
      <c r="E36">
        <f>HEX2DEC("FF")</f>
        <v>255</v>
      </c>
      <c r="F36">
        <f>HEX2DEC("FF")</f>
        <v>255</v>
      </c>
      <c r="G36" t="s">
        <v>300</v>
      </c>
    </row>
    <row r="37" spans="1:7">
      <c r="A37" s="72" t="s">
        <v>301</v>
      </c>
      <c r="B37" s="73" t="s">
        <v>301</v>
      </c>
      <c r="C37" t="s">
        <v>302</v>
      </c>
      <c r="D37">
        <f>HEX2DEC("CC")</f>
        <v>204</v>
      </c>
      <c r="E37">
        <f>HEX2DEC("FF")</f>
        <v>255</v>
      </c>
      <c r="F37">
        <f>HEX2DEC("CC")</f>
        <v>204</v>
      </c>
      <c r="G37" t="s">
        <v>303</v>
      </c>
    </row>
    <row r="38" spans="1:7">
      <c r="A38" s="74" t="s">
        <v>304</v>
      </c>
      <c r="B38" s="75" t="s">
        <v>304</v>
      </c>
      <c r="C38" t="s">
        <v>305</v>
      </c>
      <c r="D38">
        <f>HEX2DEC("FF")</f>
        <v>255</v>
      </c>
      <c r="E38">
        <f>HEX2DEC("FF")</f>
        <v>255</v>
      </c>
      <c r="F38">
        <f>HEX2DEC("99")</f>
        <v>153</v>
      </c>
      <c r="G38" t="s">
        <v>306</v>
      </c>
    </row>
    <row r="39" spans="1:7">
      <c r="A39" s="76" t="s">
        <v>307</v>
      </c>
      <c r="B39" s="77" t="s">
        <v>307</v>
      </c>
      <c r="C39" t="s">
        <v>308</v>
      </c>
      <c r="D39">
        <f>HEX2DEC("99")</f>
        <v>153</v>
      </c>
      <c r="E39">
        <f>HEX2DEC("CC")</f>
        <v>204</v>
      </c>
      <c r="F39">
        <f>HEX2DEC("FF")</f>
        <v>255</v>
      </c>
      <c r="G39" t="s">
        <v>309</v>
      </c>
    </row>
    <row r="40" spans="1:7">
      <c r="A40" s="78" t="s">
        <v>310</v>
      </c>
      <c r="B40" s="79" t="s">
        <v>310</v>
      </c>
      <c r="C40" t="s">
        <v>311</v>
      </c>
      <c r="D40">
        <f>HEX2DEC("FF")</f>
        <v>255</v>
      </c>
      <c r="E40">
        <f>HEX2DEC("99")</f>
        <v>153</v>
      </c>
      <c r="F40">
        <f>HEX2DEC("CC")</f>
        <v>204</v>
      </c>
      <c r="G40" t="s">
        <v>312</v>
      </c>
    </row>
    <row r="41" spans="1:7">
      <c r="A41" s="80" t="s">
        <v>313</v>
      </c>
      <c r="B41" s="81" t="s">
        <v>313</v>
      </c>
      <c r="C41" t="s">
        <v>314</v>
      </c>
      <c r="D41">
        <f>HEX2DEC("CC")</f>
        <v>204</v>
      </c>
      <c r="E41">
        <f>HEX2DEC("99")</f>
        <v>153</v>
      </c>
      <c r="F41">
        <f>HEX2DEC("FF")</f>
        <v>255</v>
      </c>
      <c r="G41" t="s">
        <v>315</v>
      </c>
    </row>
    <row r="42" spans="1:7">
      <c r="A42" s="82" t="s">
        <v>316</v>
      </c>
      <c r="B42" s="83" t="s">
        <v>316</v>
      </c>
      <c r="C42" t="s">
        <v>317</v>
      </c>
      <c r="D42">
        <f>HEX2DEC("FF")</f>
        <v>255</v>
      </c>
      <c r="E42">
        <f>HEX2DEC("CC")</f>
        <v>204</v>
      </c>
      <c r="F42">
        <f>HEX2DEC("99")</f>
        <v>153</v>
      </c>
      <c r="G42" t="s">
        <v>318</v>
      </c>
    </row>
    <row r="43" spans="1:7">
      <c r="A43" s="84" t="s">
        <v>319</v>
      </c>
      <c r="B43" s="85" t="s">
        <v>319</v>
      </c>
      <c r="C43" t="s">
        <v>320</v>
      </c>
      <c r="D43">
        <f>HEX2DEC("33")</f>
        <v>51</v>
      </c>
      <c r="E43">
        <f>HEX2DEC("66")</f>
        <v>102</v>
      </c>
      <c r="F43">
        <f>HEX2DEC("FF")</f>
        <v>255</v>
      </c>
      <c r="G43" t="s">
        <v>321</v>
      </c>
    </row>
    <row r="44" spans="1:7">
      <c r="A44" s="86" t="s">
        <v>322</v>
      </c>
      <c r="B44" s="87" t="s">
        <v>322</v>
      </c>
      <c r="C44" t="s">
        <v>323</v>
      </c>
      <c r="D44">
        <f>HEX2DEC("33")</f>
        <v>51</v>
      </c>
      <c r="E44">
        <f>HEX2DEC("CC")</f>
        <v>204</v>
      </c>
      <c r="F44">
        <f>HEX2DEC("CC")</f>
        <v>204</v>
      </c>
      <c r="G44" t="s">
        <v>324</v>
      </c>
    </row>
    <row r="45" spans="1:7">
      <c r="A45" s="88" t="s">
        <v>325</v>
      </c>
      <c r="B45" s="89" t="s">
        <v>325</v>
      </c>
      <c r="C45" t="s">
        <v>326</v>
      </c>
      <c r="D45">
        <f>HEX2DEC("99")</f>
        <v>153</v>
      </c>
      <c r="E45">
        <f>HEX2DEC("CC")</f>
        <v>204</v>
      </c>
      <c r="F45">
        <f>HEX2DEC("00")</f>
        <v>0</v>
      </c>
      <c r="G45" t="s">
        <v>327</v>
      </c>
    </row>
    <row r="46" spans="1:7">
      <c r="A46" s="90" t="s">
        <v>328</v>
      </c>
      <c r="B46" s="91" t="s">
        <v>328</v>
      </c>
      <c r="C46" t="s">
        <v>329</v>
      </c>
      <c r="D46">
        <f>HEX2DEC("FF")</f>
        <v>255</v>
      </c>
      <c r="E46">
        <f>HEX2DEC("CC")</f>
        <v>204</v>
      </c>
      <c r="F46">
        <f>HEX2DEC("00")</f>
        <v>0</v>
      </c>
      <c r="G46" t="s">
        <v>330</v>
      </c>
    </row>
    <row r="47" spans="1:7">
      <c r="A47" s="92" t="s">
        <v>331</v>
      </c>
      <c r="B47" s="93" t="s">
        <v>331</v>
      </c>
      <c r="C47" t="s">
        <v>332</v>
      </c>
      <c r="D47">
        <f>HEX2DEC("FF")</f>
        <v>255</v>
      </c>
      <c r="E47">
        <f>HEX2DEC("99")</f>
        <v>153</v>
      </c>
      <c r="F47">
        <f>HEX2DEC("00")</f>
        <v>0</v>
      </c>
      <c r="G47" t="s">
        <v>333</v>
      </c>
    </row>
    <row r="48" spans="1:7">
      <c r="A48" s="94" t="s">
        <v>334</v>
      </c>
      <c r="B48" s="95" t="s">
        <v>334</v>
      </c>
      <c r="C48" t="s">
        <v>335</v>
      </c>
      <c r="D48">
        <f>HEX2DEC("FF")</f>
        <v>255</v>
      </c>
      <c r="E48">
        <f>HEX2DEC("66")</f>
        <v>102</v>
      </c>
      <c r="F48">
        <f>HEX2DEC("00")</f>
        <v>0</v>
      </c>
      <c r="G48" t="s">
        <v>336</v>
      </c>
    </row>
    <row r="49" spans="1:7">
      <c r="A49" s="96" t="s">
        <v>337</v>
      </c>
      <c r="B49" s="97" t="s">
        <v>337</v>
      </c>
      <c r="C49" t="s">
        <v>338</v>
      </c>
      <c r="D49">
        <f>HEX2DEC("66")</f>
        <v>102</v>
      </c>
      <c r="E49">
        <f>HEX2DEC("66")</f>
        <v>102</v>
      </c>
      <c r="F49">
        <f>HEX2DEC("99")</f>
        <v>153</v>
      </c>
      <c r="G49" t="s">
        <v>339</v>
      </c>
    </row>
    <row r="50" spans="1:7">
      <c r="A50" s="98" t="s">
        <v>340</v>
      </c>
      <c r="B50" s="99" t="s">
        <v>340</v>
      </c>
      <c r="C50" t="s">
        <v>341</v>
      </c>
      <c r="D50">
        <f>HEX2DEC("96")</f>
        <v>150</v>
      </c>
      <c r="E50">
        <f>HEX2DEC("96")</f>
        <v>150</v>
      </c>
      <c r="F50">
        <f>HEX2DEC("96")</f>
        <v>150</v>
      </c>
      <c r="G50" t="s">
        <v>342</v>
      </c>
    </row>
    <row r="51" spans="1:7">
      <c r="A51" s="100" t="s">
        <v>343</v>
      </c>
      <c r="B51" s="101" t="s">
        <v>343</v>
      </c>
      <c r="C51" t="s">
        <v>344</v>
      </c>
      <c r="D51">
        <f>HEX2DEC("00")</f>
        <v>0</v>
      </c>
      <c r="E51">
        <f>HEX2DEC("33")</f>
        <v>51</v>
      </c>
      <c r="F51">
        <f>HEX2DEC("66")</f>
        <v>102</v>
      </c>
      <c r="G51" t="s">
        <v>345</v>
      </c>
    </row>
    <row r="52" spans="1:7">
      <c r="A52" s="102" t="s">
        <v>346</v>
      </c>
      <c r="B52" s="103" t="s">
        <v>346</v>
      </c>
      <c r="C52" t="s">
        <v>347</v>
      </c>
      <c r="D52">
        <f>HEX2DEC("33")</f>
        <v>51</v>
      </c>
      <c r="E52">
        <f>HEX2DEC("99")</f>
        <v>153</v>
      </c>
      <c r="F52">
        <f>HEX2DEC("66")</f>
        <v>102</v>
      </c>
      <c r="G52" t="s">
        <v>348</v>
      </c>
    </row>
    <row r="53" spans="1:7">
      <c r="A53" s="104" t="s">
        <v>349</v>
      </c>
      <c r="B53" s="105" t="s">
        <v>349</v>
      </c>
      <c r="C53" t="s">
        <v>350</v>
      </c>
      <c r="D53">
        <f>HEX2DEC("00")</f>
        <v>0</v>
      </c>
      <c r="E53">
        <f t="shared" ref="E53:E58" si="0">HEX2DEC("33")</f>
        <v>51</v>
      </c>
      <c r="F53">
        <f>HEX2DEC("00")</f>
        <v>0</v>
      </c>
      <c r="G53" t="s">
        <v>351</v>
      </c>
    </row>
    <row r="54" spans="1:7">
      <c r="A54" s="106" t="s">
        <v>352</v>
      </c>
      <c r="B54" s="107" t="s">
        <v>352</v>
      </c>
      <c r="C54" t="s">
        <v>353</v>
      </c>
      <c r="D54">
        <f>HEX2DEC("33")</f>
        <v>51</v>
      </c>
      <c r="E54">
        <f t="shared" si="0"/>
        <v>51</v>
      </c>
      <c r="F54">
        <f>HEX2DEC("00")</f>
        <v>0</v>
      </c>
      <c r="G54" t="s">
        <v>354</v>
      </c>
    </row>
    <row r="55" spans="1:7">
      <c r="A55" s="108" t="s">
        <v>355</v>
      </c>
      <c r="B55" s="109" t="s">
        <v>355</v>
      </c>
      <c r="C55" t="s">
        <v>356</v>
      </c>
      <c r="D55">
        <f>HEX2DEC("99")</f>
        <v>153</v>
      </c>
      <c r="E55">
        <f t="shared" si="0"/>
        <v>51</v>
      </c>
      <c r="F55">
        <f>HEX2DEC("00")</f>
        <v>0</v>
      </c>
      <c r="G55" t="s">
        <v>357</v>
      </c>
    </row>
    <row r="56" spans="1:7">
      <c r="A56" s="110" t="s">
        <v>358</v>
      </c>
      <c r="B56" s="111" t="s">
        <v>358</v>
      </c>
      <c r="C56" t="s">
        <v>260</v>
      </c>
      <c r="D56">
        <f>HEX2DEC("99")</f>
        <v>153</v>
      </c>
      <c r="E56">
        <f t="shared" si="0"/>
        <v>51</v>
      </c>
      <c r="F56">
        <f>HEX2DEC("66")</f>
        <v>102</v>
      </c>
      <c r="G56" t="s">
        <v>359</v>
      </c>
    </row>
    <row r="57" spans="1:7">
      <c r="A57" s="112" t="s">
        <v>360</v>
      </c>
      <c r="B57" s="113" t="s">
        <v>360</v>
      </c>
      <c r="C57" t="s">
        <v>361</v>
      </c>
      <c r="D57">
        <f>HEX2DEC("33")</f>
        <v>51</v>
      </c>
      <c r="E57">
        <f t="shared" si="0"/>
        <v>51</v>
      </c>
      <c r="F57">
        <f>HEX2DEC("99")</f>
        <v>153</v>
      </c>
      <c r="G57" t="s">
        <v>362</v>
      </c>
    </row>
    <row r="58" spans="1:7">
      <c r="A58" s="114" t="s">
        <v>363</v>
      </c>
      <c r="B58" s="115" t="s">
        <v>363</v>
      </c>
      <c r="C58" t="s">
        <v>364</v>
      </c>
      <c r="D58">
        <f>HEX2DEC("33")</f>
        <v>51</v>
      </c>
      <c r="E58">
        <f t="shared" si="0"/>
        <v>51</v>
      </c>
      <c r="F58">
        <f>HEX2DEC("33")</f>
        <v>51</v>
      </c>
      <c r="G58" t="s">
        <v>365</v>
      </c>
    </row>
  </sheetData>
  <dataConsolid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2afc620e-e190-44f6-b6cd-d79dcbfca6c6"/>
    <TaxKeywordTaxHTField xmlns="2afc620e-e190-44f6-b6cd-d79dcbfca6c6">
      <Terms xmlns="http://schemas.microsoft.com/office/infopath/2007/PartnerControls"/>
    </TaxKeywordTaxHTField>
    <IconOverlay xmlns="http://schemas.microsoft.com/sharepoint/v4" xsi:nil="true"/>
    <SIP_Label_Document xmlns="2afc620e-e190-44f6-b6cd-d79dcbfca6c6">;#0;#Unrestricted;#True;#;#</SIP_Label_Document>
  </documentManagement>
</p:properties>
</file>

<file path=customXml/item3.xml>�� 
</file>

<file path=customXml/item4.xml>�� 
</file>

<file path=customXml/item5.xml>�� 
</file>

<file path=customXml/item6.xml>�� 
</file>

<file path=customXml/item7.xml>�� 
</file>

<file path=customXml/item8.xml><?xml version="1.0" encoding="utf-8"?>
<ct:contentTypeSchema xmlns:ct="http://schemas.microsoft.com/office/2006/metadata/contentType" xmlns:ma="http://schemas.microsoft.com/office/2006/metadata/properties/metaAttributes" ct:_="" ma:_="" ma:contentTypeName="Document" ma:contentTypeID="0x01010088686B75B8CBBB4CA36CF30F04FC8604" ma:contentTypeVersion="8" ma:contentTypeDescription="Create a new document." ma:contentTypeScope="" ma:versionID="4b06d8749ad2a582b452bec52bed1776">
  <xsd:schema xmlns:xsd="http://www.w3.org/2001/XMLSchema" xmlns:xs="http://www.w3.org/2001/XMLSchema" xmlns:p="http://schemas.microsoft.com/office/2006/metadata/properties" xmlns:ns2="2afc620e-e190-44f6-b6cd-d79dcbfca6c6" xmlns:ns3="http://schemas.microsoft.com/sharepoint/v4" targetNamespace="http://schemas.microsoft.com/office/2006/metadata/properties" ma:root="true" ma:fieldsID="43a2e614452f8d54ec681ad32e92a88f" ns2:_="" ns3:_="">
    <xsd:import namespace="2afc620e-e190-44f6-b6cd-d79dcbfca6c6"/>
    <xsd:import namespace="http://schemas.microsoft.com/sharepoint/v4"/>
    <xsd:element name="properties">
      <xsd:complexType>
        <xsd:sequence>
          <xsd:element name="documentManagement">
            <xsd:complexType>
              <xsd:all>
                <xsd:element ref="ns2:SIP_Label_Document"/>
                <xsd:element ref="ns2:TaxKeywordTaxHTField" minOccurs="0"/>
                <xsd:element ref="ns2:TaxCatchAll"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afc620e-e190-44f6-b6cd-d79dcbfca6c6" elementFormDefault="qualified">
    <xsd:import namespace="http://schemas.microsoft.com/office/2006/documentManagement/types"/>
    <xsd:import namespace="http://schemas.microsoft.com/office/infopath/2007/PartnerControls"/>
    <xsd:element name="SIP_Label_Document" ma:index="8" ma:displayName="Sensitive Information Protection (SIP) Label" ma:internalName="Sensitive_x0020_Information_x0020_Protection_x0020__x0028_SIP_x0029__x0020_Label" ma:readOnly="false">
      <xsd:simpleType>
        <xsd:restriction base="dms:Unknown"/>
      </xsd:simpleType>
    </xsd:element>
    <xsd:element name="TaxKeywordTaxHTField" ma:index="10" nillable="true" ma:taxonomy="true" ma:internalName="TaxKeywordTaxHTField" ma:taxonomyFieldName="Enterprise_x0020_Keywords" ma:displayName="Enterprise Keywords" ma:fieldId="{23f27201-bee3-471e-b2e7-b64fd8b7ca38}" ma:taxonomyMulti="true" ma:sspId="00000000-0000-0000-0000-000000000000"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description="" ma:hidden="true" ma:list="{18f8025f-7652-462a-9776-f679180667c9}" ma:internalName="TaxCatchAll" ma:showField="CatchAllData" ma:web="2afc620e-e190-44f6-b6cd-d79dcbfca6c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2"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xml version="1.0" encoding="utf-8"?>
<?mso-contentType ?>
<FormTemplates xmlns="http://schemas.microsoft.com/sharepoint/v3/contenttype/forms">
  <Display>DocumentLibraryForm</Display>
  <Edit>DocumentLibraryForm</Edit>
  <New>DocumentLibraryForm</New>
</FormTemplates>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C6391362-624F-497B-8954-6D3DB8F63227}">
  <ds:schemaRefs>
    <ds:schemaRef ds:uri="http://gemini/pivotcustomization/27d91754-8047-4ae6-bb66-a7dc4d7a3a8c"/>
  </ds:schemaRefs>
</ds:datastoreItem>
</file>

<file path=customXml/itemProps2.xml><?xml version="1.0" encoding="utf-8"?>
<ds:datastoreItem xmlns:ds="http://schemas.openxmlformats.org/officeDocument/2006/customXml" ds:itemID="{1576FDF1-1CAB-4475-ADBF-3D3FEDE28562}">
  <ds:schemaRefs>
    <ds:schemaRef ds:uri="http://schemas.microsoft.com/sharepoint/v4"/>
    <ds:schemaRef ds:uri="http://www.w3.org/XML/1998/namespace"/>
    <ds:schemaRef ds:uri="http://schemas.microsoft.com/office/2006/metadata/properties"/>
    <ds:schemaRef ds:uri="http://schemas.microsoft.com/office/2006/documentManagement/types"/>
    <ds:schemaRef ds:uri="http://purl.org/dc/terms/"/>
    <ds:schemaRef ds:uri="http://schemas.microsoft.com/office/infopath/2007/PartnerControls"/>
    <ds:schemaRef ds:uri="http://purl.org/dc/dcmitype/"/>
    <ds:schemaRef ds:uri="http://schemas.openxmlformats.org/package/2006/metadata/core-properties"/>
    <ds:schemaRef ds:uri="2afc620e-e190-44f6-b6cd-d79dcbfca6c6"/>
    <ds:schemaRef ds:uri="http://purl.org/dc/elements/1.1/"/>
  </ds:schemaRefs>
</ds:datastoreItem>
</file>

<file path=customXml/itemProps3.xml><?xml version="1.0" encoding="utf-8"?>
<ds:datastoreItem xmlns:ds="http://schemas.openxmlformats.org/officeDocument/2006/customXml" ds:itemID="{7C8B06C0-0200-49AC-9A8E-F2C167247A69}">
  <ds:schemaRefs>
    <ds:schemaRef ds:uri="http://gemini/pivotcustomization/TableXML_ContractYearTable-6b2fbb3f-060f-49c4-9370-cd3787da53fe"/>
  </ds:schemaRefs>
</ds:datastoreItem>
</file>

<file path=customXml/itemProps4.xml><?xml version="1.0" encoding="utf-8"?>
<ds:datastoreItem xmlns:ds="http://schemas.openxmlformats.org/officeDocument/2006/customXml" ds:itemID="{E18E8074-C9B7-462C-B7CF-C7992AD0D010}">
  <ds:schemaRefs>
    <ds:schemaRef ds:uri="http://gemini/pivotcustomization/TableXML_WeekofYearTable-d88994b2-f6a9-4086-adcd-a2a487714913"/>
  </ds:schemaRefs>
</ds:datastoreItem>
</file>

<file path=customXml/itemProps5.xml><?xml version="1.0" encoding="utf-8"?>
<ds:datastoreItem xmlns:ds="http://schemas.openxmlformats.org/officeDocument/2006/customXml" ds:itemID="{42D08495-8B9E-4AB6-B2DA-34A139C9D65A}">
  <ds:schemaRefs>
    <ds:schemaRef ds:uri="http://gemini/pivotcustomization/LinkedTables"/>
  </ds:schemaRefs>
</ds:datastoreItem>
</file>

<file path=customXml/itemProps6.xml><?xml version="1.0" encoding="utf-8"?>
<ds:datastoreItem xmlns:ds="http://schemas.openxmlformats.org/officeDocument/2006/customXml" ds:itemID="{4862DD17-3FEF-403B-986E-CC964A90A45B}">
  <ds:schemaRefs>
    <ds:schemaRef ds:uri="http://gemini/pivotcustomization/TableXML_Estimates-c4b4b598-d274-4a6e-b94e-5ec4d1f1abe6"/>
  </ds:schemaRefs>
</ds:datastoreItem>
</file>

<file path=customXml/itemProps7.xml><?xml version="1.0" encoding="utf-8"?>
<ds:datastoreItem xmlns:ds="http://schemas.openxmlformats.org/officeDocument/2006/customXml" ds:itemID="{18370F9C-ED4C-412A-93D2-25C8BBEE6761}">
  <ds:schemaRefs>
    <ds:schemaRef ds:uri="http://gemini/pivotcustomization/TableXML_EmployeeTable-8cbf433a-4337-4984-860e-3452aa99d519"/>
  </ds:schemaRefs>
</ds:datastoreItem>
</file>

<file path=customXml/itemProps8.xml><?xml version="1.0" encoding="utf-8"?>
<ds:datastoreItem xmlns:ds="http://schemas.openxmlformats.org/officeDocument/2006/customXml" ds:itemID="{B3B5DF1B-9A85-4758-8CE7-4CFD4A9FC2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afc620e-e190-44f6-b6cd-d79dcbfca6c6"/>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9.xml><?xml version="1.0" encoding="utf-8"?>
<ds:datastoreItem xmlns:ds="http://schemas.openxmlformats.org/officeDocument/2006/customXml" ds:itemID="{77879255-0524-44FA-AEBB-759CDA0F826E}">
  <ds:schemaRefs>
    <ds:schemaRef ds:uri="http://gemini/pivotcustomization/TableXML_Comparator_5596bea1-db39-4d72-aab8-3ce86812df10"/>
  </ds:schemaRefs>
</ds:datastoreItem>
</file>

<file path=customXml/itemProps10.xml><?xml version="1.0" encoding="utf-8"?>
<ds:datastoreItem xmlns:ds="http://schemas.openxmlformats.org/officeDocument/2006/customXml" ds:itemID="{B0A1EDD0-58C7-4DB8-8F6E-D82839EBE93C}">
  <ds:schemaRefs>
    <ds:schemaRef ds:uri="http://gemini/pivotcustomization/TableXML_DataTable-a5db1b0d-e4d0-4607-ad07-8ce29107fb42"/>
  </ds:schemaRefs>
</ds:datastoreItem>
</file>

<file path=customXml/itemProps11.xml><?xml version="1.0" encoding="utf-8"?>
<ds:datastoreItem xmlns:ds="http://schemas.openxmlformats.org/officeDocument/2006/customXml" ds:itemID="{1C2BF9F2-8649-4940-8B30-F0CF77260D33}">
  <ds:schemaRefs>
    <ds:schemaRef ds:uri="http://gemini/pivotcustomization/32b61f75-0a20-4fb6-b243-1aff8896527c"/>
  </ds:schemaRefs>
</ds:datastoreItem>
</file>

<file path=customXml/itemProps12.xml><?xml version="1.0" encoding="utf-8"?>
<ds:datastoreItem xmlns:ds="http://schemas.openxmlformats.org/officeDocument/2006/customXml" ds:itemID="{97AD5A11-F58D-4B69-BD89-E326C8D47E0D}">
  <ds:schemaRefs>
    <ds:schemaRef ds:uri="http://gemini/pivotcustomization/TableXML_ComboTable-87905799-e18b-4aa2-a3a0-26d35c804c08"/>
  </ds:schemaRefs>
</ds:datastoreItem>
</file>

<file path=customXml/itemProps13.xml><?xml version="1.0" encoding="utf-8"?>
<ds:datastoreItem xmlns:ds="http://schemas.openxmlformats.org/officeDocument/2006/customXml" ds:itemID="{867821EC-D14E-427B-A914-18EC99E7137F}">
  <ds:schemaRefs>
    <ds:schemaRef ds:uri="http://gemini/pivotcustomization/TableXML_CompanyCalendarTable-370d63e3-fccb-4c22-9b66-bb97fad57887"/>
  </ds:schemaRefs>
</ds:datastoreItem>
</file>

<file path=customXml/itemProps14.xml><?xml version="1.0" encoding="utf-8"?>
<ds:datastoreItem xmlns:ds="http://schemas.openxmlformats.org/officeDocument/2006/customXml" ds:itemID="{8FCBCB15-8BD7-41E3-A6A8-F73EC7CC3DCA}">
  <ds:schemaRefs>
    <ds:schemaRef ds:uri="http://gemini/pivotcustomization/TableXML_CompanyTable-1065ac1d-dfb3-4834-a485-3d80e08dec2d"/>
  </ds:schemaRefs>
</ds:datastoreItem>
</file>

<file path=customXml/itemProps15.xml><?xml version="1.0" encoding="utf-8"?>
<ds:datastoreItem xmlns:ds="http://schemas.openxmlformats.org/officeDocument/2006/customXml" ds:itemID="{78720CBC-0BA3-4430-985F-A7A72E9BDE7A}">
  <ds:schemaRefs>
    <ds:schemaRef ds:uri="http://gemini/pivotcustomization/TableXML_WBSTable-aa501c01-ad82-47d8-88ab-52ea084204fe"/>
  </ds:schemaRefs>
</ds:datastoreItem>
</file>

<file path=customXml/itemProps16.xml><?xml version="1.0" encoding="utf-8"?>
<ds:datastoreItem xmlns:ds="http://schemas.openxmlformats.org/officeDocument/2006/customXml" ds:itemID="{6E349C3D-B3B7-452D-9484-BA5A4A7DC178}">
  <ds:schemaRefs>
    <ds:schemaRef ds:uri="http://gemini/pivotcustomization/TableXML_CLINTable-25933353-94a7-469e-b669-6dca391ac761"/>
  </ds:schemaRefs>
</ds:datastoreItem>
</file>

<file path=customXml/itemProps17.xml><?xml version="1.0" encoding="utf-8"?>
<ds:datastoreItem xmlns:ds="http://schemas.openxmlformats.org/officeDocument/2006/customXml" ds:itemID="{CE4B79D7-85BF-41EE-A318-5BF988EA9EBB}">
  <ds:schemaRefs>
    <ds:schemaRef ds:uri="http://gemini/pivotcustomization/TableXML_CAMTable-a507a5e4-4da0-47f3-9d02-977c6a316885"/>
  </ds:schemaRefs>
</ds:datastoreItem>
</file>

<file path=customXml/itemProps18.xml><?xml version="1.0" encoding="utf-8"?>
<ds:datastoreItem xmlns:ds="http://schemas.openxmlformats.org/officeDocument/2006/customXml" ds:itemID="{0842D3E3-80B9-4F60-8E1D-D88BBAC110A4}">
  <ds:schemaRefs>
    <ds:schemaRef ds:uri="http://schemas.microsoft.com/DataMashup"/>
  </ds:schemaRefs>
</ds:datastoreItem>
</file>

<file path=customXml/itemProps19.xml><?xml version="1.0" encoding="utf-8"?>
<ds:datastoreItem xmlns:ds="http://schemas.openxmlformats.org/officeDocument/2006/customXml" ds:itemID="{4A366E96-9812-4C1A-8D1C-82C7A5A0C4D2}">
  <ds:schemaRefs>
    <ds:schemaRef ds:uri="http://schemas.microsoft.com/sharepoint/v3/contenttype/forms"/>
  </ds:schemaRefs>
</ds:datastoreItem>
</file>

<file path=customXml/itemProps20.xml><?xml version="1.0" encoding="utf-8"?>
<ds:datastoreItem xmlns:ds="http://schemas.openxmlformats.org/officeDocument/2006/customXml" ds:itemID="{CD1948A4-7D66-4D6D-B05A-67FE79C77E25}">
  <ds:schemaRefs>
    <ds:schemaRef ds:uri="http://gemini/pivotcustomization/TableXML_EmployeeTable-272332cd-0365-410c-807a-25f27f800290"/>
  </ds:schemaRefs>
</ds:datastoreItem>
</file>

<file path=customXml/itemProps21.xml><?xml version="1.0" encoding="utf-8"?>
<ds:datastoreItem xmlns:ds="http://schemas.openxmlformats.org/officeDocument/2006/customXml" ds:itemID="{60E7A9D2-2853-4615-A45B-94CF17072D64}">
  <ds:schemaRefs>
    <ds:schemaRef ds:uri="http://gemini/pivotcustomization/TableXML_ControlAccountCalendarTable-cb208196-00df-4312-838c-5f8a825b4cea"/>
  </ds:schemaRefs>
</ds:datastoreItem>
</file>

<file path=customXml/itemProps22.xml><?xml version="1.0" encoding="utf-8"?>
<ds:datastoreItem xmlns:ds="http://schemas.openxmlformats.org/officeDocument/2006/customXml" ds:itemID="{03B31A31-1AAC-4C19-9F3D-1C06386C5A90}">
  <ds:schemaRefs>
    <ds:schemaRef ds:uri="http://gemini/pivotcustomization/TableXML_ChargeNumberTable-b3256c12-a005-4fb4-9ff7-e0807120ebcf"/>
  </ds:schemaRefs>
</ds:datastoreItem>
</file>

<file path=customXml/itemProps23.xml><?xml version="1.0" encoding="utf-8"?>
<ds:datastoreItem xmlns:ds="http://schemas.openxmlformats.org/officeDocument/2006/customXml" ds:itemID="{6747013B-148E-458F-B602-CF1B0CAEE151}">
  <ds:schemaRefs>
    <ds:schemaRef ds:uri="http://gemini/pivotcustomization/TableXML_ControlAccountTable-e57bb958-1554-4620-a288-d94aece3bbe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Test Sheet</vt:lpstr>
      <vt:lpstr>Employees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Richard Dye</dc:creator>
  <cp:keywords/>
  <cp:lastModifiedBy>Dick Dye</cp:lastModifiedBy>
  <cp:lastPrinted>2016-03-24T21:37:27Z</cp:lastPrinted>
  <dcterms:created xsi:type="dcterms:W3CDTF">2015-09-18T18:30:22Z</dcterms:created>
  <dcterms:modified xsi:type="dcterms:W3CDTF">2017-08-13T20:51:24Z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IP_Label_Display">
    <vt:lpwstr>Unrestricted; </vt:lpwstr>
  </property>
  <property fmtid="{D5CDD505-2E9C-101B-9397-08002B2CF9AE}" pid="3" name="SIP_Label_Data">
    <vt:lpwstr>;#0;#Unrestricted;#True;#;#</vt:lpwstr>
  </property>
  <property fmtid="{D5CDD505-2E9C-101B-9397-08002B2CF9AE}" pid="4" name="Enterprise_x0020_Keywords">
    <vt:lpwstr/>
  </property>
  <property fmtid="{D5CDD505-2E9C-101B-9397-08002B2CF9AE}" pid="5" name="Enterprise Keywords">
    <vt:lpwstr/>
  </property>
  <property fmtid="{D5CDD505-2E9C-101B-9397-08002B2CF9AE}" pid="6" name="ContentTypeId">
    <vt:lpwstr>0x01010088686B75B8CBBB4CA36CF30F04FC8604</vt:lpwstr>
  </property>
  <property fmtid="{D5CDD505-2E9C-101B-9397-08002B2CF9AE}" pid="7" name="SV_QUERY_LIST_4F35BF76-6C0D-4D9B-82B2-816C12CF3733">
    <vt:lpwstr>empty_477D106A-C0D6-4607-AEBD-E2C9D60EA279</vt:lpwstr>
  </property>
  <property fmtid="{D5CDD505-2E9C-101B-9397-08002B2CF9AE}" pid="8" name="LM SIP Document Sensitivity">
    <vt:lpwstr/>
  </property>
  <property fmtid="{D5CDD505-2E9C-101B-9397-08002B2CF9AE}" pid="9" name="Document Author">
    <vt:lpwstr>ACCT01\ddye</vt:lpwstr>
  </property>
  <property fmtid="{D5CDD505-2E9C-101B-9397-08002B2CF9AE}" pid="10" name="Document Sensitivity">
    <vt:lpwstr>1</vt:lpwstr>
  </property>
  <property fmtid="{D5CDD505-2E9C-101B-9397-08002B2CF9AE}" pid="11" name="ThirdParty">
    <vt:lpwstr/>
  </property>
  <property fmtid="{D5CDD505-2E9C-101B-9397-08002B2CF9AE}" pid="12" name="OCI Restriction">
    <vt:bool>false</vt:bool>
  </property>
  <property fmtid="{D5CDD505-2E9C-101B-9397-08002B2CF9AE}" pid="13" name="OCI Additional Info">
    <vt:lpwstr/>
  </property>
  <property fmtid="{D5CDD505-2E9C-101B-9397-08002B2CF9AE}" pid="14" name="Allow Header Overwrite">
    <vt:bool>true</vt:bool>
  </property>
  <property fmtid="{D5CDD505-2E9C-101B-9397-08002B2CF9AE}" pid="15" name="Allow Footer Overwrite">
    <vt:bool>true</vt:bool>
  </property>
  <property fmtid="{D5CDD505-2E9C-101B-9397-08002B2CF9AE}" pid="16" name="Multiple Selected">
    <vt:lpwstr>-1</vt:lpwstr>
  </property>
  <property fmtid="{D5CDD505-2E9C-101B-9397-08002B2CF9AE}" pid="17" name="SIPLongWording">
    <vt:lpwstr/>
  </property>
  <property fmtid="{D5CDD505-2E9C-101B-9397-08002B2CF9AE}" pid="18" name="checkedProgramsCount">
    <vt:i4>0</vt:i4>
  </property>
  <property fmtid="{D5CDD505-2E9C-101B-9397-08002B2CF9AE}" pid="19" name="ExpCountry">
    <vt:lpwstr/>
  </property>
</Properties>
</file>